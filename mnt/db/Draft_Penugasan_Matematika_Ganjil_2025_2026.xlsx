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qila\Documents\FADLAN\"/>
    </mc:Choice>
  </mc:AlternateContent>
  <xr:revisionPtr revIDLastSave="0" documentId="13_ncr:1_{88D6726B-D769-47A7-94BE-5C943D41135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DATA BERSIH" sheetId="3" r:id="rId2"/>
    <sheet name="PERHITUNGAN MANUAL" sheetId="4" r:id="rId3"/>
  </sheets>
  <definedNames>
    <definedName name="_xlnm._FilterDatabase" localSheetId="0" hidden="1">Sheet1!$G$12:$G$28</definedName>
  </definedNames>
  <calcPr calcId="191029"/>
  <extLst>
    <ext uri="GoogleSheetsCustomDataVersion2">
      <go:sheetsCustomData xmlns:go="http://customooxmlschemas.google.com/" r:id="rId5" roundtripDataChecksum="7X3HzEbG/WWnG4DGkQR0sPAkDyGBNvevM04gfhwEeGk="/>
    </ext>
  </extLst>
</workbook>
</file>

<file path=xl/calcChain.xml><?xml version="1.0" encoding="utf-8"?>
<calcChain xmlns="http://schemas.openxmlformats.org/spreadsheetml/2006/main">
  <c r="E1192" i="3" l="1"/>
  <c r="Q1144" i="4"/>
  <c r="Q1143" i="4"/>
  <c r="D1131" i="4"/>
  <c r="P1144" i="4"/>
  <c r="P1143" i="4"/>
  <c r="B1122" i="4"/>
  <c r="A1130" i="4"/>
  <c r="C1130" i="4" s="1"/>
  <c r="D1130" i="4" s="1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A1123" i="4"/>
  <c r="C1123" i="4" s="1"/>
  <c r="A1124" i="4"/>
  <c r="C1124" i="4" s="1"/>
  <c r="A1125" i="4"/>
  <c r="C1125" i="4" s="1"/>
  <c r="A1126" i="4"/>
  <c r="C1126" i="4" s="1"/>
  <c r="A1127" i="4"/>
  <c r="C1127" i="4" s="1"/>
  <c r="A1128" i="4"/>
  <c r="C1128" i="4" s="1"/>
  <c r="D1128" i="4" s="1"/>
  <c r="A1129" i="4"/>
  <c r="C1129" i="4" s="1"/>
  <c r="A1131" i="4"/>
  <c r="C1131" i="4" s="1"/>
  <c r="A1132" i="4"/>
  <c r="C1132" i="4" s="1"/>
  <c r="A1133" i="4"/>
  <c r="C1133" i="4" s="1"/>
  <c r="A1134" i="4"/>
  <c r="C1134" i="4" s="1"/>
  <c r="D1134" i="4" s="1"/>
  <c r="A1135" i="4"/>
  <c r="C1135" i="4" s="1"/>
  <c r="A1136" i="4"/>
  <c r="C1136" i="4" s="1"/>
  <c r="A1137" i="4"/>
  <c r="C1137" i="4" s="1"/>
  <c r="A1138" i="4"/>
  <c r="C1138" i="4" s="1"/>
  <c r="A1139" i="4"/>
  <c r="C1139" i="4" s="1"/>
  <c r="A1140" i="4"/>
  <c r="C1140" i="4" s="1"/>
  <c r="D1140" i="4" s="1"/>
  <c r="A1141" i="4"/>
  <c r="C1141" i="4" s="1"/>
  <c r="A1142" i="4"/>
  <c r="C1142" i="4" s="1"/>
  <c r="A1143" i="4"/>
  <c r="C1143" i="4" s="1"/>
  <c r="A1144" i="4"/>
  <c r="C1144" i="4" s="1"/>
  <c r="A1145" i="4"/>
  <c r="C1145" i="4" s="1"/>
  <c r="A1146" i="4"/>
  <c r="C1146" i="4" s="1"/>
  <c r="D1146" i="4" s="1"/>
  <c r="A1147" i="4"/>
  <c r="C1147" i="4" s="1"/>
  <c r="A1148" i="4"/>
  <c r="C1148" i="4" s="1"/>
  <c r="A1149" i="4"/>
  <c r="C1149" i="4" s="1"/>
  <c r="A1150" i="4"/>
  <c r="C1150" i="4" s="1"/>
  <c r="A1151" i="4"/>
  <c r="C1151" i="4" s="1"/>
  <c r="A1152" i="4"/>
  <c r="C1152" i="4" s="1"/>
  <c r="D1152" i="4" s="1"/>
  <c r="A1153" i="4"/>
  <c r="C1153" i="4" s="1"/>
  <c r="A1154" i="4"/>
  <c r="C1154" i="4" s="1"/>
  <c r="A1155" i="4"/>
  <c r="C1155" i="4" s="1"/>
  <c r="A1156" i="4"/>
  <c r="C1156" i="4" s="1"/>
  <c r="A1157" i="4"/>
  <c r="C1157" i="4" s="1"/>
  <c r="A1158" i="4"/>
  <c r="C1158" i="4" s="1"/>
  <c r="D1158" i="4" s="1"/>
  <c r="A1159" i="4"/>
  <c r="C1159" i="4" s="1"/>
  <c r="A1160" i="4"/>
  <c r="C1160" i="4" s="1"/>
  <c r="A1161" i="4"/>
  <c r="C1161" i="4" s="1"/>
  <c r="A1162" i="4"/>
  <c r="C1162" i="4" s="1"/>
  <c r="A1163" i="4"/>
  <c r="C1163" i="4" s="1"/>
  <c r="A1164" i="4"/>
  <c r="C1164" i="4" s="1"/>
  <c r="D1164" i="4" s="1"/>
  <c r="A1165" i="4"/>
  <c r="C1165" i="4" s="1"/>
  <c r="A1166" i="4"/>
  <c r="C1166" i="4" s="1"/>
  <c r="A1167" i="4"/>
  <c r="C1167" i="4" s="1"/>
  <c r="A1168" i="4"/>
  <c r="C1168" i="4" s="1"/>
  <c r="A1169" i="4"/>
  <c r="C1169" i="4" s="1"/>
  <c r="A1170" i="4"/>
  <c r="C1170" i="4" s="1"/>
  <c r="D1170" i="4" s="1"/>
  <c r="A1171" i="4"/>
  <c r="C1171" i="4" s="1"/>
  <c r="A1172" i="4"/>
  <c r="C1172" i="4" s="1"/>
  <c r="A1173" i="4"/>
  <c r="C1173" i="4" s="1"/>
  <c r="A1174" i="4"/>
  <c r="C1174" i="4" s="1"/>
  <c r="A1175" i="4"/>
  <c r="C1175" i="4" s="1"/>
  <c r="A1176" i="4"/>
  <c r="C1176" i="4" s="1"/>
  <c r="D1176" i="4" s="1"/>
  <c r="A1177" i="4"/>
  <c r="C1177" i="4" s="1"/>
  <c r="A1178" i="4"/>
  <c r="C1178" i="4" s="1"/>
  <c r="A1179" i="4"/>
  <c r="C1179" i="4" s="1"/>
  <c r="A1180" i="4"/>
  <c r="C1180" i="4" s="1"/>
  <c r="A1181" i="4"/>
  <c r="C1181" i="4" s="1"/>
  <c r="A1182" i="4"/>
  <c r="C1182" i="4" s="1"/>
  <c r="D1182" i="4" s="1"/>
  <c r="A1183" i="4"/>
  <c r="C1183" i="4" s="1"/>
  <c r="A1184" i="4"/>
  <c r="C1184" i="4" s="1"/>
  <c r="A1185" i="4"/>
  <c r="C1185" i="4" s="1"/>
  <c r="A1186" i="4"/>
  <c r="C1186" i="4" s="1"/>
  <c r="A1187" i="4"/>
  <c r="C1187" i="4" s="1"/>
  <c r="A1188" i="4"/>
  <c r="C1188" i="4" s="1"/>
  <c r="D1188" i="4" s="1"/>
  <c r="A1189" i="4"/>
  <c r="C1189" i="4" s="1"/>
  <c r="A1190" i="4"/>
  <c r="C1190" i="4" s="1"/>
  <c r="A1191" i="4"/>
  <c r="C1191" i="4" s="1"/>
  <c r="A1192" i="4"/>
  <c r="C1192" i="4" s="1"/>
  <c r="A1193" i="4"/>
  <c r="C1193" i="4" s="1"/>
  <c r="A1194" i="4"/>
  <c r="C1194" i="4" s="1"/>
  <c r="D1194" i="4" s="1"/>
  <c r="A1195" i="4"/>
  <c r="C1195" i="4" s="1"/>
  <c r="A1196" i="4"/>
  <c r="C1196" i="4" s="1"/>
  <c r="A1197" i="4"/>
  <c r="C1197" i="4" s="1"/>
  <c r="A1198" i="4"/>
  <c r="C1198" i="4" s="1"/>
  <c r="A1199" i="4"/>
  <c r="C1199" i="4" s="1"/>
  <c r="A1200" i="4"/>
  <c r="C1200" i="4" s="1"/>
  <c r="D1200" i="4" s="1"/>
  <c r="A1201" i="4"/>
  <c r="C1201" i="4" s="1"/>
  <c r="A1202" i="4"/>
  <c r="C1202" i="4" s="1"/>
  <c r="A1203" i="4"/>
  <c r="C1203" i="4" s="1"/>
  <c r="A1204" i="4"/>
  <c r="C1204" i="4" s="1"/>
  <c r="A1205" i="4"/>
  <c r="C1205" i="4" s="1"/>
  <c r="A1206" i="4"/>
  <c r="C1206" i="4" s="1"/>
  <c r="D1206" i="4" s="1"/>
  <c r="A1207" i="4"/>
  <c r="C1207" i="4" s="1"/>
  <c r="A1208" i="4"/>
  <c r="C1208" i="4" s="1"/>
  <c r="A1209" i="4"/>
  <c r="C1209" i="4" s="1"/>
  <c r="A1210" i="4"/>
  <c r="C1210" i="4" s="1"/>
  <c r="A1211" i="4"/>
  <c r="C1211" i="4" s="1"/>
  <c r="A1212" i="4"/>
  <c r="C1212" i="4" s="1"/>
  <c r="D1212" i="4" s="1"/>
  <c r="A1213" i="4"/>
  <c r="C1213" i="4" s="1"/>
  <c r="A1214" i="4"/>
  <c r="C1214" i="4" s="1"/>
  <c r="A1215" i="4"/>
  <c r="C1215" i="4" s="1"/>
  <c r="A1216" i="4"/>
  <c r="C1216" i="4" s="1"/>
  <c r="A1217" i="4"/>
  <c r="C1217" i="4" s="1"/>
  <c r="A1218" i="4"/>
  <c r="C1218" i="4" s="1"/>
  <c r="D1218" i="4" s="1"/>
  <c r="A1219" i="4"/>
  <c r="C1219" i="4" s="1"/>
  <c r="A1220" i="4"/>
  <c r="C1220" i="4" s="1"/>
  <c r="A1221" i="4"/>
  <c r="C1221" i="4" s="1"/>
  <c r="A1222" i="4"/>
  <c r="C1222" i="4" s="1"/>
  <c r="A1223" i="4"/>
  <c r="C1223" i="4" s="1"/>
  <c r="A1224" i="4"/>
  <c r="C1224" i="4" s="1"/>
  <c r="D1224" i="4" s="1"/>
  <c r="A1225" i="4"/>
  <c r="C1225" i="4" s="1"/>
  <c r="A1226" i="4"/>
  <c r="C1226" i="4" s="1"/>
  <c r="A1227" i="4"/>
  <c r="C1227" i="4" s="1"/>
  <c r="A1228" i="4"/>
  <c r="C1228" i="4" s="1"/>
  <c r="A1229" i="4"/>
  <c r="C1229" i="4" s="1"/>
  <c r="A1230" i="4"/>
  <c r="C1230" i="4" s="1"/>
  <c r="D1230" i="4" s="1"/>
  <c r="A1231" i="4"/>
  <c r="C1231" i="4" s="1"/>
  <c r="A1232" i="4"/>
  <c r="C1232" i="4" s="1"/>
  <c r="A1233" i="4"/>
  <c r="C1233" i="4" s="1"/>
  <c r="A1234" i="4"/>
  <c r="C1234" i="4" s="1"/>
  <c r="A1235" i="4"/>
  <c r="C1235" i="4" s="1"/>
  <c r="A1236" i="4"/>
  <c r="C1236" i="4" s="1"/>
  <c r="D1236" i="4" s="1"/>
  <c r="A1237" i="4"/>
  <c r="C1237" i="4" s="1"/>
  <c r="A1238" i="4"/>
  <c r="C1238" i="4" s="1"/>
  <c r="A1239" i="4"/>
  <c r="C1239" i="4" s="1"/>
  <c r="A1240" i="4"/>
  <c r="C1240" i="4" s="1"/>
  <c r="A1241" i="4"/>
  <c r="C1241" i="4" s="1"/>
  <c r="A1242" i="4"/>
  <c r="C1242" i="4" s="1"/>
  <c r="D1242" i="4" s="1"/>
  <c r="A1243" i="4"/>
  <c r="C1243" i="4" s="1"/>
  <c r="A1244" i="4"/>
  <c r="C1244" i="4" s="1"/>
  <c r="A1245" i="4"/>
  <c r="C1245" i="4" s="1"/>
  <c r="A1246" i="4"/>
  <c r="C1246" i="4" s="1"/>
  <c r="A1247" i="4"/>
  <c r="C1247" i="4" s="1"/>
  <c r="A1248" i="4"/>
  <c r="C1248" i="4" s="1"/>
  <c r="D1248" i="4" s="1"/>
  <c r="A1249" i="4"/>
  <c r="C1249" i="4" s="1"/>
  <c r="A1250" i="4"/>
  <c r="C1250" i="4" s="1"/>
  <c r="A1251" i="4"/>
  <c r="C1251" i="4" s="1"/>
  <c r="A1252" i="4"/>
  <c r="C1252" i="4" s="1"/>
  <c r="A1253" i="4"/>
  <c r="C1253" i="4" s="1"/>
  <c r="A1254" i="4"/>
  <c r="C1254" i="4" s="1"/>
  <c r="D1254" i="4" s="1"/>
  <c r="A1255" i="4"/>
  <c r="C1255" i="4" s="1"/>
  <c r="A1256" i="4"/>
  <c r="C1256" i="4" s="1"/>
  <c r="A1257" i="4"/>
  <c r="C1257" i="4" s="1"/>
  <c r="A1258" i="4"/>
  <c r="C1258" i="4" s="1"/>
  <c r="A1259" i="4"/>
  <c r="C1259" i="4" s="1"/>
  <c r="A1260" i="4"/>
  <c r="C1260" i="4" s="1"/>
  <c r="D1260" i="4" s="1"/>
  <c r="A1261" i="4"/>
  <c r="C1261" i="4" s="1"/>
  <c r="A1262" i="4"/>
  <c r="C1262" i="4" s="1"/>
  <c r="A1263" i="4"/>
  <c r="C1263" i="4" s="1"/>
  <c r="A1264" i="4"/>
  <c r="C1264" i="4" s="1"/>
  <c r="A1265" i="4"/>
  <c r="C1265" i="4" s="1"/>
  <c r="A1266" i="4"/>
  <c r="C1266" i="4" s="1"/>
  <c r="D1266" i="4" s="1"/>
  <c r="A1267" i="4"/>
  <c r="C1267" i="4" s="1"/>
  <c r="A1268" i="4"/>
  <c r="C1268" i="4" s="1"/>
  <c r="A1269" i="4"/>
  <c r="C1269" i="4" s="1"/>
  <c r="A1270" i="4"/>
  <c r="C1270" i="4" s="1"/>
  <c r="A1271" i="4"/>
  <c r="C1271" i="4" s="1"/>
  <c r="A1272" i="4"/>
  <c r="C1272" i="4" s="1"/>
  <c r="D1272" i="4" s="1"/>
  <c r="A1273" i="4"/>
  <c r="C1273" i="4" s="1"/>
  <c r="A1274" i="4"/>
  <c r="C1274" i="4" s="1"/>
  <c r="A1275" i="4"/>
  <c r="C1275" i="4" s="1"/>
  <c r="A1276" i="4"/>
  <c r="C1276" i="4" s="1"/>
  <c r="A1277" i="4"/>
  <c r="C1277" i="4" s="1"/>
  <c r="A1278" i="4"/>
  <c r="C1278" i="4" s="1"/>
  <c r="D1278" i="4" s="1"/>
  <c r="A1279" i="4"/>
  <c r="C1279" i="4" s="1"/>
  <c r="A1280" i="4"/>
  <c r="C1280" i="4" s="1"/>
  <c r="A1281" i="4"/>
  <c r="C1281" i="4" s="1"/>
  <c r="A1282" i="4"/>
  <c r="C1282" i="4" s="1"/>
  <c r="A1283" i="4"/>
  <c r="C1283" i="4" s="1"/>
  <c r="A1284" i="4"/>
  <c r="C1284" i="4" s="1"/>
  <c r="D1284" i="4" s="1"/>
  <c r="A1285" i="4"/>
  <c r="C1285" i="4" s="1"/>
  <c r="A1286" i="4"/>
  <c r="C1286" i="4" s="1"/>
  <c r="A1287" i="4"/>
  <c r="C1287" i="4" s="1"/>
  <c r="A1288" i="4"/>
  <c r="C1288" i="4" s="1"/>
  <c r="A1289" i="4"/>
  <c r="C1289" i="4" s="1"/>
  <c r="A1290" i="4"/>
  <c r="C1290" i="4" s="1"/>
  <c r="D1290" i="4" s="1"/>
  <c r="A1291" i="4"/>
  <c r="C1291" i="4" s="1"/>
  <c r="A1292" i="4"/>
  <c r="C1292" i="4" s="1"/>
  <c r="A1293" i="4"/>
  <c r="C1293" i="4" s="1"/>
  <c r="A1294" i="4"/>
  <c r="C1294" i="4" s="1"/>
  <c r="A1295" i="4"/>
  <c r="C1295" i="4" s="1"/>
  <c r="A1296" i="4"/>
  <c r="C1296" i="4" s="1"/>
  <c r="D1296" i="4" s="1"/>
  <c r="A1297" i="4"/>
  <c r="C1297" i="4" s="1"/>
  <c r="A1298" i="4"/>
  <c r="C1298" i="4" s="1"/>
  <c r="A1299" i="4"/>
  <c r="C1299" i="4" s="1"/>
  <c r="A1300" i="4"/>
  <c r="C1300" i="4" s="1"/>
  <c r="A1301" i="4"/>
  <c r="C1301" i="4" s="1"/>
  <c r="A1302" i="4"/>
  <c r="C1302" i="4" s="1"/>
  <c r="D1302" i="4" s="1"/>
  <c r="A1303" i="4"/>
  <c r="C1303" i="4" s="1"/>
  <c r="A1304" i="4"/>
  <c r="C1304" i="4" s="1"/>
  <c r="A1305" i="4"/>
  <c r="C1305" i="4" s="1"/>
  <c r="A1306" i="4"/>
  <c r="C1306" i="4" s="1"/>
  <c r="A1307" i="4"/>
  <c r="C1307" i="4" s="1"/>
  <c r="A1308" i="4"/>
  <c r="C1308" i="4" s="1"/>
  <c r="D1308" i="4" s="1"/>
  <c r="A1309" i="4"/>
  <c r="C1309" i="4" s="1"/>
  <c r="A1310" i="4"/>
  <c r="C1310" i="4" s="1"/>
  <c r="A1311" i="4"/>
  <c r="C1311" i="4" s="1"/>
  <c r="A1312" i="4"/>
  <c r="C1312" i="4" s="1"/>
  <c r="A1313" i="4"/>
  <c r="C1313" i="4" s="1"/>
  <c r="A1314" i="4"/>
  <c r="C1314" i="4" s="1"/>
  <c r="D1314" i="4" s="1"/>
  <c r="A1315" i="4"/>
  <c r="C1315" i="4" s="1"/>
  <c r="A1316" i="4"/>
  <c r="C1316" i="4" s="1"/>
  <c r="A1317" i="4"/>
  <c r="C1317" i="4" s="1"/>
  <c r="A1318" i="4"/>
  <c r="C1318" i="4" s="1"/>
  <c r="A1319" i="4"/>
  <c r="C1319" i="4" s="1"/>
  <c r="A1320" i="4"/>
  <c r="C1320" i="4" s="1"/>
  <c r="D1320" i="4" s="1"/>
  <c r="A1321" i="4"/>
  <c r="C1321" i="4" s="1"/>
  <c r="A1322" i="4"/>
  <c r="C1322" i="4" s="1"/>
  <c r="A1323" i="4"/>
  <c r="C1323" i="4" s="1"/>
  <c r="A1324" i="4"/>
  <c r="C1324" i="4" s="1"/>
  <c r="A1325" i="4"/>
  <c r="C1325" i="4" s="1"/>
  <c r="A1326" i="4"/>
  <c r="C1326" i="4" s="1"/>
  <c r="D1326" i="4" s="1"/>
  <c r="A1327" i="4"/>
  <c r="C1327" i="4" s="1"/>
  <c r="A1328" i="4"/>
  <c r="C1328" i="4" s="1"/>
  <c r="A1329" i="4"/>
  <c r="C1329" i="4" s="1"/>
  <c r="A1330" i="4"/>
  <c r="C1330" i="4" s="1"/>
  <c r="A1331" i="4"/>
  <c r="C1331" i="4" s="1"/>
  <c r="A1332" i="4"/>
  <c r="C1332" i="4" s="1"/>
  <c r="D1332" i="4" s="1"/>
  <c r="A1333" i="4"/>
  <c r="C1333" i="4" s="1"/>
  <c r="A1334" i="4"/>
  <c r="C1334" i="4" s="1"/>
  <c r="A1335" i="4"/>
  <c r="C1335" i="4" s="1"/>
  <c r="A1336" i="4"/>
  <c r="C1336" i="4" s="1"/>
  <c r="A1337" i="4"/>
  <c r="C1337" i="4" s="1"/>
  <c r="A1338" i="4"/>
  <c r="C1338" i="4" s="1"/>
  <c r="D1338" i="4" s="1"/>
  <c r="A1339" i="4"/>
  <c r="C1339" i="4" s="1"/>
  <c r="A1340" i="4"/>
  <c r="C1340" i="4" s="1"/>
  <c r="A1341" i="4"/>
  <c r="C1341" i="4" s="1"/>
  <c r="A1342" i="4"/>
  <c r="C1342" i="4" s="1"/>
  <c r="A1343" i="4"/>
  <c r="C1343" i="4" s="1"/>
  <c r="A1344" i="4"/>
  <c r="C1344" i="4" s="1"/>
  <c r="D1344" i="4" s="1"/>
  <c r="A1345" i="4"/>
  <c r="C1345" i="4" s="1"/>
  <c r="A1346" i="4"/>
  <c r="C1346" i="4" s="1"/>
  <c r="A1347" i="4"/>
  <c r="C1347" i="4" s="1"/>
  <c r="A1348" i="4"/>
  <c r="C1348" i="4" s="1"/>
  <c r="A1349" i="4"/>
  <c r="C1349" i="4" s="1"/>
  <c r="A1350" i="4"/>
  <c r="C1350" i="4" s="1"/>
  <c r="D1350" i="4" s="1"/>
  <c r="A1351" i="4"/>
  <c r="C1351" i="4" s="1"/>
  <c r="A1352" i="4"/>
  <c r="C1352" i="4" s="1"/>
  <c r="A1353" i="4"/>
  <c r="C1353" i="4" s="1"/>
  <c r="A1354" i="4"/>
  <c r="C1354" i="4" s="1"/>
  <c r="A1355" i="4"/>
  <c r="C1355" i="4" s="1"/>
  <c r="A1356" i="4"/>
  <c r="C1356" i="4" s="1"/>
  <c r="D1356" i="4" s="1"/>
  <c r="A1357" i="4"/>
  <c r="C1357" i="4" s="1"/>
  <c r="A1358" i="4"/>
  <c r="C1358" i="4" s="1"/>
  <c r="A1359" i="4"/>
  <c r="C1359" i="4" s="1"/>
  <c r="A1360" i="4"/>
  <c r="C1360" i="4" s="1"/>
  <c r="A1361" i="4"/>
  <c r="C1361" i="4" s="1"/>
  <c r="A1362" i="4"/>
  <c r="C1362" i="4" s="1"/>
  <c r="D1362" i="4" s="1"/>
  <c r="A1363" i="4"/>
  <c r="C1363" i="4" s="1"/>
  <c r="A1364" i="4"/>
  <c r="C1364" i="4" s="1"/>
  <c r="A1365" i="4"/>
  <c r="C1365" i="4" s="1"/>
  <c r="A1366" i="4"/>
  <c r="C1366" i="4" s="1"/>
  <c r="A1367" i="4"/>
  <c r="C1367" i="4" s="1"/>
  <c r="A1368" i="4"/>
  <c r="C1368" i="4" s="1"/>
  <c r="D1368" i="4" s="1"/>
  <c r="A1369" i="4"/>
  <c r="C1369" i="4" s="1"/>
  <c r="A1370" i="4"/>
  <c r="C1370" i="4" s="1"/>
  <c r="A1371" i="4"/>
  <c r="C1371" i="4" s="1"/>
  <c r="A1372" i="4"/>
  <c r="C1372" i="4" s="1"/>
  <c r="A1373" i="4"/>
  <c r="C1373" i="4" s="1"/>
  <c r="A1374" i="4"/>
  <c r="C1374" i="4" s="1"/>
  <c r="D1374" i="4" s="1"/>
  <c r="A1375" i="4"/>
  <c r="C1375" i="4" s="1"/>
  <c r="A1376" i="4"/>
  <c r="C1376" i="4" s="1"/>
  <c r="A1377" i="4"/>
  <c r="C1377" i="4" s="1"/>
  <c r="A1378" i="4"/>
  <c r="C1378" i="4" s="1"/>
  <c r="A1379" i="4"/>
  <c r="C1379" i="4" s="1"/>
  <c r="A1380" i="4"/>
  <c r="C1380" i="4" s="1"/>
  <c r="D1380" i="4" s="1"/>
  <c r="A1381" i="4"/>
  <c r="C1381" i="4" s="1"/>
  <c r="A1382" i="4"/>
  <c r="C1382" i="4" s="1"/>
  <c r="A1383" i="4"/>
  <c r="C1383" i="4" s="1"/>
  <c r="A1384" i="4"/>
  <c r="C1384" i="4" s="1"/>
  <c r="A1385" i="4"/>
  <c r="C1385" i="4" s="1"/>
  <c r="A1386" i="4"/>
  <c r="C1386" i="4" s="1"/>
  <c r="D1386" i="4" s="1"/>
  <c r="A1387" i="4"/>
  <c r="C1387" i="4" s="1"/>
  <c r="A1388" i="4"/>
  <c r="C1388" i="4" s="1"/>
  <c r="A1389" i="4"/>
  <c r="C1389" i="4" s="1"/>
  <c r="A1390" i="4"/>
  <c r="C1390" i="4" s="1"/>
  <c r="A1391" i="4"/>
  <c r="C1391" i="4" s="1"/>
  <c r="A1392" i="4"/>
  <c r="C1392" i="4" s="1"/>
  <c r="D1392" i="4" s="1"/>
  <c r="A1393" i="4"/>
  <c r="C1393" i="4" s="1"/>
  <c r="A1394" i="4"/>
  <c r="C1394" i="4" s="1"/>
  <c r="A1395" i="4"/>
  <c r="C1395" i="4" s="1"/>
  <c r="A1396" i="4"/>
  <c r="C1396" i="4" s="1"/>
  <c r="A1397" i="4"/>
  <c r="C1397" i="4" s="1"/>
  <c r="A1398" i="4"/>
  <c r="C1398" i="4" s="1"/>
  <c r="D1398" i="4" s="1"/>
  <c r="A1399" i="4"/>
  <c r="C1399" i="4" s="1"/>
  <c r="A1400" i="4"/>
  <c r="C1400" i="4" s="1"/>
  <c r="A1401" i="4"/>
  <c r="C1401" i="4" s="1"/>
  <c r="A1402" i="4"/>
  <c r="C1402" i="4" s="1"/>
  <c r="A1403" i="4"/>
  <c r="C1403" i="4" s="1"/>
  <c r="A1404" i="4"/>
  <c r="C1404" i="4" s="1"/>
  <c r="D1404" i="4" s="1"/>
  <c r="A1405" i="4"/>
  <c r="C1405" i="4" s="1"/>
  <c r="A1406" i="4"/>
  <c r="C1406" i="4" s="1"/>
  <c r="A1407" i="4"/>
  <c r="C1407" i="4" s="1"/>
  <c r="A1408" i="4"/>
  <c r="C1408" i="4" s="1"/>
  <c r="A1409" i="4"/>
  <c r="C1409" i="4" s="1"/>
  <c r="A1410" i="4"/>
  <c r="C1410" i="4" s="1"/>
  <c r="D1410" i="4" s="1"/>
  <c r="A1411" i="4"/>
  <c r="C1411" i="4" s="1"/>
  <c r="A1412" i="4"/>
  <c r="C1412" i="4" s="1"/>
  <c r="A1413" i="4"/>
  <c r="C1413" i="4" s="1"/>
  <c r="A1414" i="4"/>
  <c r="C1414" i="4" s="1"/>
  <c r="A1415" i="4"/>
  <c r="C1415" i="4" s="1"/>
  <c r="A1416" i="4"/>
  <c r="C1416" i="4" s="1"/>
  <c r="D1416" i="4" s="1"/>
  <c r="A1417" i="4"/>
  <c r="C1417" i="4" s="1"/>
  <c r="A1418" i="4"/>
  <c r="C1418" i="4" s="1"/>
  <c r="A1419" i="4"/>
  <c r="C1419" i="4" s="1"/>
  <c r="A1420" i="4"/>
  <c r="C1420" i="4" s="1"/>
  <c r="A1421" i="4"/>
  <c r="C1421" i="4" s="1"/>
  <c r="A1422" i="4"/>
  <c r="C1422" i="4" s="1"/>
  <c r="D1422" i="4" s="1"/>
  <c r="A1423" i="4"/>
  <c r="C1423" i="4" s="1"/>
  <c r="A1424" i="4"/>
  <c r="C1424" i="4" s="1"/>
  <c r="A1425" i="4"/>
  <c r="C1425" i="4" s="1"/>
  <c r="A1426" i="4"/>
  <c r="C1426" i="4" s="1"/>
  <c r="A1427" i="4"/>
  <c r="C1427" i="4" s="1"/>
  <c r="A1428" i="4"/>
  <c r="C1428" i="4" s="1"/>
  <c r="D1428" i="4" s="1"/>
  <c r="A1429" i="4"/>
  <c r="C1429" i="4" s="1"/>
  <c r="A1430" i="4"/>
  <c r="C1430" i="4" s="1"/>
  <c r="A1431" i="4"/>
  <c r="C1431" i="4" s="1"/>
  <c r="A1432" i="4"/>
  <c r="C1432" i="4" s="1"/>
  <c r="A1433" i="4"/>
  <c r="C1433" i="4" s="1"/>
  <c r="A1434" i="4"/>
  <c r="C1434" i="4" s="1"/>
  <c r="D1434" i="4" s="1"/>
  <c r="A1435" i="4"/>
  <c r="C1435" i="4" s="1"/>
  <c r="A1436" i="4"/>
  <c r="C1436" i="4" s="1"/>
  <c r="A1437" i="4"/>
  <c r="C1437" i="4" s="1"/>
  <c r="A1438" i="4"/>
  <c r="C1438" i="4" s="1"/>
  <c r="A1439" i="4"/>
  <c r="C1439" i="4" s="1"/>
  <c r="A1440" i="4"/>
  <c r="C1440" i="4" s="1"/>
  <c r="D1440" i="4" s="1"/>
  <c r="A1441" i="4"/>
  <c r="C1441" i="4" s="1"/>
  <c r="A1442" i="4"/>
  <c r="C1442" i="4" s="1"/>
  <c r="A1443" i="4"/>
  <c r="C1443" i="4" s="1"/>
  <c r="A1444" i="4"/>
  <c r="C1444" i="4" s="1"/>
  <c r="A1445" i="4"/>
  <c r="C1445" i="4" s="1"/>
  <c r="A1446" i="4"/>
  <c r="C1446" i="4" s="1"/>
  <c r="D1446" i="4" s="1"/>
  <c r="A1447" i="4"/>
  <c r="C1447" i="4" s="1"/>
  <c r="A1448" i="4"/>
  <c r="C1448" i="4" s="1"/>
  <c r="A1449" i="4"/>
  <c r="C1449" i="4" s="1"/>
  <c r="A1450" i="4"/>
  <c r="C1450" i="4" s="1"/>
  <c r="A1451" i="4"/>
  <c r="C1451" i="4" s="1"/>
  <c r="A1452" i="4"/>
  <c r="C1452" i="4" s="1"/>
  <c r="D1452" i="4" s="1"/>
  <c r="A1453" i="4"/>
  <c r="C1453" i="4" s="1"/>
  <c r="A1454" i="4"/>
  <c r="C1454" i="4" s="1"/>
  <c r="A1455" i="4"/>
  <c r="C1455" i="4" s="1"/>
  <c r="A1456" i="4"/>
  <c r="C1456" i="4" s="1"/>
  <c r="A1457" i="4"/>
  <c r="C1457" i="4" s="1"/>
  <c r="A1458" i="4"/>
  <c r="C1458" i="4" s="1"/>
  <c r="D1458" i="4" s="1"/>
  <c r="A1459" i="4"/>
  <c r="C1459" i="4" s="1"/>
  <c r="A1460" i="4"/>
  <c r="C1460" i="4" s="1"/>
  <c r="A1461" i="4"/>
  <c r="C1461" i="4" s="1"/>
  <c r="A1462" i="4"/>
  <c r="C1462" i="4" s="1"/>
  <c r="A1463" i="4"/>
  <c r="C1463" i="4" s="1"/>
  <c r="A1464" i="4"/>
  <c r="C1464" i="4" s="1"/>
  <c r="D1464" i="4" s="1"/>
  <c r="A1465" i="4"/>
  <c r="C1465" i="4" s="1"/>
  <c r="A1466" i="4"/>
  <c r="C1466" i="4" s="1"/>
  <c r="A1467" i="4"/>
  <c r="C1467" i="4" s="1"/>
  <c r="A1468" i="4"/>
  <c r="C1468" i="4" s="1"/>
  <c r="A1469" i="4"/>
  <c r="C1469" i="4" s="1"/>
  <c r="A1470" i="4"/>
  <c r="C1470" i="4" s="1"/>
  <c r="D1470" i="4" s="1"/>
  <c r="A1471" i="4"/>
  <c r="C1471" i="4" s="1"/>
  <c r="A1472" i="4"/>
  <c r="C1472" i="4" s="1"/>
  <c r="A1473" i="4"/>
  <c r="C1473" i="4" s="1"/>
  <c r="A1474" i="4"/>
  <c r="C1474" i="4" s="1"/>
  <c r="A1475" i="4"/>
  <c r="C1475" i="4" s="1"/>
  <c r="A1476" i="4"/>
  <c r="C1476" i="4" s="1"/>
  <c r="A1477" i="4"/>
  <c r="C1477" i="4" s="1"/>
  <c r="A1478" i="4"/>
  <c r="C1478" i="4" s="1"/>
  <c r="A1479" i="4"/>
  <c r="C1479" i="4" s="1"/>
  <c r="A1480" i="4"/>
  <c r="C1480" i="4" s="1"/>
  <c r="A1481" i="4"/>
  <c r="C1481" i="4" s="1"/>
  <c r="A1482" i="4"/>
  <c r="C1482" i="4" s="1"/>
  <c r="D1482" i="4" s="1"/>
  <c r="A1483" i="4"/>
  <c r="C1483" i="4" s="1"/>
  <c r="A1484" i="4"/>
  <c r="C1484" i="4" s="1"/>
  <c r="A1485" i="4"/>
  <c r="C1485" i="4" s="1"/>
  <c r="A1486" i="4"/>
  <c r="C1486" i="4" s="1"/>
  <c r="A1487" i="4"/>
  <c r="C1487" i="4" s="1"/>
  <c r="A1488" i="4"/>
  <c r="C1488" i="4" s="1"/>
  <c r="D1488" i="4" s="1"/>
  <c r="A1489" i="4"/>
  <c r="C1489" i="4" s="1"/>
  <c r="A1490" i="4"/>
  <c r="C1490" i="4" s="1"/>
  <c r="A1491" i="4"/>
  <c r="C1491" i="4" s="1"/>
  <c r="A1492" i="4"/>
  <c r="C1492" i="4" s="1"/>
  <c r="A1493" i="4"/>
  <c r="C1493" i="4" s="1"/>
  <c r="A1494" i="4"/>
  <c r="C1494" i="4" s="1"/>
  <c r="D1494" i="4" s="1"/>
  <c r="A1495" i="4"/>
  <c r="C1495" i="4" s="1"/>
  <c r="A1496" i="4"/>
  <c r="C1496" i="4" s="1"/>
  <c r="A1497" i="4"/>
  <c r="C1497" i="4" s="1"/>
  <c r="A1498" i="4"/>
  <c r="C1498" i="4" s="1"/>
  <c r="A1499" i="4"/>
  <c r="C1499" i="4" s="1"/>
  <c r="A1500" i="4"/>
  <c r="C1500" i="4" s="1"/>
  <c r="D1500" i="4" s="1"/>
  <c r="A1501" i="4"/>
  <c r="C1501" i="4" s="1"/>
  <c r="A1502" i="4"/>
  <c r="C1502" i="4" s="1"/>
  <c r="A1503" i="4"/>
  <c r="C1503" i="4" s="1"/>
  <c r="A1504" i="4"/>
  <c r="C1504" i="4" s="1"/>
  <c r="A1505" i="4"/>
  <c r="C1505" i="4" s="1"/>
  <c r="A1506" i="4"/>
  <c r="C1506" i="4" s="1"/>
  <c r="D1506" i="4" s="1"/>
  <c r="A1507" i="4"/>
  <c r="C1507" i="4" s="1"/>
  <c r="A1508" i="4"/>
  <c r="C1508" i="4" s="1"/>
  <c r="A1509" i="4"/>
  <c r="C1509" i="4" s="1"/>
  <c r="A1510" i="4"/>
  <c r="C1510" i="4" s="1"/>
  <c r="A1511" i="4"/>
  <c r="C1511" i="4" s="1"/>
  <c r="A1512" i="4"/>
  <c r="C1512" i="4" s="1"/>
  <c r="A1513" i="4"/>
  <c r="C1513" i="4" s="1"/>
  <c r="A1514" i="4"/>
  <c r="C1514" i="4" s="1"/>
  <c r="A1515" i="4"/>
  <c r="C1515" i="4" s="1"/>
  <c r="A1516" i="4"/>
  <c r="C1516" i="4" s="1"/>
  <c r="A1517" i="4"/>
  <c r="C1517" i="4" s="1"/>
  <c r="A1518" i="4"/>
  <c r="C1518" i="4" s="1"/>
  <c r="D1518" i="4" s="1"/>
  <c r="A1519" i="4"/>
  <c r="C1519" i="4" s="1"/>
  <c r="A1520" i="4"/>
  <c r="C1520" i="4" s="1"/>
  <c r="A1521" i="4"/>
  <c r="C1521" i="4" s="1"/>
  <c r="A1522" i="4"/>
  <c r="C1522" i="4" s="1"/>
  <c r="A1523" i="4"/>
  <c r="C1523" i="4" s="1"/>
  <c r="A1524" i="4"/>
  <c r="C1524" i="4" s="1"/>
  <c r="D1524" i="4" s="1"/>
  <c r="A1525" i="4"/>
  <c r="C1525" i="4" s="1"/>
  <c r="A1526" i="4"/>
  <c r="C1526" i="4" s="1"/>
  <c r="A1527" i="4"/>
  <c r="C1527" i="4" s="1"/>
  <c r="A1528" i="4"/>
  <c r="C1528" i="4" s="1"/>
  <c r="A1529" i="4"/>
  <c r="C1529" i="4" s="1"/>
  <c r="A1530" i="4"/>
  <c r="C1530" i="4" s="1"/>
  <c r="D1530" i="4" s="1"/>
  <c r="A1531" i="4"/>
  <c r="C1531" i="4" s="1"/>
  <c r="A1532" i="4"/>
  <c r="C1532" i="4" s="1"/>
  <c r="A1533" i="4"/>
  <c r="C1533" i="4" s="1"/>
  <c r="A1534" i="4"/>
  <c r="C1534" i="4" s="1"/>
  <c r="A1535" i="4"/>
  <c r="C1535" i="4" s="1"/>
  <c r="A1536" i="4"/>
  <c r="C1536" i="4" s="1"/>
  <c r="D1536" i="4" s="1"/>
  <c r="A1537" i="4"/>
  <c r="C1537" i="4" s="1"/>
  <c r="A1538" i="4"/>
  <c r="C1538" i="4" s="1"/>
  <c r="A1539" i="4"/>
  <c r="C1539" i="4" s="1"/>
  <c r="A1540" i="4"/>
  <c r="C1540" i="4" s="1"/>
  <c r="A1541" i="4"/>
  <c r="C1541" i="4" s="1"/>
  <c r="A1542" i="4"/>
  <c r="C1542" i="4" s="1"/>
  <c r="D1542" i="4" s="1"/>
  <c r="A1543" i="4"/>
  <c r="C1543" i="4" s="1"/>
  <c r="A1544" i="4"/>
  <c r="C1544" i="4" s="1"/>
  <c r="A1545" i="4"/>
  <c r="C1545" i="4" s="1"/>
  <c r="A1546" i="4"/>
  <c r="C1546" i="4" s="1"/>
  <c r="A1547" i="4"/>
  <c r="C1547" i="4" s="1"/>
  <c r="A1548" i="4"/>
  <c r="C1548" i="4" s="1"/>
  <c r="A1549" i="4"/>
  <c r="C1549" i="4" s="1"/>
  <c r="A1550" i="4"/>
  <c r="C1550" i="4" s="1"/>
  <c r="A1551" i="4"/>
  <c r="C1551" i="4" s="1"/>
  <c r="A1552" i="4"/>
  <c r="C1552" i="4" s="1"/>
  <c r="A1553" i="4"/>
  <c r="C1553" i="4" s="1"/>
  <c r="A1554" i="4"/>
  <c r="C1554" i="4" s="1"/>
  <c r="D1554" i="4" s="1"/>
  <c r="A1555" i="4"/>
  <c r="C1555" i="4" s="1"/>
  <c r="A1556" i="4"/>
  <c r="C1556" i="4" s="1"/>
  <c r="A1557" i="4"/>
  <c r="C1557" i="4" s="1"/>
  <c r="A1558" i="4"/>
  <c r="C1558" i="4" s="1"/>
  <c r="A1559" i="4"/>
  <c r="C1559" i="4" s="1"/>
  <c r="A1560" i="4"/>
  <c r="C1560" i="4" s="1"/>
  <c r="D1560" i="4" s="1"/>
  <c r="A1561" i="4"/>
  <c r="C1561" i="4" s="1"/>
  <c r="A1562" i="4"/>
  <c r="C1562" i="4" s="1"/>
  <c r="A1563" i="4"/>
  <c r="C1563" i="4" s="1"/>
  <c r="A1564" i="4"/>
  <c r="C1564" i="4" s="1"/>
  <c r="A1565" i="4"/>
  <c r="C1565" i="4" s="1"/>
  <c r="A1566" i="4"/>
  <c r="C1566" i="4" s="1"/>
  <c r="D1566" i="4" s="1"/>
  <c r="A1567" i="4"/>
  <c r="C1567" i="4" s="1"/>
  <c r="A1568" i="4"/>
  <c r="C1568" i="4" s="1"/>
  <c r="A1569" i="4"/>
  <c r="C1569" i="4" s="1"/>
  <c r="A1570" i="4"/>
  <c r="C1570" i="4" s="1"/>
  <c r="A1571" i="4"/>
  <c r="C1571" i="4" s="1"/>
  <c r="A1572" i="4"/>
  <c r="C1572" i="4" s="1"/>
  <c r="D1572" i="4" s="1"/>
  <c r="A1573" i="4"/>
  <c r="C1573" i="4" s="1"/>
  <c r="A1574" i="4"/>
  <c r="C1574" i="4" s="1"/>
  <c r="A1575" i="4"/>
  <c r="C1575" i="4" s="1"/>
  <c r="A1576" i="4"/>
  <c r="C1576" i="4" s="1"/>
  <c r="A1577" i="4"/>
  <c r="C1577" i="4" s="1"/>
  <c r="A1578" i="4"/>
  <c r="C1578" i="4" s="1"/>
  <c r="D1578" i="4" s="1"/>
  <c r="A1579" i="4"/>
  <c r="C1579" i="4" s="1"/>
  <c r="A1580" i="4"/>
  <c r="C1580" i="4" s="1"/>
  <c r="A1581" i="4"/>
  <c r="C1581" i="4" s="1"/>
  <c r="A1582" i="4"/>
  <c r="C1582" i="4" s="1"/>
  <c r="A1583" i="4"/>
  <c r="C1583" i="4" s="1"/>
  <c r="A1584" i="4"/>
  <c r="C1584" i="4" s="1"/>
  <c r="A1585" i="4"/>
  <c r="C1585" i="4" s="1"/>
  <c r="A1586" i="4"/>
  <c r="C1586" i="4" s="1"/>
  <c r="A1587" i="4"/>
  <c r="C1587" i="4" s="1"/>
  <c r="A1588" i="4"/>
  <c r="C1588" i="4" s="1"/>
  <c r="A1589" i="4"/>
  <c r="C1589" i="4" s="1"/>
  <c r="A1590" i="4"/>
  <c r="C1590" i="4" s="1"/>
  <c r="D1590" i="4" s="1"/>
  <c r="A1591" i="4"/>
  <c r="C1591" i="4" s="1"/>
  <c r="A1592" i="4"/>
  <c r="C1592" i="4" s="1"/>
  <c r="A1593" i="4"/>
  <c r="C1593" i="4" s="1"/>
  <c r="A1594" i="4"/>
  <c r="C1594" i="4" s="1"/>
  <c r="A1595" i="4"/>
  <c r="C1595" i="4" s="1"/>
  <c r="A1596" i="4"/>
  <c r="C1596" i="4" s="1"/>
  <c r="D1596" i="4" s="1"/>
  <c r="A1597" i="4"/>
  <c r="C1597" i="4" s="1"/>
  <c r="A1598" i="4"/>
  <c r="C1598" i="4" s="1"/>
  <c r="A1599" i="4"/>
  <c r="C1599" i="4" s="1"/>
  <c r="A1600" i="4"/>
  <c r="C1600" i="4" s="1"/>
  <c r="A1601" i="4"/>
  <c r="C1601" i="4" s="1"/>
  <c r="A1602" i="4"/>
  <c r="C1602" i="4" s="1"/>
  <c r="D1602" i="4" s="1"/>
  <c r="A1603" i="4"/>
  <c r="C1603" i="4" s="1"/>
  <c r="A1604" i="4"/>
  <c r="C1604" i="4" s="1"/>
  <c r="A1605" i="4"/>
  <c r="C1605" i="4" s="1"/>
  <c r="A1606" i="4"/>
  <c r="C1606" i="4" s="1"/>
  <c r="A1607" i="4"/>
  <c r="C1607" i="4" s="1"/>
  <c r="A1608" i="4"/>
  <c r="C1608" i="4" s="1"/>
  <c r="D1608" i="4" s="1"/>
  <c r="A1609" i="4"/>
  <c r="C1609" i="4" s="1"/>
  <c r="A1610" i="4"/>
  <c r="C1610" i="4" s="1"/>
  <c r="A1611" i="4"/>
  <c r="C1611" i="4" s="1"/>
  <c r="A1612" i="4"/>
  <c r="C1612" i="4" s="1"/>
  <c r="A1613" i="4"/>
  <c r="C1613" i="4" s="1"/>
  <c r="A1614" i="4"/>
  <c r="C1614" i="4" s="1"/>
  <c r="D1614" i="4" s="1"/>
  <c r="A1615" i="4"/>
  <c r="C1615" i="4" s="1"/>
  <c r="A1616" i="4"/>
  <c r="C1616" i="4" s="1"/>
  <c r="A1617" i="4"/>
  <c r="C1617" i="4" s="1"/>
  <c r="A1618" i="4"/>
  <c r="C1618" i="4" s="1"/>
  <c r="A1619" i="4"/>
  <c r="C1619" i="4" s="1"/>
  <c r="A1620" i="4"/>
  <c r="C1620" i="4" s="1"/>
  <c r="A1621" i="4"/>
  <c r="C1621" i="4" s="1"/>
  <c r="A1622" i="4"/>
  <c r="C1622" i="4" s="1"/>
  <c r="A1623" i="4"/>
  <c r="C1623" i="4" s="1"/>
  <c r="A1624" i="4"/>
  <c r="C1624" i="4" s="1"/>
  <c r="A1625" i="4"/>
  <c r="C1625" i="4" s="1"/>
  <c r="A1626" i="4"/>
  <c r="C1626" i="4" s="1"/>
  <c r="D1626" i="4" s="1"/>
  <c r="A1627" i="4"/>
  <c r="C1627" i="4" s="1"/>
  <c r="A1628" i="4"/>
  <c r="C1628" i="4" s="1"/>
  <c r="A1629" i="4"/>
  <c r="C1629" i="4" s="1"/>
  <c r="A1630" i="4"/>
  <c r="C1630" i="4" s="1"/>
  <c r="A1631" i="4"/>
  <c r="C1631" i="4" s="1"/>
  <c r="A1632" i="4"/>
  <c r="C1632" i="4" s="1"/>
  <c r="D1632" i="4" s="1"/>
  <c r="A1633" i="4"/>
  <c r="C1633" i="4" s="1"/>
  <c r="A1634" i="4"/>
  <c r="C1634" i="4" s="1"/>
  <c r="A1635" i="4"/>
  <c r="C1635" i="4" s="1"/>
  <c r="A1636" i="4"/>
  <c r="C1636" i="4" s="1"/>
  <c r="A1637" i="4"/>
  <c r="C1637" i="4" s="1"/>
  <c r="A1638" i="4"/>
  <c r="C1638" i="4" s="1"/>
  <c r="D1638" i="4" s="1"/>
  <c r="A1639" i="4"/>
  <c r="C1639" i="4" s="1"/>
  <c r="A1640" i="4"/>
  <c r="C1640" i="4" s="1"/>
  <c r="A1641" i="4"/>
  <c r="C1641" i="4" s="1"/>
  <c r="A1642" i="4"/>
  <c r="C1642" i="4" s="1"/>
  <c r="A1643" i="4"/>
  <c r="C1643" i="4" s="1"/>
  <c r="A1644" i="4"/>
  <c r="C1644" i="4" s="1"/>
  <c r="D1644" i="4" s="1"/>
  <c r="A1645" i="4"/>
  <c r="C1645" i="4" s="1"/>
  <c r="D1645" i="4" s="1"/>
  <c r="A1646" i="4"/>
  <c r="C1646" i="4" s="1"/>
  <c r="A1647" i="4"/>
  <c r="C1647" i="4" s="1"/>
  <c r="A1648" i="4"/>
  <c r="C1648" i="4" s="1"/>
  <c r="A1649" i="4"/>
  <c r="C1649" i="4" s="1"/>
  <c r="A1650" i="4"/>
  <c r="C1650" i="4" s="1"/>
  <c r="D1650" i="4" s="1"/>
  <c r="A1651" i="4"/>
  <c r="C1651" i="4" s="1"/>
  <c r="A1652" i="4"/>
  <c r="C1652" i="4" s="1"/>
  <c r="A1653" i="4"/>
  <c r="C1653" i="4" s="1"/>
  <c r="A1654" i="4"/>
  <c r="C1654" i="4" s="1"/>
  <c r="A1655" i="4"/>
  <c r="C1655" i="4" s="1"/>
  <c r="A1656" i="4"/>
  <c r="C1656" i="4" s="1"/>
  <c r="A1657" i="4"/>
  <c r="C1657" i="4" s="1"/>
  <c r="A1658" i="4"/>
  <c r="C1658" i="4" s="1"/>
  <c r="A1659" i="4"/>
  <c r="C1659" i="4" s="1"/>
  <c r="A1660" i="4"/>
  <c r="C1660" i="4" s="1"/>
  <c r="A1661" i="4"/>
  <c r="C1661" i="4" s="1"/>
  <c r="A1662" i="4"/>
  <c r="C1662" i="4" s="1"/>
  <c r="D1662" i="4" s="1"/>
  <c r="A1663" i="4"/>
  <c r="C1663" i="4" s="1"/>
  <c r="A1664" i="4"/>
  <c r="C1664" i="4" s="1"/>
  <c r="A1665" i="4"/>
  <c r="C1665" i="4" s="1"/>
  <c r="A1666" i="4"/>
  <c r="C1666" i="4" s="1"/>
  <c r="A1667" i="4"/>
  <c r="C1667" i="4" s="1"/>
  <c r="A1668" i="4"/>
  <c r="C1668" i="4" s="1"/>
  <c r="D1668" i="4" s="1"/>
  <c r="A1669" i="4"/>
  <c r="C1669" i="4" s="1"/>
  <c r="A1670" i="4"/>
  <c r="C1670" i="4" s="1"/>
  <c r="A1671" i="4"/>
  <c r="C1671" i="4" s="1"/>
  <c r="A1672" i="4"/>
  <c r="C1672" i="4" s="1"/>
  <c r="A1673" i="4"/>
  <c r="C1673" i="4" s="1"/>
  <c r="A1674" i="4"/>
  <c r="C1674" i="4" s="1"/>
  <c r="D1674" i="4" s="1"/>
  <c r="A1675" i="4"/>
  <c r="C1675" i="4" s="1"/>
  <c r="A1676" i="4"/>
  <c r="C1676" i="4" s="1"/>
  <c r="A1677" i="4"/>
  <c r="C1677" i="4" s="1"/>
  <c r="A1678" i="4"/>
  <c r="C1678" i="4" s="1"/>
  <c r="A1679" i="4"/>
  <c r="C1679" i="4" s="1"/>
  <c r="A1680" i="4"/>
  <c r="C1680" i="4" s="1"/>
  <c r="D1680" i="4" s="1"/>
  <c r="A1681" i="4"/>
  <c r="C1681" i="4" s="1"/>
  <c r="D1681" i="4" s="1"/>
  <c r="A1682" i="4"/>
  <c r="C1682" i="4" s="1"/>
  <c r="A1683" i="4"/>
  <c r="C1683" i="4" s="1"/>
  <c r="A1684" i="4"/>
  <c r="C1684" i="4" s="1"/>
  <c r="A1685" i="4"/>
  <c r="C1685" i="4" s="1"/>
  <c r="A1686" i="4"/>
  <c r="C1686" i="4" s="1"/>
  <c r="D1686" i="4" s="1"/>
  <c r="A1687" i="4"/>
  <c r="C1687" i="4" s="1"/>
  <c r="A1688" i="4"/>
  <c r="C1688" i="4" s="1"/>
  <c r="A1689" i="4"/>
  <c r="C1689" i="4" s="1"/>
  <c r="A1690" i="4"/>
  <c r="C1690" i="4" s="1"/>
  <c r="A1691" i="4"/>
  <c r="C1691" i="4" s="1"/>
  <c r="A1692" i="4"/>
  <c r="C1692" i="4" s="1"/>
  <c r="A1693" i="4"/>
  <c r="C1693" i="4" s="1"/>
  <c r="A1694" i="4"/>
  <c r="C1694" i="4" s="1"/>
  <c r="A1695" i="4"/>
  <c r="C1695" i="4" s="1"/>
  <c r="A1696" i="4"/>
  <c r="C1696" i="4" s="1"/>
  <c r="A1697" i="4"/>
  <c r="C1697" i="4" s="1"/>
  <c r="A1698" i="4"/>
  <c r="C1698" i="4" s="1"/>
  <c r="D1698" i="4" s="1"/>
  <c r="A1699" i="4"/>
  <c r="C1699" i="4" s="1"/>
  <c r="A1700" i="4"/>
  <c r="C1700" i="4" s="1"/>
  <c r="A1701" i="4"/>
  <c r="C1701" i="4" s="1"/>
  <c r="A1702" i="4"/>
  <c r="C1702" i="4" s="1"/>
  <c r="A1703" i="4"/>
  <c r="C1703" i="4" s="1"/>
  <c r="A1704" i="4"/>
  <c r="C1704" i="4" s="1"/>
  <c r="D1704" i="4" s="1"/>
  <c r="A1705" i="4"/>
  <c r="C1705" i="4" s="1"/>
  <c r="A1706" i="4"/>
  <c r="C1706" i="4" s="1"/>
  <c r="A1707" i="4"/>
  <c r="C1707" i="4" s="1"/>
  <c r="A1708" i="4"/>
  <c r="C1708" i="4" s="1"/>
  <c r="A1709" i="4"/>
  <c r="C1709" i="4" s="1"/>
  <c r="A1710" i="4"/>
  <c r="C1710" i="4" s="1"/>
  <c r="D1710" i="4" s="1"/>
  <c r="A1711" i="4"/>
  <c r="C1711" i="4" s="1"/>
  <c r="A1712" i="4"/>
  <c r="C1712" i="4" s="1"/>
  <c r="A1713" i="4"/>
  <c r="C1713" i="4" s="1"/>
  <c r="A1714" i="4"/>
  <c r="C1714" i="4" s="1"/>
  <c r="A1715" i="4"/>
  <c r="C1715" i="4" s="1"/>
  <c r="A1716" i="4"/>
  <c r="C1716" i="4" s="1"/>
  <c r="D1716" i="4" s="1"/>
  <c r="A1717" i="4"/>
  <c r="C1717" i="4" s="1"/>
  <c r="D1717" i="4" s="1"/>
  <c r="A1718" i="4"/>
  <c r="C1718" i="4" s="1"/>
  <c r="A1719" i="4"/>
  <c r="C1719" i="4" s="1"/>
  <c r="A1720" i="4"/>
  <c r="C1720" i="4" s="1"/>
  <c r="A1721" i="4"/>
  <c r="C1721" i="4" s="1"/>
  <c r="A1722" i="4"/>
  <c r="C1722" i="4" s="1"/>
  <c r="D1722" i="4" s="1"/>
  <c r="A1723" i="4"/>
  <c r="C1723" i="4" s="1"/>
  <c r="A1724" i="4"/>
  <c r="C1724" i="4" s="1"/>
  <c r="A1725" i="4"/>
  <c r="C1725" i="4" s="1"/>
  <c r="A1726" i="4"/>
  <c r="C1726" i="4" s="1"/>
  <c r="A1727" i="4"/>
  <c r="C1727" i="4" s="1"/>
  <c r="A1728" i="4"/>
  <c r="C1728" i="4" s="1"/>
  <c r="A1729" i="4"/>
  <c r="C1729" i="4" s="1"/>
  <c r="A1730" i="4"/>
  <c r="C1730" i="4" s="1"/>
  <c r="A1731" i="4"/>
  <c r="C1731" i="4" s="1"/>
  <c r="A1732" i="4"/>
  <c r="C1732" i="4" s="1"/>
  <c r="A1733" i="4"/>
  <c r="C1733" i="4" s="1"/>
  <c r="A1734" i="4"/>
  <c r="C1734" i="4" s="1"/>
  <c r="D1734" i="4" s="1"/>
  <c r="A1735" i="4"/>
  <c r="C1735" i="4" s="1"/>
  <c r="A1736" i="4"/>
  <c r="C1736" i="4" s="1"/>
  <c r="A1737" i="4"/>
  <c r="C1737" i="4" s="1"/>
  <c r="A1738" i="4"/>
  <c r="C1738" i="4" s="1"/>
  <c r="A1739" i="4"/>
  <c r="C1739" i="4" s="1"/>
  <c r="A1740" i="4"/>
  <c r="C1740" i="4" s="1"/>
  <c r="D1740" i="4" s="1"/>
  <c r="A1741" i="4"/>
  <c r="C1741" i="4" s="1"/>
  <c r="A1742" i="4"/>
  <c r="C1742" i="4" s="1"/>
  <c r="A1743" i="4"/>
  <c r="C1743" i="4" s="1"/>
  <c r="A1744" i="4"/>
  <c r="C1744" i="4" s="1"/>
  <c r="A1745" i="4"/>
  <c r="C1745" i="4" s="1"/>
  <c r="A1746" i="4"/>
  <c r="C1746" i="4" s="1"/>
  <c r="D1746" i="4" s="1"/>
  <c r="A1747" i="4"/>
  <c r="C1747" i="4" s="1"/>
  <c r="A1748" i="4"/>
  <c r="C1748" i="4" s="1"/>
  <c r="A1749" i="4"/>
  <c r="C1749" i="4" s="1"/>
  <c r="A1750" i="4"/>
  <c r="C1750" i="4" s="1"/>
  <c r="A1751" i="4"/>
  <c r="C1751" i="4" s="1"/>
  <c r="A1752" i="4"/>
  <c r="C1752" i="4" s="1"/>
  <c r="D1752" i="4" s="1"/>
  <c r="A1753" i="4"/>
  <c r="C1753" i="4" s="1"/>
  <c r="D1753" i="4" s="1"/>
  <c r="A1754" i="4"/>
  <c r="C1754" i="4" s="1"/>
  <c r="A1755" i="4"/>
  <c r="C1755" i="4" s="1"/>
  <c r="A1756" i="4"/>
  <c r="C1756" i="4" s="1"/>
  <c r="A1757" i="4"/>
  <c r="C1757" i="4" s="1"/>
  <c r="A1758" i="4"/>
  <c r="C1758" i="4" s="1"/>
  <c r="D1758" i="4" s="1"/>
  <c r="A1759" i="4"/>
  <c r="C1759" i="4" s="1"/>
  <c r="A1760" i="4"/>
  <c r="C1760" i="4" s="1"/>
  <c r="A1761" i="4"/>
  <c r="C1761" i="4" s="1"/>
  <c r="A1762" i="4"/>
  <c r="C1762" i="4" s="1"/>
  <c r="A1763" i="4"/>
  <c r="C1763" i="4" s="1"/>
  <c r="A1764" i="4"/>
  <c r="C1764" i="4" s="1"/>
  <c r="A1765" i="4"/>
  <c r="C1765" i="4" s="1"/>
  <c r="A1766" i="4"/>
  <c r="C1766" i="4" s="1"/>
  <c r="A1767" i="4"/>
  <c r="C1767" i="4" s="1"/>
  <c r="A1768" i="4"/>
  <c r="C1768" i="4" s="1"/>
  <c r="A1769" i="4"/>
  <c r="C1769" i="4" s="1"/>
  <c r="A1770" i="4"/>
  <c r="C1770" i="4" s="1"/>
  <c r="D1770" i="4" s="1"/>
  <c r="A1771" i="4"/>
  <c r="C1771" i="4" s="1"/>
  <c r="A1772" i="4"/>
  <c r="C1772" i="4" s="1"/>
  <c r="A1773" i="4"/>
  <c r="C1773" i="4" s="1"/>
  <c r="A1774" i="4"/>
  <c r="C1774" i="4" s="1"/>
  <c r="A1775" i="4"/>
  <c r="C1775" i="4" s="1"/>
  <c r="A1776" i="4"/>
  <c r="C1776" i="4" s="1"/>
  <c r="D1776" i="4" s="1"/>
  <c r="A1777" i="4"/>
  <c r="C1777" i="4" s="1"/>
  <c r="A1778" i="4"/>
  <c r="C1778" i="4" s="1"/>
  <c r="A1779" i="4"/>
  <c r="C1779" i="4" s="1"/>
  <c r="A1780" i="4"/>
  <c r="C1780" i="4" s="1"/>
  <c r="A1781" i="4"/>
  <c r="C1781" i="4" s="1"/>
  <c r="A1782" i="4"/>
  <c r="C1782" i="4" s="1"/>
  <c r="D1782" i="4" s="1"/>
  <c r="A1783" i="4"/>
  <c r="C1783" i="4" s="1"/>
  <c r="D1783" i="4" s="1"/>
  <c r="A1784" i="4"/>
  <c r="C1784" i="4" s="1"/>
  <c r="A1785" i="4"/>
  <c r="C1785" i="4" s="1"/>
  <c r="A1786" i="4"/>
  <c r="C1786" i="4" s="1"/>
  <c r="A1787" i="4"/>
  <c r="C1787" i="4" s="1"/>
  <c r="A1788" i="4"/>
  <c r="C1788" i="4" s="1"/>
  <c r="D1788" i="4" s="1"/>
  <c r="A1789" i="4"/>
  <c r="C1789" i="4" s="1"/>
  <c r="A1790" i="4"/>
  <c r="C1790" i="4" s="1"/>
  <c r="A1791" i="4"/>
  <c r="C1791" i="4" s="1"/>
  <c r="A1792" i="4"/>
  <c r="C1792" i="4" s="1"/>
  <c r="A1793" i="4"/>
  <c r="C1793" i="4" s="1"/>
  <c r="A1794" i="4"/>
  <c r="C1794" i="4" s="1"/>
  <c r="A1795" i="4"/>
  <c r="C1795" i="4" s="1"/>
  <c r="A1796" i="4"/>
  <c r="C1796" i="4" s="1"/>
  <c r="A1797" i="4"/>
  <c r="C1797" i="4" s="1"/>
  <c r="A1798" i="4"/>
  <c r="C1798" i="4" s="1"/>
  <c r="A1799" i="4"/>
  <c r="C1799" i="4" s="1"/>
  <c r="A1800" i="4"/>
  <c r="C1800" i="4" s="1"/>
  <c r="D1800" i="4" s="1"/>
  <c r="A1801" i="4"/>
  <c r="C1801" i="4" s="1"/>
  <c r="A1802" i="4"/>
  <c r="C1802" i="4" s="1"/>
  <c r="A1803" i="4"/>
  <c r="C1803" i="4" s="1"/>
  <c r="A1804" i="4"/>
  <c r="C1804" i="4" s="1"/>
  <c r="A1805" i="4"/>
  <c r="C1805" i="4" s="1"/>
  <c r="A1806" i="4"/>
  <c r="C1806" i="4" s="1"/>
  <c r="D1806" i="4" s="1"/>
  <c r="A1807" i="4"/>
  <c r="C1807" i="4" s="1"/>
  <c r="A1808" i="4"/>
  <c r="C1808" i="4" s="1"/>
  <c r="A1809" i="4"/>
  <c r="C1809" i="4" s="1"/>
  <c r="A1810" i="4"/>
  <c r="C1810" i="4" s="1"/>
  <c r="A1811" i="4"/>
  <c r="C1811" i="4" s="1"/>
  <c r="A1812" i="4"/>
  <c r="C1812" i="4" s="1"/>
  <c r="D1812" i="4" s="1"/>
  <c r="A1813" i="4"/>
  <c r="C1813" i="4" s="1"/>
  <c r="D1813" i="4" s="1"/>
  <c r="A1814" i="4"/>
  <c r="C1814" i="4" s="1"/>
  <c r="A1815" i="4"/>
  <c r="C1815" i="4" s="1"/>
  <c r="A1816" i="4"/>
  <c r="C1816" i="4" s="1"/>
  <c r="A1817" i="4"/>
  <c r="C1817" i="4" s="1"/>
  <c r="A1818" i="4"/>
  <c r="C1818" i="4" s="1"/>
  <c r="D1818" i="4" s="1"/>
  <c r="A1819" i="4"/>
  <c r="C1819" i="4" s="1"/>
  <c r="A1820" i="4"/>
  <c r="C1820" i="4" s="1"/>
  <c r="A1821" i="4"/>
  <c r="C1821" i="4" s="1"/>
  <c r="A1822" i="4"/>
  <c r="C1822" i="4" s="1"/>
  <c r="A1823" i="4"/>
  <c r="C1823" i="4" s="1"/>
  <c r="A1824" i="4"/>
  <c r="C1824" i="4" s="1"/>
  <c r="A1825" i="4"/>
  <c r="C1825" i="4" s="1"/>
  <c r="A1826" i="4"/>
  <c r="C1826" i="4" s="1"/>
  <c r="A1827" i="4"/>
  <c r="C1827" i="4" s="1"/>
  <c r="A1828" i="4"/>
  <c r="C1828" i="4" s="1"/>
  <c r="A1829" i="4"/>
  <c r="C1829" i="4" s="1"/>
  <c r="A1830" i="4"/>
  <c r="C1830" i="4" s="1"/>
  <c r="D1830" i="4" s="1"/>
  <c r="A1831" i="4"/>
  <c r="C1831" i="4" s="1"/>
  <c r="A1832" i="4"/>
  <c r="C1832" i="4" s="1"/>
  <c r="A1833" i="4"/>
  <c r="C1833" i="4" s="1"/>
  <c r="A1834" i="4"/>
  <c r="C1834" i="4" s="1"/>
  <c r="A1835" i="4"/>
  <c r="C1835" i="4" s="1"/>
  <c r="A1836" i="4"/>
  <c r="C1836" i="4" s="1"/>
  <c r="D1836" i="4" s="1"/>
  <c r="A1837" i="4"/>
  <c r="C1837" i="4" s="1"/>
  <c r="A1838" i="4"/>
  <c r="C1838" i="4" s="1"/>
  <c r="A1839" i="4"/>
  <c r="C1839" i="4" s="1"/>
  <c r="A1840" i="4"/>
  <c r="C1840" i="4" s="1"/>
  <c r="A1841" i="4"/>
  <c r="C1841" i="4" s="1"/>
  <c r="A1842" i="4"/>
  <c r="C1842" i="4" s="1"/>
  <c r="D1842" i="4" s="1"/>
  <c r="A1843" i="4"/>
  <c r="C1843" i="4" s="1"/>
  <c r="D1843" i="4" s="1"/>
  <c r="A1844" i="4"/>
  <c r="C1844" i="4" s="1"/>
  <c r="A1845" i="4"/>
  <c r="C1845" i="4" s="1"/>
  <c r="A1846" i="4"/>
  <c r="C1846" i="4" s="1"/>
  <c r="A1847" i="4"/>
  <c r="C1847" i="4" s="1"/>
  <c r="A1848" i="4"/>
  <c r="C1848" i="4" s="1"/>
  <c r="D1848" i="4" s="1"/>
  <c r="A1849" i="4"/>
  <c r="C1849" i="4" s="1"/>
  <c r="A1850" i="4"/>
  <c r="C1850" i="4" s="1"/>
  <c r="A1851" i="4"/>
  <c r="C1851" i="4" s="1"/>
  <c r="A1852" i="4"/>
  <c r="C1852" i="4" s="1"/>
  <c r="A1853" i="4"/>
  <c r="C1853" i="4" s="1"/>
  <c r="A1854" i="4"/>
  <c r="C1854" i="4" s="1"/>
  <c r="A1855" i="4"/>
  <c r="C1855" i="4" s="1"/>
  <c r="A1856" i="4"/>
  <c r="C1856" i="4" s="1"/>
  <c r="A1857" i="4"/>
  <c r="C1857" i="4" s="1"/>
  <c r="A1858" i="4"/>
  <c r="C1858" i="4" s="1"/>
  <c r="A1859" i="4"/>
  <c r="C1859" i="4" s="1"/>
  <c r="A1860" i="4"/>
  <c r="C1860" i="4" s="1"/>
  <c r="D1860" i="4" s="1"/>
  <c r="A1861" i="4"/>
  <c r="C1861" i="4" s="1"/>
  <c r="A1862" i="4"/>
  <c r="C1862" i="4" s="1"/>
  <c r="A1863" i="4"/>
  <c r="C1863" i="4" s="1"/>
  <c r="A1864" i="4"/>
  <c r="C1864" i="4" s="1"/>
  <c r="A1865" i="4"/>
  <c r="C1865" i="4" s="1"/>
  <c r="D1865" i="4" s="1"/>
  <c r="A1866" i="4"/>
  <c r="C1866" i="4" s="1"/>
  <c r="D1866" i="4" s="1"/>
  <c r="A1867" i="4"/>
  <c r="C1867" i="4" s="1"/>
  <c r="A1868" i="4"/>
  <c r="C1868" i="4" s="1"/>
  <c r="A1869" i="4"/>
  <c r="C1869" i="4" s="1"/>
  <c r="A1870" i="4"/>
  <c r="C1870" i="4" s="1"/>
  <c r="A1871" i="4"/>
  <c r="C1871" i="4" s="1"/>
  <c r="A1872" i="4"/>
  <c r="C1872" i="4" s="1"/>
  <c r="D1872" i="4" s="1"/>
  <c r="A1873" i="4"/>
  <c r="C1873" i="4" s="1"/>
  <c r="D1873" i="4" s="1"/>
  <c r="A1874" i="4"/>
  <c r="C1874" i="4" s="1"/>
  <c r="A1875" i="4"/>
  <c r="C1875" i="4" s="1"/>
  <c r="A1876" i="4"/>
  <c r="C1876" i="4" s="1"/>
  <c r="A1877" i="4"/>
  <c r="C1877" i="4" s="1"/>
  <c r="A1878" i="4"/>
  <c r="C1878" i="4" s="1"/>
  <c r="A1879" i="4"/>
  <c r="C1879" i="4" s="1"/>
  <c r="A1880" i="4"/>
  <c r="C1880" i="4" s="1"/>
  <c r="A1881" i="4"/>
  <c r="C1881" i="4" s="1"/>
  <c r="A1882" i="4"/>
  <c r="C1882" i="4" s="1"/>
  <c r="A1883" i="4"/>
  <c r="C1883" i="4" s="1"/>
  <c r="D1883" i="4" s="1"/>
  <c r="A1884" i="4"/>
  <c r="C1884" i="4" s="1"/>
  <c r="D1884" i="4" s="1"/>
  <c r="A1885" i="4"/>
  <c r="C1885" i="4" s="1"/>
  <c r="A1886" i="4"/>
  <c r="C1886" i="4" s="1"/>
  <c r="A1887" i="4"/>
  <c r="C1887" i="4" s="1"/>
  <c r="A1888" i="4"/>
  <c r="C1888" i="4" s="1"/>
  <c r="A1889" i="4"/>
  <c r="C1889" i="4" s="1"/>
  <c r="A1890" i="4"/>
  <c r="C1890" i="4" s="1"/>
  <c r="D1890" i="4" s="1"/>
  <c r="A1891" i="4"/>
  <c r="C1891" i="4" s="1"/>
  <c r="A1892" i="4"/>
  <c r="C1892" i="4" s="1"/>
  <c r="A1893" i="4"/>
  <c r="C1893" i="4" s="1"/>
  <c r="A1894" i="4"/>
  <c r="C1894" i="4" s="1"/>
  <c r="A1895" i="4"/>
  <c r="C1895" i="4" s="1"/>
  <c r="D1895" i="4" s="1"/>
  <c r="A1896" i="4"/>
  <c r="C1896" i="4" s="1"/>
  <c r="D1896" i="4" s="1"/>
  <c r="A1897" i="4"/>
  <c r="C1897" i="4" s="1"/>
  <c r="A1898" i="4"/>
  <c r="C1898" i="4" s="1"/>
  <c r="A1899" i="4"/>
  <c r="C1899" i="4" s="1"/>
  <c r="A1900" i="4"/>
  <c r="C1900" i="4" s="1"/>
  <c r="A1901" i="4"/>
  <c r="C1901" i="4" s="1"/>
  <c r="A1902" i="4"/>
  <c r="C1902" i="4" s="1"/>
  <c r="D1902" i="4" s="1"/>
  <c r="A1903" i="4"/>
  <c r="C1903" i="4" s="1"/>
  <c r="D1903" i="4" s="1"/>
  <c r="A1904" i="4"/>
  <c r="C1904" i="4" s="1"/>
  <c r="A1905" i="4"/>
  <c r="C1905" i="4" s="1"/>
  <c r="A1906" i="4"/>
  <c r="C1906" i="4" s="1"/>
  <c r="A1907" i="4"/>
  <c r="C1907" i="4" s="1"/>
  <c r="D1907" i="4" s="1"/>
  <c r="A1908" i="4"/>
  <c r="C1908" i="4" s="1"/>
  <c r="D1908" i="4" s="1"/>
  <c r="A1909" i="4"/>
  <c r="C1909" i="4" s="1"/>
  <c r="A1910" i="4"/>
  <c r="C1910" i="4" s="1"/>
  <c r="A1911" i="4"/>
  <c r="C1911" i="4" s="1"/>
  <c r="A1912" i="4"/>
  <c r="C1912" i="4" s="1"/>
  <c r="A1913" i="4"/>
  <c r="C1913" i="4" s="1"/>
  <c r="A1914" i="4"/>
  <c r="C1914" i="4" s="1"/>
  <c r="D1914" i="4" s="1"/>
  <c r="A1915" i="4"/>
  <c r="C1915" i="4" s="1"/>
  <c r="A1916" i="4"/>
  <c r="C1916" i="4" s="1"/>
  <c r="A1917" i="4"/>
  <c r="C1917" i="4" s="1"/>
  <c r="A1918" i="4"/>
  <c r="C1918" i="4" s="1"/>
  <c r="A1919" i="4"/>
  <c r="C1919" i="4" s="1"/>
  <c r="D1919" i="4" s="1"/>
  <c r="A1920" i="4"/>
  <c r="C1920" i="4" s="1"/>
  <c r="D1920" i="4" s="1"/>
  <c r="A1921" i="4"/>
  <c r="C1921" i="4" s="1"/>
  <c r="D1921" i="4" s="1"/>
  <c r="A1922" i="4"/>
  <c r="C1922" i="4" s="1"/>
  <c r="A1923" i="4"/>
  <c r="C1923" i="4" s="1"/>
  <c r="A1924" i="4"/>
  <c r="C1924" i="4" s="1"/>
  <c r="A1925" i="4"/>
  <c r="C1925" i="4" s="1"/>
  <c r="A1926" i="4"/>
  <c r="C1926" i="4" s="1"/>
  <c r="D1926" i="4" s="1"/>
  <c r="A1927" i="4"/>
  <c r="C1927" i="4" s="1"/>
  <c r="A1928" i="4"/>
  <c r="C1928" i="4" s="1"/>
  <c r="A1929" i="4"/>
  <c r="C1929" i="4" s="1"/>
  <c r="A1930" i="4"/>
  <c r="C1930" i="4" s="1"/>
  <c r="A1931" i="4"/>
  <c r="C1931" i="4" s="1"/>
  <c r="A1932" i="4"/>
  <c r="C1932" i="4" s="1"/>
  <c r="A1933" i="4"/>
  <c r="C1933" i="4" s="1"/>
  <c r="A1934" i="4"/>
  <c r="C1934" i="4" s="1"/>
  <c r="A1935" i="4"/>
  <c r="C1935" i="4" s="1"/>
  <c r="A1936" i="4"/>
  <c r="C1936" i="4" s="1"/>
  <c r="A1937" i="4"/>
  <c r="C1937" i="4" s="1"/>
  <c r="A1938" i="4"/>
  <c r="C1938" i="4" s="1"/>
  <c r="D1938" i="4" s="1"/>
  <c r="A1939" i="4"/>
  <c r="C1939" i="4" s="1"/>
  <c r="A1940" i="4"/>
  <c r="C1940" i="4" s="1"/>
  <c r="A1941" i="4"/>
  <c r="C1941" i="4" s="1"/>
  <c r="A1942" i="4"/>
  <c r="C1942" i="4" s="1"/>
  <c r="A1943" i="4"/>
  <c r="C1943" i="4" s="1"/>
  <c r="D1943" i="4" s="1"/>
  <c r="A1944" i="4"/>
  <c r="C1944" i="4" s="1"/>
  <c r="D1944" i="4" s="1"/>
  <c r="A1945" i="4"/>
  <c r="C1945" i="4" s="1"/>
  <c r="A1946" i="4"/>
  <c r="C1946" i="4" s="1"/>
  <c r="A1947" i="4"/>
  <c r="C1947" i="4" s="1"/>
  <c r="A1948" i="4"/>
  <c r="C1948" i="4" s="1"/>
  <c r="A1949" i="4"/>
  <c r="C1949" i="4" s="1"/>
  <c r="D1949" i="4" s="1"/>
  <c r="A1950" i="4"/>
  <c r="C1950" i="4" s="1"/>
  <c r="D1950" i="4" s="1"/>
  <c r="A1951" i="4"/>
  <c r="C1951" i="4" s="1"/>
  <c r="A1952" i="4"/>
  <c r="C1952" i="4" s="1"/>
  <c r="A1953" i="4"/>
  <c r="C1953" i="4" s="1"/>
  <c r="D1953" i="4" s="1"/>
  <c r="A1954" i="4"/>
  <c r="C1954" i="4" s="1"/>
  <c r="A1955" i="4"/>
  <c r="C1955" i="4" s="1"/>
  <c r="D1955" i="4" s="1"/>
  <c r="A1956" i="4"/>
  <c r="C1956" i="4" s="1"/>
  <c r="D1956" i="4" s="1"/>
  <c r="A1957" i="4"/>
  <c r="C1957" i="4" s="1"/>
  <c r="A1958" i="4"/>
  <c r="C1958" i="4" s="1"/>
  <c r="A1959" i="4"/>
  <c r="C1959" i="4" s="1"/>
  <c r="A1960" i="4"/>
  <c r="C1960" i="4" s="1"/>
  <c r="A1961" i="4"/>
  <c r="C1961" i="4" s="1"/>
  <c r="D1961" i="4" s="1"/>
  <c r="A1962" i="4"/>
  <c r="C1962" i="4" s="1"/>
  <c r="D1962" i="4" s="1"/>
  <c r="A1963" i="4"/>
  <c r="C1963" i="4" s="1"/>
  <c r="A1964" i="4"/>
  <c r="C1964" i="4" s="1"/>
  <c r="A1965" i="4"/>
  <c r="C1965" i="4" s="1"/>
  <c r="A1966" i="4"/>
  <c r="C1966" i="4" s="1"/>
  <c r="A1967" i="4"/>
  <c r="C1967" i="4" s="1"/>
  <c r="A1968" i="4"/>
  <c r="C1968" i="4" s="1"/>
  <c r="D1968" i="4" s="1"/>
  <c r="A1969" i="4"/>
  <c r="C1969" i="4" s="1"/>
  <c r="A1970" i="4"/>
  <c r="C1970" i="4" s="1"/>
  <c r="A1971" i="4"/>
  <c r="C1971" i="4" s="1"/>
  <c r="A1972" i="4"/>
  <c r="C1972" i="4" s="1"/>
  <c r="A1973" i="4"/>
  <c r="C1973" i="4" s="1"/>
  <c r="A1974" i="4"/>
  <c r="C1974" i="4" s="1"/>
  <c r="A1975" i="4"/>
  <c r="C1975" i="4" s="1"/>
  <c r="A1976" i="4"/>
  <c r="C1976" i="4" s="1"/>
  <c r="A1977" i="4"/>
  <c r="C1977" i="4" s="1"/>
  <c r="A1978" i="4"/>
  <c r="C1978" i="4" s="1"/>
  <c r="A1979" i="4"/>
  <c r="C1979" i="4" s="1"/>
  <c r="A1980" i="4"/>
  <c r="C1980" i="4" s="1"/>
  <c r="D1980" i="4" s="1"/>
  <c r="A1981" i="4"/>
  <c r="C1981" i="4" s="1"/>
  <c r="A1982" i="4"/>
  <c r="C1982" i="4" s="1"/>
  <c r="A1983" i="4"/>
  <c r="C1983" i="4" s="1"/>
  <c r="D1983" i="4" s="1"/>
  <c r="A1984" i="4"/>
  <c r="C1984" i="4" s="1"/>
  <c r="A1985" i="4"/>
  <c r="C1985" i="4" s="1"/>
  <c r="A1986" i="4"/>
  <c r="C1986" i="4" s="1"/>
  <c r="D1986" i="4" s="1"/>
  <c r="A1987" i="4"/>
  <c r="C1987" i="4" s="1"/>
  <c r="A1988" i="4"/>
  <c r="C1988" i="4" s="1"/>
  <c r="A1989" i="4"/>
  <c r="C1989" i="4" s="1"/>
  <c r="A1990" i="4"/>
  <c r="C1990" i="4" s="1"/>
  <c r="D1990" i="4" s="1"/>
  <c r="A1991" i="4"/>
  <c r="C1991" i="4" s="1"/>
  <c r="D1991" i="4" s="1"/>
  <c r="A1992" i="4"/>
  <c r="C1992" i="4" s="1"/>
  <c r="D1992" i="4" s="1"/>
  <c r="A1993" i="4"/>
  <c r="C1993" i="4" s="1"/>
  <c r="A1994" i="4"/>
  <c r="C1994" i="4" s="1"/>
  <c r="A1995" i="4"/>
  <c r="C1995" i="4" s="1"/>
  <c r="A1996" i="4"/>
  <c r="C1996" i="4" s="1"/>
  <c r="A1997" i="4"/>
  <c r="C1997" i="4" s="1"/>
  <c r="D1997" i="4" s="1"/>
  <c r="A1998" i="4"/>
  <c r="C1998" i="4" s="1"/>
  <c r="D1998" i="4" s="1"/>
  <c r="A1999" i="4"/>
  <c r="C1999" i="4" s="1"/>
  <c r="A2000" i="4"/>
  <c r="C2000" i="4" s="1"/>
  <c r="A2001" i="4"/>
  <c r="C2001" i="4" s="1"/>
  <c r="A2002" i="4"/>
  <c r="C2002" i="4" s="1"/>
  <c r="A2003" i="4"/>
  <c r="C2003" i="4" s="1"/>
  <c r="A2004" i="4"/>
  <c r="C2004" i="4" s="1"/>
  <c r="D2004" i="4" s="1"/>
  <c r="A2005" i="4"/>
  <c r="C2005" i="4" s="1"/>
  <c r="A2006" i="4"/>
  <c r="C2006" i="4" s="1"/>
  <c r="A2007" i="4"/>
  <c r="C2007" i="4" s="1"/>
  <c r="A2008" i="4"/>
  <c r="C2008" i="4" s="1"/>
  <c r="A2009" i="4"/>
  <c r="C2009" i="4" s="1"/>
  <c r="A2010" i="4"/>
  <c r="C2010" i="4" s="1"/>
  <c r="A2011" i="4"/>
  <c r="C2011" i="4" s="1"/>
  <c r="A2012" i="4"/>
  <c r="C2012" i="4" s="1"/>
  <c r="A2013" i="4"/>
  <c r="C2013" i="4" s="1"/>
  <c r="A2014" i="4"/>
  <c r="C2014" i="4" s="1"/>
  <c r="A2015" i="4"/>
  <c r="C2015" i="4" s="1"/>
  <c r="A2016" i="4"/>
  <c r="C2016" i="4" s="1"/>
  <c r="D2016" i="4" s="1"/>
  <c r="A2017" i="4"/>
  <c r="C2017" i="4" s="1"/>
  <c r="A2018" i="4"/>
  <c r="C2018" i="4" s="1"/>
  <c r="A2019" i="4"/>
  <c r="C2019" i="4" s="1"/>
  <c r="D2019" i="4" s="1"/>
  <c r="A2020" i="4"/>
  <c r="C2020" i="4" s="1"/>
  <c r="A2021" i="4"/>
  <c r="C2021" i="4" s="1"/>
  <c r="A2022" i="4"/>
  <c r="C2022" i="4" s="1"/>
  <c r="D2022" i="4" s="1"/>
  <c r="A2023" i="4"/>
  <c r="C2023" i="4" s="1"/>
  <c r="A2024" i="4"/>
  <c r="C2024" i="4" s="1"/>
  <c r="A2025" i="4"/>
  <c r="C2025" i="4" s="1"/>
  <c r="A2026" i="4"/>
  <c r="C2026" i="4" s="1"/>
  <c r="D2026" i="4" s="1"/>
  <c r="A2027" i="4"/>
  <c r="C2027" i="4" s="1"/>
  <c r="D2027" i="4" s="1"/>
  <c r="A2028" i="4"/>
  <c r="C2028" i="4" s="1"/>
  <c r="D2028" i="4" s="1"/>
  <c r="A2029" i="4"/>
  <c r="C2029" i="4" s="1"/>
  <c r="A2030" i="4"/>
  <c r="C2030" i="4" s="1"/>
  <c r="A2031" i="4"/>
  <c r="C2031" i="4" s="1"/>
  <c r="A2032" i="4"/>
  <c r="C2032" i="4" s="1"/>
  <c r="A2033" i="4"/>
  <c r="C2033" i="4" s="1"/>
  <c r="D2033" i="4" s="1"/>
  <c r="A2034" i="4"/>
  <c r="C2034" i="4" s="1"/>
  <c r="D2034" i="4" s="1"/>
  <c r="A2035" i="4"/>
  <c r="C2035" i="4" s="1"/>
  <c r="A2036" i="4"/>
  <c r="C2036" i="4" s="1"/>
  <c r="A2037" i="4"/>
  <c r="C2037" i="4" s="1"/>
  <c r="A2038" i="4"/>
  <c r="C2038" i="4" s="1"/>
  <c r="A2039" i="4"/>
  <c r="C2039" i="4" s="1"/>
  <c r="A2040" i="4"/>
  <c r="C2040" i="4" s="1"/>
  <c r="A2041" i="4"/>
  <c r="C2041" i="4" s="1"/>
  <c r="D2041" i="4" s="1"/>
  <c r="A2042" i="4"/>
  <c r="C2042" i="4" s="1"/>
  <c r="A2043" i="4"/>
  <c r="C2043" i="4" s="1"/>
  <c r="D2043" i="4" s="1"/>
  <c r="A2044" i="4"/>
  <c r="C2044" i="4" s="1"/>
  <c r="A2045" i="4"/>
  <c r="C2045" i="4" s="1"/>
  <c r="A2046" i="4"/>
  <c r="C2046" i="4" s="1"/>
  <c r="D2046" i="4" s="1"/>
  <c r="A2047" i="4"/>
  <c r="C2047" i="4" s="1"/>
  <c r="A2048" i="4"/>
  <c r="C2048" i="4" s="1"/>
  <c r="A2049" i="4"/>
  <c r="C2049" i="4" s="1"/>
  <c r="A2050" i="4"/>
  <c r="C2050" i="4" s="1"/>
  <c r="A2051" i="4"/>
  <c r="C2051" i="4" s="1"/>
  <c r="D2051" i="4" s="1"/>
  <c r="A2052" i="4"/>
  <c r="C2052" i="4" s="1"/>
  <c r="D2052" i="4" s="1"/>
  <c r="A2053" i="4"/>
  <c r="C2053" i="4" s="1"/>
  <c r="A2054" i="4"/>
  <c r="C2054" i="4" s="1"/>
  <c r="A2055" i="4"/>
  <c r="C2055" i="4" s="1"/>
  <c r="A2056" i="4"/>
  <c r="C2056" i="4" s="1"/>
  <c r="A2057" i="4"/>
  <c r="C2057" i="4" s="1"/>
  <c r="A2058" i="4"/>
  <c r="C2058" i="4" s="1"/>
  <c r="A2059" i="4"/>
  <c r="C2059" i="4" s="1"/>
  <c r="A2060" i="4"/>
  <c r="C2060" i="4" s="1"/>
  <c r="A2061" i="4"/>
  <c r="C2061" i="4" s="1"/>
  <c r="D2061" i="4" s="1"/>
  <c r="A2062" i="4"/>
  <c r="C2062" i="4" s="1"/>
  <c r="A2063" i="4"/>
  <c r="C2063" i="4" s="1"/>
  <c r="A2064" i="4"/>
  <c r="C2064" i="4" s="1"/>
  <c r="D2064" i="4" s="1"/>
  <c r="A2065" i="4"/>
  <c r="C2065" i="4" s="1"/>
  <c r="A2066" i="4"/>
  <c r="C2066" i="4" s="1"/>
  <c r="A2067" i="4"/>
  <c r="C2067" i="4" s="1"/>
  <c r="A2068" i="4"/>
  <c r="C2068" i="4" s="1"/>
  <c r="A2069" i="4"/>
  <c r="C2069" i="4" s="1"/>
  <c r="D2069" i="4" s="1"/>
  <c r="A2070" i="4"/>
  <c r="C2070" i="4" s="1"/>
  <c r="D2070" i="4" s="1"/>
  <c r="A2071" i="4"/>
  <c r="C2071" i="4" s="1"/>
  <c r="D2071" i="4" s="1"/>
  <c r="A2072" i="4"/>
  <c r="C2072" i="4" s="1"/>
  <c r="A2073" i="4"/>
  <c r="C2073" i="4" s="1"/>
  <c r="A2074" i="4"/>
  <c r="C2074" i="4" s="1"/>
  <c r="A2075" i="4"/>
  <c r="C2075" i="4" s="1"/>
  <c r="A2076" i="4"/>
  <c r="C2076" i="4" s="1"/>
  <c r="A2077" i="4"/>
  <c r="C2077" i="4" s="1"/>
  <c r="A2078" i="4"/>
  <c r="C2078" i="4" s="1"/>
  <c r="A2079" i="4"/>
  <c r="C2079" i="4" s="1"/>
  <c r="D2079" i="4" s="1"/>
  <c r="A2080" i="4"/>
  <c r="C2080" i="4" s="1"/>
  <c r="A2081" i="4"/>
  <c r="C2081" i="4" s="1"/>
  <c r="A2082" i="4"/>
  <c r="C2082" i="4" s="1"/>
  <c r="D2082" i="4" s="1"/>
  <c r="A2083" i="4"/>
  <c r="C2083" i="4" s="1"/>
  <c r="A2084" i="4"/>
  <c r="C2084" i="4" s="1"/>
  <c r="A2085" i="4"/>
  <c r="C2085" i="4" s="1"/>
  <c r="A2086" i="4"/>
  <c r="C2086" i="4" s="1"/>
  <c r="A2087" i="4"/>
  <c r="C2087" i="4" s="1"/>
  <c r="D2087" i="4" s="1"/>
  <c r="A2088" i="4"/>
  <c r="C2088" i="4" s="1"/>
  <c r="D2088" i="4" s="1"/>
  <c r="A2089" i="4"/>
  <c r="C2089" i="4" s="1"/>
  <c r="A2090" i="4"/>
  <c r="C2090" i="4" s="1"/>
  <c r="A2091" i="4"/>
  <c r="C2091" i="4" s="1"/>
  <c r="A2092" i="4"/>
  <c r="C2092" i="4" s="1"/>
  <c r="A2093" i="4"/>
  <c r="C2093" i="4" s="1"/>
  <c r="A2094" i="4"/>
  <c r="C2094" i="4" s="1"/>
  <c r="A2095" i="4"/>
  <c r="C2095" i="4" s="1"/>
  <c r="D2095" i="4" s="1"/>
  <c r="A2096" i="4"/>
  <c r="C2096" i="4" s="1"/>
  <c r="A2097" i="4"/>
  <c r="C2097" i="4" s="1"/>
  <c r="D2097" i="4" s="1"/>
  <c r="A2098" i="4"/>
  <c r="C2098" i="4" s="1"/>
  <c r="A2099" i="4"/>
  <c r="C2099" i="4" s="1"/>
  <c r="A2100" i="4"/>
  <c r="C2100" i="4" s="1"/>
  <c r="D2100" i="4" s="1"/>
  <c r="A2101" i="4"/>
  <c r="C2101" i="4" s="1"/>
  <c r="A2102" i="4"/>
  <c r="C2102" i="4" s="1"/>
  <c r="A2103" i="4"/>
  <c r="C2103" i="4" s="1"/>
  <c r="A2104" i="4"/>
  <c r="C2104" i="4" s="1"/>
  <c r="A2105" i="4"/>
  <c r="C2105" i="4" s="1"/>
  <c r="D2105" i="4" s="1"/>
  <c r="A2106" i="4"/>
  <c r="C2106" i="4" s="1"/>
  <c r="D2106" i="4" s="1"/>
  <c r="A2107" i="4"/>
  <c r="C2107" i="4" s="1"/>
  <c r="A2108" i="4"/>
  <c r="C2108" i="4" s="1"/>
  <c r="A2109" i="4"/>
  <c r="C2109" i="4" s="1"/>
  <c r="A2110" i="4"/>
  <c r="C2110" i="4" s="1"/>
  <c r="A2111" i="4"/>
  <c r="C2111" i="4" s="1"/>
  <c r="A2112" i="4"/>
  <c r="C2112" i="4" s="1"/>
  <c r="A2113" i="4"/>
  <c r="C2113" i="4" s="1"/>
  <c r="A2114" i="4"/>
  <c r="C2114" i="4" s="1"/>
  <c r="A2115" i="4"/>
  <c r="C2115" i="4" s="1"/>
  <c r="D2115" i="4" s="1"/>
  <c r="A2116" i="4"/>
  <c r="C2116" i="4" s="1"/>
  <c r="A2117" i="4"/>
  <c r="C2117" i="4" s="1"/>
  <c r="A2118" i="4"/>
  <c r="C2118" i="4" s="1"/>
  <c r="D2118" i="4" s="1"/>
  <c r="A2119" i="4"/>
  <c r="C2119" i="4" s="1"/>
  <c r="A2120" i="4"/>
  <c r="C2120" i="4" s="1"/>
  <c r="A2121" i="4"/>
  <c r="C2121" i="4" s="1"/>
  <c r="A2122" i="4"/>
  <c r="C2122" i="4" s="1"/>
  <c r="A2123" i="4"/>
  <c r="C2123" i="4" s="1"/>
  <c r="D2123" i="4" s="1"/>
  <c r="A2124" i="4"/>
  <c r="C2124" i="4" s="1"/>
  <c r="D2124" i="4" s="1"/>
  <c r="A2125" i="4"/>
  <c r="C2125" i="4" s="1"/>
  <c r="D2125" i="4" s="1"/>
  <c r="A2126" i="4"/>
  <c r="C2126" i="4" s="1"/>
  <c r="A2127" i="4"/>
  <c r="C2127" i="4" s="1"/>
  <c r="A2128" i="4"/>
  <c r="C2128" i="4" s="1"/>
  <c r="A2129" i="4"/>
  <c r="C2129" i="4" s="1"/>
  <c r="A2130" i="4"/>
  <c r="C2130" i="4" s="1"/>
  <c r="A2131" i="4"/>
  <c r="C2131" i="4" s="1"/>
  <c r="A2132" i="4"/>
  <c r="C2132" i="4" s="1"/>
  <c r="A2133" i="4"/>
  <c r="C2133" i="4" s="1"/>
  <c r="D2133" i="4" s="1"/>
  <c r="A2134" i="4"/>
  <c r="C2134" i="4" s="1"/>
  <c r="A2135" i="4"/>
  <c r="C2135" i="4" s="1"/>
  <c r="A2136" i="4"/>
  <c r="C2136" i="4" s="1"/>
  <c r="D2136" i="4" s="1"/>
  <c r="A2137" i="4"/>
  <c r="C2137" i="4" s="1"/>
  <c r="A2138" i="4"/>
  <c r="C2138" i="4" s="1"/>
  <c r="A2139" i="4"/>
  <c r="C2139" i="4" s="1"/>
  <c r="A2140" i="4"/>
  <c r="C2140" i="4" s="1"/>
  <c r="A2141" i="4"/>
  <c r="C2141" i="4" s="1"/>
  <c r="D2141" i="4" s="1"/>
  <c r="A2142" i="4"/>
  <c r="C2142" i="4" s="1"/>
  <c r="D2142" i="4" s="1"/>
  <c r="A2143" i="4"/>
  <c r="C2143" i="4" s="1"/>
  <c r="A2144" i="4"/>
  <c r="C2144" i="4" s="1"/>
  <c r="A2145" i="4"/>
  <c r="C2145" i="4" s="1"/>
  <c r="A2146" i="4"/>
  <c r="C2146" i="4" s="1"/>
  <c r="A2147" i="4"/>
  <c r="C2147" i="4" s="1"/>
  <c r="A2148" i="4"/>
  <c r="C2148" i="4" s="1"/>
  <c r="A2149" i="4"/>
  <c r="C2149" i="4" s="1"/>
  <c r="D2149" i="4" s="1"/>
  <c r="A2150" i="4"/>
  <c r="C2150" i="4" s="1"/>
  <c r="A2151" i="4"/>
  <c r="C2151" i="4" s="1"/>
  <c r="D2151" i="4" s="1"/>
  <c r="A2152" i="4"/>
  <c r="C2152" i="4" s="1"/>
  <c r="D2152" i="4" s="1"/>
  <c r="A2153" i="4"/>
  <c r="C2153" i="4" s="1"/>
  <c r="A2154" i="4"/>
  <c r="C2154" i="4" s="1"/>
  <c r="D2154" i="4" s="1"/>
  <c r="A2155" i="4"/>
  <c r="C2155" i="4" s="1"/>
  <c r="A2156" i="4"/>
  <c r="C2156" i="4" s="1"/>
  <c r="A2157" i="4"/>
  <c r="C2157" i="4" s="1"/>
  <c r="A2158" i="4"/>
  <c r="C2158" i="4" s="1"/>
  <c r="D2158" i="4" s="1"/>
  <c r="A2159" i="4"/>
  <c r="C2159" i="4" s="1"/>
  <c r="D2159" i="4" s="1"/>
  <c r="A2160" i="4"/>
  <c r="C2160" i="4" s="1"/>
  <c r="D2160" i="4" s="1"/>
  <c r="A2161" i="4"/>
  <c r="C2161" i="4" s="1"/>
  <c r="A2162" i="4"/>
  <c r="C2162" i="4" s="1"/>
  <c r="A2163" i="4"/>
  <c r="C2163" i="4" s="1"/>
  <c r="A2164" i="4"/>
  <c r="C2164" i="4" s="1"/>
  <c r="D2164" i="4" s="1"/>
  <c r="A2165" i="4"/>
  <c r="C2165" i="4" s="1"/>
  <c r="A2166" i="4"/>
  <c r="C2166" i="4" s="1"/>
  <c r="A2167" i="4"/>
  <c r="C2167" i="4" s="1"/>
  <c r="A2168" i="4"/>
  <c r="C2168" i="4" s="1"/>
  <c r="A2169" i="4"/>
  <c r="C2169" i="4" s="1"/>
  <c r="D2169" i="4" s="1"/>
  <c r="A2170" i="4"/>
  <c r="C2170" i="4" s="1"/>
  <c r="D2170" i="4" s="1"/>
  <c r="A2171" i="4"/>
  <c r="C2171" i="4" s="1"/>
  <c r="A2172" i="4"/>
  <c r="C2172" i="4" s="1"/>
  <c r="D2172" i="4" s="1"/>
  <c r="A2173" i="4"/>
  <c r="C2173" i="4" s="1"/>
  <c r="A2174" i="4"/>
  <c r="C2174" i="4" s="1"/>
  <c r="A2175" i="4"/>
  <c r="C2175" i="4" s="1"/>
  <c r="A2176" i="4"/>
  <c r="C2176" i="4" s="1"/>
  <c r="D2176" i="4" s="1"/>
  <c r="A2177" i="4"/>
  <c r="C2177" i="4" s="1"/>
  <c r="D2177" i="4" s="1"/>
  <c r="A2178" i="4"/>
  <c r="C2178" i="4" s="1"/>
  <c r="D2178" i="4" s="1"/>
  <c r="A2179" i="4"/>
  <c r="C2179" i="4" s="1"/>
  <c r="D2179" i="4" s="1"/>
  <c r="A2180" i="4"/>
  <c r="C2180" i="4" s="1"/>
  <c r="A2181" i="4"/>
  <c r="C2181" i="4" s="1"/>
  <c r="A2182" i="4"/>
  <c r="C2182" i="4" s="1"/>
  <c r="D2182" i="4" s="1"/>
  <c r="A2183" i="4"/>
  <c r="C2183" i="4" s="1"/>
  <c r="A2184" i="4"/>
  <c r="C2184" i="4" s="1"/>
  <c r="A2185" i="4"/>
  <c r="C2185" i="4" s="1"/>
  <c r="A2186" i="4"/>
  <c r="C2186" i="4" s="1"/>
  <c r="A2187" i="4"/>
  <c r="C2187" i="4" s="1"/>
  <c r="A2188" i="4"/>
  <c r="C2188" i="4" s="1"/>
  <c r="D2188" i="4" s="1"/>
  <c r="A2189" i="4"/>
  <c r="C2189" i="4" s="1"/>
  <c r="D2189" i="4" s="1"/>
  <c r="A2190" i="4"/>
  <c r="C2190" i="4" s="1"/>
  <c r="D2190" i="4" s="1"/>
  <c r="A2191" i="4"/>
  <c r="C2191" i="4" s="1"/>
  <c r="A2192" i="4"/>
  <c r="C2192" i="4" s="1"/>
  <c r="A2193" i="4"/>
  <c r="C2193" i="4" s="1"/>
  <c r="A2194" i="4"/>
  <c r="C2194" i="4" s="1"/>
  <c r="D2194" i="4" s="1"/>
  <c r="A2195" i="4"/>
  <c r="C2195" i="4" s="1"/>
  <c r="D2195" i="4" s="1"/>
  <c r="A2196" i="4"/>
  <c r="C2196" i="4" s="1"/>
  <c r="D2196" i="4" s="1"/>
  <c r="A2197" i="4"/>
  <c r="C2197" i="4" s="1"/>
  <c r="A2198" i="4"/>
  <c r="C2198" i="4" s="1"/>
  <c r="A2199" i="4"/>
  <c r="C2199" i="4" s="1"/>
  <c r="D2199" i="4" s="1"/>
  <c r="A2200" i="4"/>
  <c r="C2200" i="4" s="1"/>
  <c r="D2200" i="4" s="1"/>
  <c r="A2201" i="4"/>
  <c r="C2201" i="4" s="1"/>
  <c r="D2201" i="4" s="1"/>
  <c r="A2202" i="4"/>
  <c r="C2202" i="4" s="1"/>
  <c r="D2202" i="4" s="1"/>
  <c r="A2203" i="4"/>
  <c r="C2203" i="4" s="1"/>
  <c r="A2204" i="4"/>
  <c r="C2204" i="4" s="1"/>
  <c r="A2205" i="4"/>
  <c r="C2205" i="4" s="1"/>
  <c r="D2205" i="4" s="1"/>
  <c r="A2206" i="4"/>
  <c r="C2206" i="4" s="1"/>
  <c r="D2206" i="4" s="1"/>
  <c r="A2207" i="4"/>
  <c r="C2207" i="4" s="1"/>
  <c r="D2207" i="4" s="1"/>
  <c r="A2208" i="4"/>
  <c r="C2208" i="4" s="1"/>
  <c r="D2208" i="4" s="1"/>
  <c r="A2209" i="4"/>
  <c r="C2209" i="4" s="1"/>
  <c r="A2210" i="4"/>
  <c r="C2210" i="4" s="1"/>
  <c r="D2210" i="4" s="1"/>
  <c r="A2211" i="4"/>
  <c r="C2211" i="4" s="1"/>
  <c r="D2211" i="4" s="1"/>
  <c r="A2212" i="4"/>
  <c r="C2212" i="4" s="1"/>
  <c r="D2212" i="4" s="1"/>
  <c r="A2213" i="4"/>
  <c r="C2213" i="4" s="1"/>
  <c r="A2214" i="4"/>
  <c r="C2214" i="4" s="1"/>
  <c r="D2214" i="4" s="1"/>
  <c r="A2215" i="4"/>
  <c r="C2215" i="4" s="1"/>
  <c r="A2216" i="4"/>
  <c r="C2216" i="4" s="1"/>
  <c r="A2217" i="4"/>
  <c r="C2217" i="4" s="1"/>
  <c r="D2217" i="4" s="1"/>
  <c r="A2218" i="4"/>
  <c r="C2218" i="4" s="1"/>
  <c r="D2218" i="4" s="1"/>
  <c r="A2219" i="4"/>
  <c r="C2219" i="4" s="1"/>
  <c r="D2219" i="4" s="1"/>
  <c r="A2220" i="4"/>
  <c r="C2220" i="4" s="1"/>
  <c r="D2220" i="4" s="1"/>
  <c r="A2221" i="4"/>
  <c r="C2221" i="4" s="1"/>
  <c r="A2222" i="4"/>
  <c r="C2222" i="4" s="1"/>
  <c r="A2223" i="4"/>
  <c r="C2223" i="4" s="1"/>
  <c r="D2223" i="4" s="1"/>
  <c r="A2224" i="4"/>
  <c r="C2224" i="4" s="1"/>
  <c r="D2224" i="4" s="1"/>
  <c r="A2225" i="4"/>
  <c r="C2225" i="4" s="1"/>
  <c r="D2225" i="4" s="1"/>
  <c r="A2226" i="4"/>
  <c r="C2226" i="4" s="1"/>
  <c r="D2226" i="4" s="1"/>
  <c r="A2227" i="4"/>
  <c r="C2227" i="4" s="1"/>
  <c r="A2228" i="4"/>
  <c r="C2228" i="4" s="1"/>
  <c r="A2229" i="4"/>
  <c r="C2229" i="4" s="1"/>
  <c r="D2229" i="4" s="1"/>
  <c r="A2230" i="4"/>
  <c r="C2230" i="4" s="1"/>
  <c r="D2230" i="4" s="1"/>
  <c r="A2231" i="4"/>
  <c r="C2231" i="4" s="1"/>
  <c r="D2231" i="4" s="1"/>
  <c r="A2232" i="4"/>
  <c r="C2232" i="4" s="1"/>
  <c r="D2232" i="4" s="1"/>
  <c r="A2233" i="4"/>
  <c r="C2233" i="4" s="1"/>
  <c r="D2233" i="4" s="1"/>
  <c r="A1122" i="4"/>
  <c r="D2191" i="4"/>
  <c r="D2209" i="4"/>
  <c r="D2215" i="4"/>
  <c r="D2221" i="4"/>
  <c r="D2227" i="4"/>
  <c r="D2213" i="4"/>
  <c r="D2228" i="4"/>
  <c r="D2203" i="4"/>
  <c r="D1476" i="4"/>
  <c r="D1512" i="4"/>
  <c r="D1548" i="4"/>
  <c r="D1584" i="4"/>
  <c r="D1620" i="4"/>
  <c r="D1656" i="4"/>
  <c r="D1692" i="4"/>
  <c r="D1728" i="4"/>
  <c r="D1764" i="4"/>
  <c r="D1769" i="4"/>
  <c r="D1794" i="4"/>
  <c r="D1805" i="4"/>
  <c r="D1824" i="4"/>
  <c r="D1841" i="4"/>
  <c r="D1854" i="4"/>
  <c r="D1870" i="4"/>
  <c r="D1877" i="4"/>
  <c r="D1878" i="4"/>
  <c r="D1906" i="4"/>
  <c r="D1913" i="4"/>
  <c r="D1932" i="4"/>
  <c r="D1935" i="4"/>
  <c r="D1942" i="4"/>
  <c r="D1974" i="4"/>
  <c r="D2010" i="4"/>
  <c r="D2035" i="4"/>
  <c r="D2040" i="4"/>
  <c r="D2047" i="4"/>
  <c r="D2053" i="4"/>
  <c r="D2058" i="4"/>
  <c r="D2059" i="4"/>
  <c r="D2065" i="4"/>
  <c r="D2076" i="4"/>
  <c r="D2077" i="4"/>
  <c r="D2083" i="4"/>
  <c r="D2089" i="4"/>
  <c r="D2094" i="4"/>
  <c r="D2101" i="4"/>
  <c r="D2107" i="4"/>
  <c r="D2112" i="4"/>
  <c r="D2113" i="4"/>
  <c r="D2119" i="4"/>
  <c r="D2130" i="4"/>
  <c r="D2131" i="4"/>
  <c r="D2137" i="4"/>
  <c r="D2143" i="4"/>
  <c r="D2148" i="4"/>
  <c r="D2155" i="4"/>
  <c r="D2161" i="4"/>
  <c r="D2166" i="4"/>
  <c r="D2167" i="4"/>
  <c r="D2173" i="4"/>
  <c r="D2184" i="4"/>
  <c r="D2185" i="4"/>
  <c r="D2197" i="4"/>
  <c r="D1123" i="4"/>
  <c r="D1124" i="4"/>
  <c r="D1125" i="4"/>
  <c r="D1126" i="4"/>
  <c r="D1127" i="4"/>
  <c r="D1129" i="4"/>
  <c r="D1132" i="4"/>
  <c r="D1133" i="4"/>
  <c r="D1135" i="4"/>
  <c r="D1136" i="4"/>
  <c r="D1137" i="4"/>
  <c r="D1138" i="4"/>
  <c r="D1139" i="4"/>
  <c r="D1141" i="4"/>
  <c r="D1142" i="4"/>
  <c r="D1143" i="4"/>
  <c r="D1144" i="4"/>
  <c r="D1145" i="4"/>
  <c r="D1147" i="4"/>
  <c r="D1148" i="4"/>
  <c r="D1149" i="4"/>
  <c r="D1150" i="4"/>
  <c r="D1151" i="4"/>
  <c r="D1153" i="4"/>
  <c r="D1154" i="4"/>
  <c r="D1155" i="4"/>
  <c r="D1156" i="4"/>
  <c r="D1157" i="4"/>
  <c r="D1159" i="4"/>
  <c r="D1160" i="4"/>
  <c r="D1161" i="4"/>
  <c r="D1162" i="4"/>
  <c r="D1163" i="4"/>
  <c r="D1165" i="4"/>
  <c r="D1166" i="4"/>
  <c r="D1167" i="4"/>
  <c r="D1168" i="4"/>
  <c r="D1169" i="4"/>
  <c r="D1171" i="4"/>
  <c r="D1172" i="4"/>
  <c r="D1173" i="4"/>
  <c r="D1174" i="4"/>
  <c r="D1175" i="4"/>
  <c r="D1177" i="4"/>
  <c r="D1178" i="4"/>
  <c r="D1179" i="4"/>
  <c r="D1180" i="4"/>
  <c r="D1181" i="4"/>
  <c r="D1183" i="4"/>
  <c r="D1184" i="4"/>
  <c r="D1185" i="4"/>
  <c r="D1186" i="4"/>
  <c r="D1187" i="4"/>
  <c r="D1189" i="4"/>
  <c r="D1190" i="4"/>
  <c r="D1191" i="4"/>
  <c r="D1192" i="4"/>
  <c r="D1193" i="4"/>
  <c r="D1195" i="4"/>
  <c r="D1196" i="4"/>
  <c r="D1197" i="4"/>
  <c r="D1198" i="4"/>
  <c r="D1199" i="4"/>
  <c r="D1201" i="4"/>
  <c r="D1202" i="4"/>
  <c r="D1203" i="4"/>
  <c r="D1204" i="4"/>
  <c r="D1205" i="4"/>
  <c r="D1207" i="4"/>
  <c r="D1208" i="4"/>
  <c r="D1209" i="4"/>
  <c r="D1210" i="4"/>
  <c r="D1211" i="4"/>
  <c r="D1213" i="4"/>
  <c r="D1214" i="4"/>
  <c r="D1215" i="4"/>
  <c r="D1216" i="4"/>
  <c r="D1217" i="4"/>
  <c r="D1219" i="4"/>
  <c r="D1220" i="4"/>
  <c r="D1221" i="4"/>
  <c r="D1222" i="4"/>
  <c r="D1223" i="4"/>
  <c r="D1225" i="4"/>
  <c r="D1226" i="4"/>
  <c r="D1227" i="4"/>
  <c r="D1228" i="4"/>
  <c r="D1229" i="4"/>
  <c r="D1231" i="4"/>
  <c r="D1232" i="4"/>
  <c r="D1233" i="4"/>
  <c r="D1234" i="4"/>
  <c r="D1235" i="4"/>
  <c r="D1237" i="4"/>
  <c r="D1238" i="4"/>
  <c r="D1239" i="4"/>
  <c r="D1240" i="4"/>
  <c r="D1241" i="4"/>
  <c r="D1243" i="4"/>
  <c r="D1244" i="4"/>
  <c r="D1245" i="4"/>
  <c r="D1246" i="4"/>
  <c r="D1247" i="4"/>
  <c r="D1249" i="4"/>
  <c r="D1250" i="4"/>
  <c r="D1251" i="4"/>
  <c r="D1252" i="4"/>
  <c r="D1253" i="4"/>
  <c r="D1255" i="4"/>
  <c r="D1256" i="4"/>
  <c r="D1257" i="4"/>
  <c r="D1258" i="4"/>
  <c r="D1259" i="4"/>
  <c r="D1261" i="4"/>
  <c r="D1262" i="4"/>
  <c r="D1263" i="4"/>
  <c r="D1264" i="4"/>
  <c r="D1265" i="4"/>
  <c r="D1267" i="4"/>
  <c r="D1268" i="4"/>
  <c r="D1269" i="4"/>
  <c r="D1270" i="4"/>
  <c r="D1271" i="4"/>
  <c r="D1273" i="4"/>
  <c r="D1274" i="4"/>
  <c r="D1275" i="4"/>
  <c r="D1276" i="4"/>
  <c r="D1277" i="4"/>
  <c r="D1279" i="4"/>
  <c r="D1280" i="4"/>
  <c r="D1281" i="4"/>
  <c r="D1282" i="4"/>
  <c r="D1283" i="4"/>
  <c r="D1285" i="4"/>
  <c r="D1286" i="4"/>
  <c r="D1287" i="4"/>
  <c r="D1288" i="4"/>
  <c r="D1289" i="4"/>
  <c r="D1291" i="4"/>
  <c r="D1292" i="4"/>
  <c r="D1293" i="4"/>
  <c r="D1294" i="4"/>
  <c r="D1295" i="4"/>
  <c r="D1297" i="4"/>
  <c r="D1298" i="4"/>
  <c r="D1299" i="4"/>
  <c r="D1300" i="4"/>
  <c r="D1301" i="4"/>
  <c r="D1303" i="4"/>
  <c r="D1304" i="4"/>
  <c r="D1305" i="4"/>
  <c r="D1306" i="4"/>
  <c r="D1307" i="4"/>
  <c r="D1309" i="4"/>
  <c r="D1310" i="4"/>
  <c r="D1311" i="4"/>
  <c r="D1312" i="4"/>
  <c r="D1313" i="4"/>
  <c r="D1315" i="4"/>
  <c r="D1316" i="4"/>
  <c r="D1317" i="4"/>
  <c r="D1318" i="4"/>
  <c r="D1319" i="4"/>
  <c r="D1321" i="4"/>
  <c r="D1322" i="4"/>
  <c r="D1323" i="4"/>
  <c r="D1324" i="4"/>
  <c r="D1325" i="4"/>
  <c r="D1327" i="4"/>
  <c r="D1328" i="4"/>
  <c r="D1329" i="4"/>
  <c r="D1330" i="4"/>
  <c r="D1331" i="4"/>
  <c r="D1333" i="4"/>
  <c r="D1334" i="4"/>
  <c r="D1335" i="4"/>
  <c r="D1336" i="4"/>
  <c r="D1337" i="4"/>
  <c r="D1339" i="4"/>
  <c r="D1340" i="4"/>
  <c r="D1341" i="4"/>
  <c r="D1342" i="4"/>
  <c r="D1343" i="4"/>
  <c r="D1345" i="4"/>
  <c r="D1346" i="4"/>
  <c r="D1347" i="4"/>
  <c r="D1348" i="4"/>
  <c r="D1349" i="4"/>
  <c r="D1351" i="4"/>
  <c r="D1352" i="4"/>
  <c r="D1353" i="4"/>
  <c r="D1354" i="4"/>
  <c r="D1355" i="4"/>
  <c r="D1357" i="4"/>
  <c r="D1358" i="4"/>
  <c r="D1359" i="4"/>
  <c r="D1360" i="4"/>
  <c r="D1361" i="4"/>
  <c r="D1363" i="4"/>
  <c r="D1364" i="4"/>
  <c r="D1365" i="4"/>
  <c r="D1366" i="4"/>
  <c r="D1367" i="4"/>
  <c r="D1369" i="4"/>
  <c r="D1370" i="4"/>
  <c r="D1371" i="4"/>
  <c r="D1372" i="4"/>
  <c r="D1373" i="4"/>
  <c r="D1375" i="4"/>
  <c r="D1376" i="4"/>
  <c r="D1377" i="4"/>
  <c r="D1378" i="4"/>
  <c r="D1379" i="4"/>
  <c r="D1381" i="4"/>
  <c r="D1382" i="4"/>
  <c r="D1383" i="4"/>
  <c r="D1384" i="4"/>
  <c r="D1385" i="4"/>
  <c r="D1387" i="4"/>
  <c r="D1388" i="4"/>
  <c r="D1389" i="4"/>
  <c r="D1390" i="4"/>
  <c r="D1391" i="4"/>
  <c r="D1393" i="4"/>
  <c r="D1394" i="4"/>
  <c r="D1395" i="4"/>
  <c r="D1396" i="4"/>
  <c r="D1397" i="4"/>
  <c r="D1399" i="4"/>
  <c r="D1400" i="4"/>
  <c r="D1401" i="4"/>
  <c r="D1402" i="4"/>
  <c r="D1403" i="4"/>
  <c r="D1405" i="4"/>
  <c r="D1406" i="4"/>
  <c r="D1407" i="4"/>
  <c r="D1408" i="4"/>
  <c r="D1409" i="4"/>
  <c r="D1411" i="4"/>
  <c r="D1412" i="4"/>
  <c r="D1413" i="4"/>
  <c r="D1414" i="4"/>
  <c r="D1415" i="4"/>
  <c r="D1417" i="4"/>
  <c r="D1418" i="4"/>
  <c r="D1419" i="4"/>
  <c r="D1420" i="4"/>
  <c r="D1421" i="4"/>
  <c r="D1423" i="4"/>
  <c r="D1424" i="4"/>
  <c r="D1425" i="4"/>
  <c r="D1426" i="4"/>
  <c r="D1427" i="4"/>
  <c r="D1429" i="4"/>
  <c r="D1430" i="4"/>
  <c r="D1431" i="4"/>
  <c r="D1432" i="4"/>
  <c r="D1433" i="4"/>
  <c r="D1435" i="4"/>
  <c r="D1436" i="4"/>
  <c r="D1437" i="4"/>
  <c r="D1438" i="4"/>
  <c r="D1439" i="4"/>
  <c r="D1441" i="4"/>
  <c r="D1442" i="4"/>
  <c r="D1443" i="4"/>
  <c r="D1444" i="4"/>
  <c r="D1445" i="4"/>
  <c r="D1447" i="4"/>
  <c r="D1448" i="4"/>
  <c r="D1449" i="4"/>
  <c r="D1450" i="4"/>
  <c r="D1451" i="4"/>
  <c r="D1453" i="4"/>
  <c r="D1454" i="4"/>
  <c r="D1455" i="4"/>
  <c r="D1456" i="4"/>
  <c r="D1457" i="4"/>
  <c r="D1459" i="4"/>
  <c r="D1460" i="4"/>
  <c r="D1461" i="4"/>
  <c r="D1462" i="4"/>
  <c r="D1463" i="4"/>
  <c r="D1465" i="4"/>
  <c r="D1466" i="4"/>
  <c r="D1467" i="4"/>
  <c r="D1468" i="4"/>
  <c r="D1469" i="4"/>
  <c r="D1471" i="4"/>
  <c r="D1472" i="4"/>
  <c r="D1473" i="4"/>
  <c r="D1474" i="4"/>
  <c r="D1475" i="4"/>
  <c r="D1477" i="4"/>
  <c r="D1478" i="4"/>
  <c r="D1479" i="4"/>
  <c r="D1480" i="4"/>
  <c r="D1481" i="4"/>
  <c r="D1483" i="4"/>
  <c r="D1484" i="4"/>
  <c r="D1485" i="4"/>
  <c r="D1486" i="4"/>
  <c r="D1487" i="4"/>
  <c r="D1489" i="4"/>
  <c r="D1490" i="4"/>
  <c r="D1491" i="4"/>
  <c r="D1492" i="4"/>
  <c r="D1493" i="4"/>
  <c r="D1495" i="4"/>
  <c r="D1496" i="4"/>
  <c r="D1497" i="4"/>
  <c r="D1498" i="4"/>
  <c r="D1499" i="4"/>
  <c r="D1501" i="4"/>
  <c r="D1502" i="4"/>
  <c r="D1503" i="4"/>
  <c r="D1504" i="4"/>
  <c r="D1505" i="4"/>
  <c r="D1507" i="4"/>
  <c r="D1508" i="4"/>
  <c r="D1509" i="4"/>
  <c r="D1510" i="4"/>
  <c r="D1511" i="4"/>
  <c r="D1513" i="4"/>
  <c r="D1514" i="4"/>
  <c r="D1515" i="4"/>
  <c r="D1516" i="4"/>
  <c r="D1517" i="4"/>
  <c r="D1519" i="4"/>
  <c r="D1520" i="4"/>
  <c r="D1521" i="4"/>
  <c r="D1522" i="4"/>
  <c r="D1523" i="4"/>
  <c r="D1525" i="4"/>
  <c r="D1526" i="4"/>
  <c r="D1527" i="4"/>
  <c r="D1528" i="4"/>
  <c r="D1529" i="4"/>
  <c r="D1531" i="4"/>
  <c r="D1532" i="4"/>
  <c r="D1533" i="4"/>
  <c r="D1534" i="4"/>
  <c r="D1535" i="4"/>
  <c r="D1537" i="4"/>
  <c r="D1538" i="4"/>
  <c r="D1539" i="4"/>
  <c r="D1540" i="4"/>
  <c r="D1541" i="4"/>
  <c r="D1543" i="4"/>
  <c r="D1544" i="4"/>
  <c r="D1545" i="4"/>
  <c r="D1546" i="4"/>
  <c r="D1547" i="4"/>
  <c r="D1549" i="4"/>
  <c r="D1550" i="4"/>
  <c r="D1551" i="4"/>
  <c r="D1552" i="4"/>
  <c r="D1553" i="4"/>
  <c r="D1555" i="4"/>
  <c r="D1556" i="4"/>
  <c r="D1557" i="4"/>
  <c r="D1558" i="4"/>
  <c r="D1559" i="4"/>
  <c r="D1561" i="4"/>
  <c r="D1562" i="4"/>
  <c r="D1563" i="4"/>
  <c r="D1564" i="4"/>
  <c r="D1565" i="4"/>
  <c r="D1567" i="4"/>
  <c r="D1568" i="4"/>
  <c r="D1569" i="4"/>
  <c r="D1570" i="4"/>
  <c r="D1571" i="4"/>
  <c r="D1573" i="4"/>
  <c r="D1574" i="4"/>
  <c r="D1575" i="4"/>
  <c r="D1576" i="4"/>
  <c r="D1577" i="4"/>
  <c r="D1579" i="4"/>
  <c r="D1580" i="4"/>
  <c r="D1581" i="4"/>
  <c r="D1582" i="4"/>
  <c r="D1583" i="4"/>
  <c r="D1585" i="4"/>
  <c r="D1586" i="4"/>
  <c r="D1587" i="4"/>
  <c r="D1588" i="4"/>
  <c r="D1589" i="4"/>
  <c r="D1591" i="4"/>
  <c r="D1592" i="4"/>
  <c r="D1593" i="4"/>
  <c r="D1594" i="4"/>
  <c r="D1595" i="4"/>
  <c r="D1597" i="4"/>
  <c r="D1598" i="4"/>
  <c r="D1599" i="4"/>
  <c r="D1600" i="4"/>
  <c r="D1601" i="4"/>
  <c r="D1603" i="4"/>
  <c r="D1604" i="4"/>
  <c r="D1605" i="4"/>
  <c r="D1606" i="4"/>
  <c r="D1607" i="4"/>
  <c r="D1609" i="4"/>
  <c r="D1610" i="4"/>
  <c r="D1611" i="4"/>
  <c r="D1612" i="4"/>
  <c r="D1613" i="4"/>
  <c r="D1615" i="4"/>
  <c r="D1616" i="4"/>
  <c r="D1617" i="4"/>
  <c r="D1618" i="4"/>
  <c r="D1619" i="4"/>
  <c r="D1621" i="4"/>
  <c r="D1622" i="4"/>
  <c r="D1623" i="4"/>
  <c r="D1624" i="4"/>
  <c r="D1625" i="4"/>
  <c r="D1627" i="4"/>
  <c r="D1628" i="4"/>
  <c r="D1629" i="4"/>
  <c r="D1630" i="4"/>
  <c r="D1631" i="4"/>
  <c r="D1633" i="4"/>
  <c r="D1634" i="4"/>
  <c r="D1635" i="4"/>
  <c r="D1636" i="4"/>
  <c r="D1637" i="4"/>
  <c r="D1639" i="4"/>
  <c r="D1640" i="4"/>
  <c r="D1641" i="4"/>
  <c r="D1642" i="4"/>
  <c r="D1643" i="4"/>
  <c r="D1646" i="4"/>
  <c r="D1647" i="4"/>
  <c r="D1648" i="4"/>
  <c r="D1649" i="4"/>
  <c r="D1651" i="4"/>
  <c r="D1652" i="4"/>
  <c r="D1653" i="4"/>
  <c r="D1654" i="4"/>
  <c r="D1655" i="4"/>
  <c r="D1657" i="4"/>
  <c r="D1658" i="4"/>
  <c r="D1659" i="4"/>
  <c r="D1660" i="4"/>
  <c r="D1661" i="4"/>
  <c r="D1663" i="4"/>
  <c r="D1664" i="4"/>
  <c r="D1665" i="4"/>
  <c r="D1666" i="4"/>
  <c r="D1667" i="4"/>
  <c r="D1669" i="4"/>
  <c r="D1670" i="4"/>
  <c r="D1671" i="4"/>
  <c r="D1672" i="4"/>
  <c r="D1673" i="4"/>
  <c r="D1675" i="4"/>
  <c r="D1676" i="4"/>
  <c r="D1677" i="4"/>
  <c r="D1678" i="4"/>
  <c r="D1679" i="4"/>
  <c r="D1682" i="4"/>
  <c r="D1683" i="4"/>
  <c r="D1684" i="4"/>
  <c r="D1685" i="4"/>
  <c r="D1687" i="4"/>
  <c r="D1688" i="4"/>
  <c r="D1689" i="4"/>
  <c r="D1690" i="4"/>
  <c r="D1691" i="4"/>
  <c r="D1693" i="4"/>
  <c r="D1694" i="4"/>
  <c r="D1695" i="4"/>
  <c r="D1696" i="4"/>
  <c r="D1697" i="4"/>
  <c r="D1699" i="4"/>
  <c r="D1700" i="4"/>
  <c r="D1701" i="4"/>
  <c r="D1702" i="4"/>
  <c r="D1703" i="4"/>
  <c r="D1705" i="4"/>
  <c r="D1706" i="4"/>
  <c r="D1707" i="4"/>
  <c r="D1708" i="4"/>
  <c r="D1709" i="4"/>
  <c r="D1711" i="4"/>
  <c r="D1712" i="4"/>
  <c r="D1713" i="4"/>
  <c r="D1714" i="4"/>
  <c r="D1715" i="4"/>
  <c r="D1718" i="4"/>
  <c r="D1719" i="4"/>
  <c r="D1720" i="4"/>
  <c r="D1721" i="4"/>
  <c r="D1723" i="4"/>
  <c r="D1724" i="4"/>
  <c r="D1725" i="4"/>
  <c r="D1726" i="4"/>
  <c r="D1727" i="4"/>
  <c r="D1729" i="4"/>
  <c r="D1730" i="4"/>
  <c r="D1731" i="4"/>
  <c r="D1732" i="4"/>
  <c r="D1733" i="4"/>
  <c r="D1735" i="4"/>
  <c r="D1736" i="4"/>
  <c r="D1737" i="4"/>
  <c r="D1738" i="4"/>
  <c r="D1739" i="4"/>
  <c r="D1741" i="4"/>
  <c r="D1742" i="4"/>
  <c r="D1743" i="4"/>
  <c r="D1744" i="4"/>
  <c r="D1745" i="4"/>
  <c r="D1747" i="4"/>
  <c r="D1748" i="4"/>
  <c r="D1749" i="4"/>
  <c r="D1750" i="4"/>
  <c r="D1751" i="4"/>
  <c r="D1754" i="4"/>
  <c r="D1755" i="4"/>
  <c r="D1756" i="4"/>
  <c r="D1757" i="4"/>
  <c r="D1759" i="4"/>
  <c r="D1760" i="4"/>
  <c r="D1761" i="4"/>
  <c r="D1762" i="4"/>
  <c r="D1763" i="4"/>
  <c r="D1765" i="4"/>
  <c r="D1766" i="4"/>
  <c r="D1767" i="4"/>
  <c r="D1768" i="4"/>
  <c r="D1771" i="4"/>
  <c r="D1772" i="4"/>
  <c r="D1773" i="4"/>
  <c r="D1774" i="4"/>
  <c r="D1775" i="4"/>
  <c r="D1777" i="4"/>
  <c r="D1778" i="4"/>
  <c r="D1779" i="4"/>
  <c r="D1780" i="4"/>
  <c r="D1781" i="4"/>
  <c r="D1784" i="4"/>
  <c r="D1785" i="4"/>
  <c r="D1786" i="4"/>
  <c r="D1787" i="4"/>
  <c r="D1789" i="4"/>
  <c r="D1790" i="4"/>
  <c r="D1791" i="4"/>
  <c r="D1792" i="4"/>
  <c r="D1793" i="4"/>
  <c r="D1795" i="4"/>
  <c r="D1796" i="4"/>
  <c r="D1797" i="4"/>
  <c r="D1798" i="4"/>
  <c r="D1799" i="4"/>
  <c r="D1801" i="4"/>
  <c r="D1802" i="4"/>
  <c r="D1803" i="4"/>
  <c r="D1804" i="4"/>
  <c r="D1807" i="4"/>
  <c r="D1808" i="4"/>
  <c r="D1809" i="4"/>
  <c r="D1810" i="4"/>
  <c r="D1811" i="4"/>
  <c r="D1814" i="4"/>
  <c r="D1815" i="4"/>
  <c r="D1816" i="4"/>
  <c r="D1817" i="4"/>
  <c r="D1819" i="4"/>
  <c r="D1820" i="4"/>
  <c r="D1821" i="4"/>
  <c r="D1822" i="4"/>
  <c r="D1823" i="4"/>
  <c r="D1825" i="4"/>
  <c r="D1826" i="4"/>
  <c r="D1827" i="4"/>
  <c r="D1828" i="4"/>
  <c r="D1829" i="4"/>
  <c r="D1831" i="4"/>
  <c r="D1832" i="4"/>
  <c r="D1833" i="4"/>
  <c r="D1834" i="4"/>
  <c r="D1835" i="4"/>
  <c r="D1837" i="4"/>
  <c r="D1838" i="4"/>
  <c r="D1839" i="4"/>
  <c r="D1840" i="4"/>
  <c r="D1844" i="4"/>
  <c r="D1845" i="4"/>
  <c r="D1846" i="4"/>
  <c r="D1847" i="4"/>
  <c r="D1849" i="4"/>
  <c r="D1850" i="4"/>
  <c r="D1851" i="4"/>
  <c r="D1852" i="4"/>
  <c r="D1853" i="4"/>
  <c r="D1855" i="4"/>
  <c r="D1856" i="4"/>
  <c r="D1857" i="4"/>
  <c r="D1858" i="4"/>
  <c r="D1859" i="4"/>
  <c r="D1861" i="4"/>
  <c r="D1862" i="4"/>
  <c r="D1863" i="4"/>
  <c r="D1864" i="4"/>
  <c r="D1867" i="4"/>
  <c r="D1868" i="4"/>
  <c r="D1869" i="4"/>
  <c r="D1871" i="4"/>
  <c r="D1874" i="4"/>
  <c r="D1875" i="4"/>
  <c r="D1876" i="4"/>
  <c r="D1879" i="4"/>
  <c r="D1880" i="4"/>
  <c r="D1881" i="4"/>
  <c r="D1882" i="4"/>
  <c r="D1885" i="4"/>
  <c r="D1886" i="4"/>
  <c r="D1887" i="4"/>
  <c r="D1888" i="4"/>
  <c r="D1889" i="4"/>
  <c r="D1891" i="4"/>
  <c r="D1892" i="4"/>
  <c r="D1893" i="4"/>
  <c r="D1894" i="4"/>
  <c r="D1897" i="4"/>
  <c r="D1898" i="4"/>
  <c r="D1899" i="4"/>
  <c r="D1900" i="4"/>
  <c r="D1901" i="4"/>
  <c r="D1904" i="4"/>
  <c r="D1905" i="4"/>
  <c r="D1909" i="4"/>
  <c r="D1910" i="4"/>
  <c r="D1911" i="4"/>
  <c r="D1912" i="4"/>
  <c r="D1915" i="4"/>
  <c r="D1916" i="4"/>
  <c r="D1917" i="4"/>
  <c r="D1918" i="4"/>
  <c r="D1922" i="4"/>
  <c r="D1923" i="4"/>
  <c r="D1924" i="4"/>
  <c r="D1925" i="4"/>
  <c r="D1927" i="4"/>
  <c r="D1928" i="4"/>
  <c r="D1929" i="4"/>
  <c r="D1930" i="4"/>
  <c r="D1931" i="4"/>
  <c r="D1933" i="4"/>
  <c r="D1934" i="4"/>
  <c r="D1936" i="4"/>
  <c r="D1937" i="4"/>
  <c r="D1939" i="4"/>
  <c r="D1940" i="4"/>
  <c r="D1941" i="4"/>
  <c r="D1945" i="4"/>
  <c r="D1946" i="4"/>
  <c r="D1947" i="4"/>
  <c r="D1948" i="4"/>
  <c r="D1951" i="4"/>
  <c r="D1952" i="4"/>
  <c r="D1954" i="4"/>
  <c r="D1957" i="4"/>
  <c r="D1958" i="4"/>
  <c r="D1959" i="4"/>
  <c r="D1960" i="4"/>
  <c r="D1963" i="4"/>
  <c r="D1964" i="4"/>
  <c r="D1965" i="4"/>
  <c r="D1966" i="4"/>
  <c r="D1967" i="4"/>
  <c r="D1969" i="4"/>
  <c r="D1970" i="4"/>
  <c r="D1971" i="4"/>
  <c r="D1972" i="4"/>
  <c r="D1973" i="4"/>
  <c r="D1975" i="4"/>
  <c r="D1976" i="4"/>
  <c r="D1977" i="4"/>
  <c r="D1978" i="4"/>
  <c r="D1979" i="4"/>
  <c r="D1981" i="4"/>
  <c r="D1982" i="4"/>
  <c r="D1984" i="4"/>
  <c r="D1985" i="4"/>
  <c r="D1987" i="4"/>
  <c r="D1988" i="4"/>
  <c r="D1989" i="4"/>
  <c r="D1993" i="4"/>
  <c r="D1994" i="4"/>
  <c r="D1995" i="4"/>
  <c r="D1996" i="4"/>
  <c r="D1999" i="4"/>
  <c r="D2000" i="4"/>
  <c r="D2001" i="4"/>
  <c r="D2002" i="4"/>
  <c r="D2003" i="4"/>
  <c r="D2005" i="4"/>
  <c r="D2006" i="4"/>
  <c r="D2007" i="4"/>
  <c r="D2008" i="4"/>
  <c r="D2009" i="4"/>
  <c r="D2011" i="4"/>
  <c r="D2012" i="4"/>
  <c r="D2013" i="4"/>
  <c r="D2014" i="4"/>
  <c r="D2015" i="4"/>
  <c r="D2017" i="4"/>
  <c r="D2018" i="4"/>
  <c r="D2020" i="4"/>
  <c r="D2021" i="4"/>
  <c r="D2023" i="4"/>
  <c r="D2024" i="4"/>
  <c r="D2025" i="4"/>
  <c r="D2029" i="4"/>
  <c r="D2030" i="4"/>
  <c r="D2031" i="4"/>
  <c r="D2032" i="4"/>
  <c r="D2036" i="4"/>
  <c r="D2037" i="4"/>
  <c r="D2038" i="4"/>
  <c r="D2039" i="4"/>
  <c r="D2042" i="4"/>
  <c r="D2044" i="4"/>
  <c r="D2045" i="4"/>
  <c r="D2048" i="4"/>
  <c r="D2049" i="4"/>
  <c r="D2050" i="4"/>
  <c r="D2054" i="4"/>
  <c r="D2055" i="4"/>
  <c r="D2056" i="4"/>
  <c r="D2057" i="4"/>
  <c r="D2060" i="4"/>
  <c r="D2062" i="4"/>
  <c r="D2063" i="4"/>
  <c r="D2066" i="4"/>
  <c r="D2067" i="4"/>
  <c r="D2068" i="4"/>
  <c r="D2072" i="4"/>
  <c r="D2073" i="4"/>
  <c r="D2074" i="4"/>
  <c r="D2075" i="4"/>
  <c r="D2078" i="4"/>
  <c r="D2080" i="4"/>
  <c r="D2081" i="4"/>
  <c r="D2084" i="4"/>
  <c r="D2085" i="4"/>
  <c r="D2086" i="4"/>
  <c r="D2090" i="4"/>
  <c r="D2091" i="4"/>
  <c r="D2092" i="4"/>
  <c r="D2093" i="4"/>
  <c r="D2096" i="4"/>
  <c r="D2098" i="4"/>
  <c r="D2099" i="4"/>
  <c r="D2102" i="4"/>
  <c r="D2103" i="4"/>
  <c r="D2104" i="4"/>
  <c r="D2108" i="4"/>
  <c r="D2109" i="4"/>
  <c r="D2110" i="4"/>
  <c r="D2111" i="4"/>
  <c r="D2114" i="4"/>
  <c r="D2116" i="4"/>
  <c r="D2117" i="4"/>
  <c r="D2120" i="4"/>
  <c r="D2121" i="4"/>
  <c r="D2122" i="4"/>
  <c r="D2126" i="4"/>
  <c r="D2127" i="4"/>
  <c r="D2128" i="4"/>
  <c r="D2129" i="4"/>
  <c r="D2132" i="4"/>
  <c r="D2134" i="4"/>
  <c r="D2135" i="4"/>
  <c r="D2138" i="4"/>
  <c r="D2139" i="4"/>
  <c r="D2140" i="4"/>
  <c r="D2144" i="4"/>
  <c r="D2145" i="4"/>
  <c r="D2146" i="4"/>
  <c r="D2147" i="4"/>
  <c r="D2150" i="4"/>
  <c r="D2153" i="4"/>
  <c r="D2156" i="4"/>
  <c r="D2157" i="4"/>
  <c r="D2162" i="4"/>
  <c r="D2163" i="4"/>
  <c r="D2165" i="4"/>
  <c r="D2168" i="4"/>
  <c r="D2171" i="4"/>
  <c r="D2174" i="4"/>
  <c r="D2175" i="4"/>
  <c r="D2180" i="4"/>
  <c r="D2181" i="4"/>
  <c r="D2183" i="4"/>
  <c r="D2186" i="4"/>
  <c r="D2187" i="4"/>
  <c r="D2192" i="4"/>
  <c r="D2193" i="4"/>
  <c r="D2198" i="4"/>
  <c r="D2204" i="4"/>
  <c r="D2216" i="4"/>
  <c r="D2222" i="4"/>
  <c r="J1627" i="3"/>
  <c r="J1628" i="3"/>
  <c r="J1629" i="3"/>
  <c r="J1630" i="3"/>
  <c r="J1631" i="3"/>
  <c r="J1632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1176" i="3"/>
  <c r="G1674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1176" i="3"/>
  <c r="D1364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1176" i="3"/>
  <c r="F1204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1176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E1371" i="1"/>
  <c r="E1359" i="1"/>
  <c r="E1344" i="1"/>
  <c r="E1329" i="1"/>
  <c r="E1308" i="1"/>
  <c r="E1299" i="1"/>
  <c r="E1286" i="1"/>
  <c r="E1273" i="1"/>
  <c r="E1261" i="1"/>
  <c r="E1250" i="1"/>
  <c r="E1245" i="1"/>
  <c r="E1221" i="1"/>
  <c r="E1203" i="1"/>
  <c r="E1193" i="1"/>
  <c r="E1177" i="1"/>
  <c r="E1155" i="1"/>
  <c r="E1141" i="1"/>
  <c r="E1126" i="1"/>
  <c r="E1115" i="1"/>
  <c r="E1097" i="1"/>
  <c r="E1069" i="1"/>
  <c r="E1054" i="1"/>
  <c r="E1043" i="1"/>
  <c r="E1031" i="1"/>
  <c r="E1012" i="1"/>
  <c r="E989" i="1"/>
  <c r="E972" i="1"/>
  <c r="E963" i="1"/>
  <c r="E947" i="1"/>
  <c r="E935" i="1"/>
  <c r="E912" i="1"/>
  <c r="E899" i="1"/>
  <c r="E883" i="1"/>
  <c r="E868" i="1"/>
  <c r="E857" i="1"/>
  <c r="E836" i="1"/>
  <c r="E806" i="1"/>
  <c r="E795" i="1"/>
  <c r="E790" i="1"/>
  <c r="E779" i="1"/>
  <c r="E747" i="1"/>
  <c r="E728" i="1"/>
  <c r="E711" i="1"/>
  <c r="E684" i="1"/>
  <c r="E673" i="1"/>
  <c r="E655" i="1"/>
  <c r="E635" i="1"/>
  <c r="E608" i="1"/>
  <c r="E595" i="1"/>
  <c r="E580" i="1"/>
  <c r="E565" i="1"/>
  <c r="E548" i="1"/>
  <c r="E523" i="1"/>
  <c r="E501" i="1"/>
  <c r="E485" i="1"/>
  <c r="E469" i="1"/>
  <c r="E451" i="1"/>
  <c r="E436" i="1"/>
  <c r="E423" i="1"/>
  <c r="E410" i="1"/>
  <c r="E398" i="1"/>
  <c r="E375" i="1"/>
  <c r="E359" i="1"/>
  <c r="E344" i="1"/>
  <c r="E324" i="1"/>
  <c r="E297" i="1"/>
  <c r="E283" i="1"/>
  <c r="E267" i="1"/>
  <c r="E256" i="1"/>
  <c r="E247" i="1"/>
  <c r="E223" i="1"/>
  <c r="E210" i="1"/>
  <c r="E197" i="1"/>
  <c r="E186" i="1"/>
  <c r="E174" i="1"/>
  <c r="E141" i="1"/>
  <c r="E128" i="1"/>
  <c r="E111" i="1"/>
  <c r="E96" i="1"/>
  <c r="E71" i="1"/>
  <c r="E56" i="1"/>
  <c r="E41" i="1"/>
  <c r="E29" i="1"/>
  <c r="C1122" i="4" l="1"/>
  <c r="D1122" i="4" s="1"/>
</calcChain>
</file>

<file path=xl/sharedStrings.xml><?xml version="1.0" encoding="utf-8"?>
<sst xmlns="http://schemas.openxmlformats.org/spreadsheetml/2006/main" count="15753" uniqueCount="564">
  <si>
    <t>Lampiran:</t>
  </si>
  <si>
    <t>Keputusan Dekan Fakultas Matematika dan Ilmu Pengetahuan Alam (FMIPA) Universitas Negeri Medan</t>
  </si>
  <si>
    <t>Nomor   :        /UN33.4/KP/2025</t>
  </si>
  <si>
    <t>Tanggal :      Agustus 2025</t>
  </si>
  <si>
    <t>Tentang : Penugasan Dosen Pengampu Matakuliah Jurusan Matematika Fakultas Matematika dan Ilmu Pengetahuan Alam Universitas Negeri Medan Semester Ganjil T. A. 2025/2026</t>
  </si>
  <si>
    <t xml:space="preserve">Daftar Penugasan Dosen Pengampu Matakuliah Jurusan Matematika Fakultas Matematika dan Ilmu Pengetahuan Alam Universitas Negeri Medan </t>
  </si>
  <si>
    <t>Semester Ganjil Tahun Akademik 2025/2026</t>
  </si>
  <si>
    <t>No</t>
  </si>
  <si>
    <t>Nama Dosen (DS)</t>
  </si>
  <si>
    <t>Nama Matakuliah (MK)</t>
  </si>
  <si>
    <t>SKS</t>
  </si>
  <si>
    <t>Prodi</t>
  </si>
  <si>
    <t>Kelas</t>
  </si>
  <si>
    <t>Jadwal</t>
  </si>
  <si>
    <t>MK</t>
  </si>
  <si>
    <t>DS</t>
  </si>
  <si>
    <t>Hari</t>
  </si>
  <si>
    <t>Waktu</t>
  </si>
  <si>
    <t>Ruangan</t>
  </si>
  <si>
    <t>Blok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</si>
  <si>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</si>
  <si>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</si>
  <si>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</si>
  <si>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</si>
  <si>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</si>
  <si>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</si>
  <si>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</si>
  <si>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</si>
  <si>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</si>
  <si>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</si>
  <si>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</si>
  <si>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Abil Mansyur, Dr., M.Si</t>
  </si>
  <si>
    <t>Kalkulus Diferensial</t>
  </si>
  <si>
    <t>PSIK</t>
  </si>
  <si>
    <t>25A</t>
  </si>
  <si>
    <t>Senin</t>
  </si>
  <si>
    <t>08.00-10.30</t>
  </si>
  <si>
    <t>77.3.01B</t>
  </si>
  <si>
    <t>II</t>
  </si>
  <si>
    <t>Rabu</t>
  </si>
  <si>
    <t>10.30-13.00</t>
  </si>
  <si>
    <t>77.1.01</t>
  </si>
  <si>
    <t>25B</t>
  </si>
  <si>
    <t>12.1.09</t>
  </si>
  <si>
    <t>13.50-16.20</t>
  </si>
  <si>
    <t>25C</t>
  </si>
  <si>
    <t>Selasa</t>
  </si>
  <si>
    <t>77.3.01A</t>
  </si>
  <si>
    <t>Kamis</t>
  </si>
  <si>
    <t>25D</t>
  </si>
  <si>
    <t>Matematika Dasar (T)</t>
  </si>
  <si>
    <t>PSM</t>
  </si>
  <si>
    <t>10.30-12.10</t>
  </si>
  <si>
    <t>05.1.02A</t>
  </si>
  <si>
    <t>I</t>
  </si>
  <si>
    <t>Jumat</t>
  </si>
  <si>
    <t>08.00-09.40</t>
  </si>
  <si>
    <t>192.3.02</t>
  </si>
  <si>
    <t>Matematika Dasar (R)</t>
  </si>
  <si>
    <t>11.20-13.00</t>
  </si>
  <si>
    <t>Online</t>
  </si>
  <si>
    <t>15.30-17.10</t>
  </si>
  <si>
    <t>Analisis Real</t>
  </si>
  <si>
    <t>PSPM S2</t>
  </si>
  <si>
    <t>24B</t>
  </si>
  <si>
    <t>05.2.01B</t>
  </si>
  <si>
    <t>09.40-12.10</t>
  </si>
  <si>
    <t>Kajian Literatur Disertasi</t>
  </si>
  <si>
    <t>PSPM S3</t>
  </si>
  <si>
    <t>24Riset</t>
  </si>
  <si>
    <t>08.00-11.20</t>
  </si>
  <si>
    <t>05.1.04A</t>
  </si>
  <si>
    <t>Jumlah Beban SKS</t>
  </si>
  <si>
    <t>Ade Andriani, S.Pd., M.Pd</t>
  </si>
  <si>
    <t>Persamaan Differensial</t>
  </si>
  <si>
    <t>PSPM</t>
  </si>
  <si>
    <t>23B</t>
  </si>
  <si>
    <t>12.1.10</t>
  </si>
  <si>
    <t>05.2.02B</t>
  </si>
  <si>
    <t>23C</t>
  </si>
  <si>
    <t>192.1.14</t>
  </si>
  <si>
    <t>PSPB</t>
  </si>
  <si>
    <t>16.20-18.00</t>
  </si>
  <si>
    <t>3.3.10</t>
  </si>
  <si>
    <t>14.40-16.20</t>
  </si>
  <si>
    <t>3.6.8</t>
  </si>
  <si>
    <t>BESP</t>
  </si>
  <si>
    <t>5.2.2B</t>
  </si>
  <si>
    <t>5.1.2B</t>
  </si>
  <si>
    <t>KKN</t>
  </si>
  <si>
    <t>22A</t>
  </si>
  <si>
    <t>15.30-18.00</t>
  </si>
  <si>
    <t>77.1.08</t>
  </si>
  <si>
    <t>Non Blok</t>
  </si>
  <si>
    <t>Adidtya Perdana, S.T., M. Kom</t>
  </si>
  <si>
    <t>Pemrograman Mobile</t>
  </si>
  <si>
    <t>77.2.07</t>
  </si>
  <si>
    <t>23D</t>
  </si>
  <si>
    <t>77.2.01</t>
  </si>
  <si>
    <t>Algoritma Optimasi dan Metaheuritik</t>
  </si>
  <si>
    <t>Pemrograman WEB</t>
  </si>
  <si>
    <t>24A</t>
  </si>
  <si>
    <t xml:space="preserve"> </t>
  </si>
  <si>
    <t>24C</t>
  </si>
  <si>
    <t>24D</t>
  </si>
  <si>
    <t>Alvi Sahrin Nasution, S.Si., M.Si</t>
  </si>
  <si>
    <t>PSS</t>
  </si>
  <si>
    <t>192.4.01</t>
  </si>
  <si>
    <t>13.00-15.30</t>
  </si>
  <si>
    <t>Himpunan dan Logika</t>
  </si>
  <si>
    <t>05.1.02B</t>
  </si>
  <si>
    <t>05.1.03A</t>
  </si>
  <si>
    <t>Kalkulus Peubah Banyak</t>
  </si>
  <si>
    <t>05.02.03B</t>
  </si>
  <si>
    <t>05.1.01B</t>
  </si>
  <si>
    <t xml:space="preserve">Sistem Dinamik </t>
  </si>
  <si>
    <t>09.00-12.10</t>
  </si>
  <si>
    <t>05.1.01b</t>
  </si>
  <si>
    <t>online</t>
  </si>
  <si>
    <t>Jum'at</t>
  </si>
  <si>
    <t>PSB</t>
  </si>
  <si>
    <t>Arnah  Ritonga, S.Si, M.Si</t>
  </si>
  <si>
    <t>Kepemimpinan</t>
  </si>
  <si>
    <t>13.50-15.30</t>
  </si>
  <si>
    <t>05.2.04A</t>
  </si>
  <si>
    <t>05.2.01A</t>
  </si>
  <si>
    <t>05.2.05B</t>
  </si>
  <si>
    <t>Praktikum Komputasi</t>
  </si>
  <si>
    <t>77.3.08</t>
  </si>
  <si>
    <t>Metode Statistik</t>
  </si>
  <si>
    <t>Matematika Keuangan</t>
  </si>
  <si>
    <t>09.40-11.20</t>
  </si>
  <si>
    <t>192.4.02</t>
  </si>
  <si>
    <t>05.2.05A</t>
  </si>
  <si>
    <t>Arnita, Dr., M.Si</t>
  </si>
  <si>
    <t>Metodologi Penelitian dan Penulisan Karya Ilmiah</t>
  </si>
  <si>
    <t>23A</t>
  </si>
  <si>
    <t>77.3.01 B</t>
  </si>
  <si>
    <t>Analisis Data Kategorik</t>
  </si>
  <si>
    <t>77.1.01A</t>
  </si>
  <si>
    <t>10.30-13.50</t>
  </si>
  <si>
    <t>Analisis Multivariat</t>
  </si>
  <si>
    <t>Model Logika Fuzzy (MK Pilihan 1)</t>
  </si>
  <si>
    <t>192.3.01</t>
  </si>
  <si>
    <t>Statistika Pendidikan Matematika</t>
  </si>
  <si>
    <t>Analisis Data dalam Pendidikan Matematika</t>
  </si>
  <si>
    <t>14.40-17.10</t>
  </si>
  <si>
    <t xml:space="preserve">Asmin, Prof. Dr., M.Pd        </t>
  </si>
  <si>
    <t>Evaluasi Pembelajaran Matematika</t>
  </si>
  <si>
    <t>05.1.03B</t>
  </si>
  <si>
    <t>05.2.04B</t>
  </si>
  <si>
    <t>Statistika Dasar</t>
  </si>
  <si>
    <t>05.1.04B</t>
  </si>
  <si>
    <t>24E</t>
  </si>
  <si>
    <t xml:space="preserve">Senin </t>
  </si>
  <si>
    <t>05.2.02A</t>
  </si>
  <si>
    <t>Media Sosial dan Platform Digital dalam Pendidikan</t>
  </si>
  <si>
    <t xml:space="preserve">Asrin Lubis, Dr., M.Pd        </t>
  </si>
  <si>
    <t>MESP</t>
  </si>
  <si>
    <t>05.2.03B</t>
  </si>
  <si>
    <t>05.2.03A</t>
  </si>
  <si>
    <t>Microteaching</t>
  </si>
  <si>
    <t>23F</t>
  </si>
  <si>
    <t>192.4.14</t>
  </si>
  <si>
    <t>23G</t>
  </si>
  <si>
    <t>192.4.18</t>
  </si>
  <si>
    <t>Integrasi ICT Dalam Pembelajaran Matematika</t>
  </si>
  <si>
    <t xml:space="preserve">Bornok Sinaga, Prof. Dr. , M.Pd     </t>
  </si>
  <si>
    <t>Pengembangan Program Pembelajaran Matematika (P3M)</t>
  </si>
  <si>
    <t>05.1.05A</t>
  </si>
  <si>
    <t>05.1.05B</t>
  </si>
  <si>
    <t>Permasalahan Pembelajaran Matematika Masa Kini</t>
  </si>
  <si>
    <t>192.5.01</t>
  </si>
  <si>
    <t>22B</t>
  </si>
  <si>
    <t>192.5.11</t>
  </si>
  <si>
    <t>22C</t>
  </si>
  <si>
    <t>192.1.04B</t>
  </si>
  <si>
    <t>22D</t>
  </si>
  <si>
    <t>22E</t>
  </si>
  <si>
    <t>10.30-11.20</t>
  </si>
  <si>
    <t>Micro Teaching</t>
  </si>
  <si>
    <t>Supervisi Akademik Dalam Pendidikan Matematika Sekolah</t>
  </si>
  <si>
    <t xml:space="preserve">Kajian Mandiri Problematika Pendidikan Matematika Terkini </t>
  </si>
  <si>
    <t>Pembelajaran Matematika Konstruktif Berbasis Budaya dan Teknologi Informasi</t>
  </si>
  <si>
    <t>Budi Halomoan Siregar, S.Pd, M.Sc</t>
  </si>
  <si>
    <t>Strategi Pembelajaran Matematika</t>
  </si>
  <si>
    <t>Media Pembelajaran Matematika</t>
  </si>
  <si>
    <t>Program Linear</t>
  </si>
  <si>
    <t>Bahasa Inggris</t>
  </si>
  <si>
    <t>23H</t>
  </si>
  <si>
    <t>192.4.12</t>
  </si>
  <si>
    <t>PLP 2</t>
  </si>
  <si>
    <t>22F</t>
  </si>
  <si>
    <t>Chairunisah, S.Si, M.Si</t>
  </si>
  <si>
    <t>Teknik Sampling</t>
  </si>
  <si>
    <t xml:space="preserve">Statistik Non Parametrik </t>
  </si>
  <si>
    <t>192.2.02</t>
  </si>
  <si>
    <t>192.2.01</t>
  </si>
  <si>
    <t>Debi Yandra Niska, S.Kom., M.Kom.</t>
  </si>
  <si>
    <t>Organisasi dan Arsitektur Komputer</t>
  </si>
  <si>
    <t xml:space="preserve"> 12.1.10</t>
  </si>
  <si>
    <t>Metode Numerik</t>
  </si>
  <si>
    <t>Internet of Things</t>
  </si>
  <si>
    <t>Dedy Kiswanto, S.Kom., M.Kom</t>
  </si>
  <si>
    <t>Keamanan Data dan Jaringan</t>
  </si>
  <si>
    <t>Denni Haris, S.Si, M.Pd</t>
  </si>
  <si>
    <t>192.2.11</t>
  </si>
  <si>
    <t>Kapita Selekta Matematika Pendidikan Menengah</t>
  </si>
  <si>
    <t>192.3.11</t>
  </si>
  <si>
    <t>23I</t>
  </si>
  <si>
    <t>23J</t>
  </si>
  <si>
    <t>22G</t>
  </si>
  <si>
    <t xml:space="preserve">Dian Armanto, Prof., M.Pd. Ph.D </t>
  </si>
  <si>
    <t>Bahasa Ingris Matematika</t>
  </si>
  <si>
    <t>Dian Septiana, S.Pd., M.Sc</t>
  </si>
  <si>
    <t>1,5</t>
  </si>
  <si>
    <t>Pengantar Teori Inferensia</t>
  </si>
  <si>
    <t>Suply Chain (MK Pilihan 2)</t>
  </si>
  <si>
    <t>Didi Febrian, S.Si., M.Sc</t>
  </si>
  <si>
    <t>13.00-14.40</t>
  </si>
  <si>
    <t xml:space="preserve">Himpunan dan Logika </t>
  </si>
  <si>
    <t>05.02.04A</t>
  </si>
  <si>
    <t>Aplikasi Matematika Fuzzy</t>
  </si>
  <si>
    <t>Dinda Kartika, S.Pd.M.Si</t>
  </si>
  <si>
    <t>Matematika Diskrit</t>
  </si>
  <si>
    <t>Teori Graph</t>
  </si>
  <si>
    <t xml:space="preserve">Aplikasi Teori Graph (MK Pilihan)
</t>
  </si>
  <si>
    <t>E.Elvis Napitupulu, Dr., M.Si</t>
  </si>
  <si>
    <t>Geometri Analitik</t>
  </si>
  <si>
    <t>Pembelajaran Matematika Inovatif</t>
  </si>
  <si>
    <t>11.00-12.40</t>
  </si>
  <si>
    <t xml:space="preserve">Integrasi Teknologi Terkini  dalam Pendidikan </t>
  </si>
  <si>
    <t>11.20-13.50</t>
  </si>
  <si>
    <t xml:space="preserve">Metode Penelitian Kuantitatif dalam Pendidikan </t>
  </si>
  <si>
    <t>22H</t>
  </si>
  <si>
    <t xml:space="preserve">Edi Syahputra, Prof. Dr., M.Pd     </t>
  </si>
  <si>
    <t xml:space="preserve">Statistika Matematika </t>
  </si>
  <si>
    <t>een</t>
  </si>
  <si>
    <t>Statistika Matematika</t>
  </si>
  <si>
    <t xml:space="preserve">Metode Penelitian Pendidikan Matematika </t>
  </si>
  <si>
    <t xml:space="preserve">Filsafat Pendidikan Matematika     </t>
  </si>
  <si>
    <t>22I</t>
  </si>
  <si>
    <t xml:space="preserve">Edy Surya, Dr., M.Si           </t>
  </si>
  <si>
    <t xml:space="preserve">Sejarah Matematika </t>
  </si>
  <si>
    <t>9.40 -12.10</t>
  </si>
  <si>
    <t>Metodologi Pembelajaran Matematika</t>
  </si>
  <si>
    <t>Elfitra, S.Pd., M.Si</t>
  </si>
  <si>
    <t>23E</t>
  </si>
  <si>
    <t>Analisis Regresi dan Analisis Varians</t>
  </si>
  <si>
    <t>77.3.01</t>
  </si>
  <si>
    <t>PSKM</t>
  </si>
  <si>
    <t>4.5.3</t>
  </si>
  <si>
    <t>4.6.2</t>
  </si>
  <si>
    <t>22J</t>
  </si>
  <si>
    <t>Elmanani Simamora, Dr., M.Si</t>
  </si>
  <si>
    <t>Teori Peluang</t>
  </si>
  <si>
    <t xml:space="preserve">Data Mining </t>
  </si>
  <si>
    <t>Eri Widyastuti, S.Pd., M.Si</t>
  </si>
  <si>
    <t xml:space="preserve">Matematika Diskrit  </t>
  </si>
  <si>
    <t>77.3.01 A</t>
  </si>
  <si>
    <t>PSPK</t>
  </si>
  <si>
    <t>25 B</t>
  </si>
  <si>
    <t>4.3.10</t>
  </si>
  <si>
    <t>4.7.2</t>
  </si>
  <si>
    <t>4.7.3</t>
  </si>
  <si>
    <t>4.6.3</t>
  </si>
  <si>
    <t>23O</t>
  </si>
  <si>
    <t>192.4.16</t>
  </si>
  <si>
    <t>22K</t>
  </si>
  <si>
    <t>Erlinawaty Simanjuntak, S.Pd.,M.Si</t>
  </si>
  <si>
    <t>25Bil</t>
  </si>
  <si>
    <t xml:space="preserve">Kepemimpinan </t>
  </si>
  <si>
    <t>25F</t>
  </si>
  <si>
    <t>22L</t>
  </si>
  <si>
    <t>Faiz. Ahyaningsih, Dr., M.Si</t>
  </si>
  <si>
    <t>Statistik Industri  (MK Pilihan 1)</t>
  </si>
  <si>
    <t>Teknologi Informasi dan Literasi Data</t>
  </si>
  <si>
    <t>08.00-9.40</t>
  </si>
  <si>
    <t>Filsafat Pendidikan Matematika</t>
  </si>
  <si>
    <t>Seminar Proposal Disertasi</t>
  </si>
  <si>
    <t>Fanny Ramadhani, S.Kom., M.kom</t>
  </si>
  <si>
    <t>Struktur Data</t>
  </si>
  <si>
    <t>Logika Informatika</t>
  </si>
  <si>
    <t>Faridawaty Marpaung, S. Si., M.Si</t>
  </si>
  <si>
    <t xml:space="preserve">Teori Graph </t>
  </si>
  <si>
    <t>Fevi Rahmawati Suwanto, S.Pd., M.Pd.</t>
  </si>
  <si>
    <t xml:space="preserve">Geometri Analitik  </t>
  </si>
  <si>
    <t xml:space="preserve">Statistik Matematika </t>
  </si>
  <si>
    <t>08.30-09.40</t>
  </si>
  <si>
    <t>25E</t>
  </si>
  <si>
    <t>4.4.2</t>
  </si>
  <si>
    <t>4.4.3</t>
  </si>
  <si>
    <t>4.5.8</t>
  </si>
  <si>
    <t>kamis</t>
  </si>
  <si>
    <t>PSPF</t>
  </si>
  <si>
    <t>197.4.03</t>
  </si>
  <si>
    <t>197.3.11</t>
  </si>
  <si>
    <t>22M</t>
  </si>
  <si>
    <t>Glory Indra Diana Purba, S.Pd., M.Pd</t>
  </si>
  <si>
    <t xml:space="preserve">CESP </t>
  </si>
  <si>
    <t>23K</t>
  </si>
  <si>
    <t>22N</t>
  </si>
  <si>
    <t>Hamidah Nasution, Dr., M.Si</t>
  </si>
  <si>
    <t>Persamaan Differensial Biasa</t>
  </si>
  <si>
    <t>09.40-10.30</t>
  </si>
  <si>
    <t xml:space="preserve">Kalkulus Multivariabel </t>
  </si>
  <si>
    <t>Hanna Dewi M Hutabarat, S.Si., M.Si</t>
  </si>
  <si>
    <t>Analisis Data Eksploratif (ADE)</t>
  </si>
  <si>
    <t>Analisis Regresi</t>
  </si>
  <si>
    <t>12.10-14.40</t>
  </si>
  <si>
    <t xml:space="preserve">Hasratuddin, Prof. Dr., M.Pd </t>
  </si>
  <si>
    <t xml:space="preserve">24Riset </t>
  </si>
  <si>
    <t>Hermawan Syahputra, Dr., M.Si</t>
  </si>
  <si>
    <t>Pengenalan Pola</t>
  </si>
  <si>
    <t>77. 3.08</t>
  </si>
  <si>
    <t>77. 2.07</t>
  </si>
  <si>
    <t>NLP (Natural Language Programming)</t>
  </si>
  <si>
    <t>Ichwanul Muslim Karo Karo, S.Kom., M.Kom</t>
  </si>
  <si>
    <t>Pemodelan dan Simulasi</t>
  </si>
  <si>
    <t>Insan Taufik, S.Kom., M.Kom.</t>
  </si>
  <si>
    <t>Pengembangan Web Modern</t>
  </si>
  <si>
    <t>Imelda Wardani Br Rambe, M.Pd</t>
  </si>
  <si>
    <t>3.4.9</t>
  </si>
  <si>
    <t>3.5.8</t>
  </si>
  <si>
    <t>3.5.2</t>
  </si>
  <si>
    <t>NSESP</t>
  </si>
  <si>
    <t>PSF</t>
  </si>
  <si>
    <t>197.5.02</t>
  </si>
  <si>
    <t>197.5.03</t>
  </si>
  <si>
    <t>4.5.2</t>
  </si>
  <si>
    <t>Izwita Dewi, Dr., M.Pd</t>
  </si>
  <si>
    <t>193.3.11</t>
  </si>
  <si>
    <t>23L</t>
  </si>
  <si>
    <t>22O</t>
  </si>
  <si>
    <t>Kairuddin, S.Si, M.Pd</t>
  </si>
  <si>
    <t>Kapita Selekta Matematika Pendidikan Dasar</t>
  </si>
  <si>
    <t>5.1.3B</t>
  </si>
  <si>
    <t xml:space="preserve">PSF </t>
  </si>
  <si>
    <t>197.5.11</t>
  </si>
  <si>
    <t xml:space="preserve">PSPK </t>
  </si>
  <si>
    <t>23M</t>
  </si>
  <si>
    <t>22P</t>
  </si>
  <si>
    <t>Kana Saputra S., S.Pd., M.Kom.</t>
  </si>
  <si>
    <t>Mechine Learning</t>
  </si>
  <si>
    <t>Katrina Samosir, Dra., M.Pd</t>
  </si>
  <si>
    <t>Matematika Dasar  (R)</t>
  </si>
  <si>
    <t>PSIPA</t>
  </si>
  <si>
    <t>22Q</t>
  </si>
  <si>
    <t xml:space="preserve">KMS. Amin Fauzi, Dr., M.Pd </t>
  </si>
  <si>
    <t>08.00--9.40</t>
  </si>
  <si>
    <t>S3</t>
  </si>
  <si>
    <t>23N</t>
  </si>
  <si>
    <t>Lasker Pangarapan Sinaga, Dr. S.Si., M.Si</t>
  </si>
  <si>
    <t>Fungsi Kompleks</t>
  </si>
  <si>
    <t>Operasi Riset</t>
  </si>
  <si>
    <t>Program Non Linier</t>
  </si>
  <si>
    <t>Mangaratua S., Ph.D., M.Pd</t>
  </si>
  <si>
    <t>192.3.08</t>
  </si>
  <si>
    <t>Mansur, AS, Dr. Eng., S.Kom., M.T.</t>
  </si>
  <si>
    <t xml:space="preserve"> 12.1.09</t>
  </si>
  <si>
    <t>Computer Vision</t>
  </si>
  <si>
    <t xml:space="preserve"> 77.3.01 B</t>
  </si>
  <si>
    <t>Mariani, Dr., M.Pd</t>
  </si>
  <si>
    <t>Marlina Sinaga, S.Si., M.Si</t>
  </si>
  <si>
    <t xml:space="preserve">Metode Statistik </t>
  </si>
  <si>
    <t>05.102A</t>
  </si>
  <si>
    <t>Optimisasi Industri</t>
  </si>
  <si>
    <t>Program Linier</t>
  </si>
  <si>
    <t>Michael Christian Simanullang, S.Pd., M.Pd.</t>
  </si>
  <si>
    <t>192.5.1</t>
  </si>
  <si>
    <t xml:space="preserve">Matematika Diskrit </t>
  </si>
  <si>
    <t>22R</t>
  </si>
  <si>
    <t>Muhammad Badzlan Darari, S.Pd., M.Pd</t>
  </si>
  <si>
    <t>05.3.04B</t>
  </si>
  <si>
    <t>Sejarah Matematika</t>
  </si>
  <si>
    <t>PESP</t>
  </si>
  <si>
    <t>Mukhtar, Prof. Dr., M.Pd</t>
  </si>
  <si>
    <t>Kalkulus Multivariabel</t>
  </si>
  <si>
    <t>22S</t>
  </si>
  <si>
    <t>Muliawan Firdaus, Dr. S.Pd., M.Si</t>
  </si>
  <si>
    <t xml:space="preserve">Mulyono S, Dr., M.Si               </t>
  </si>
  <si>
    <t>Aljabar Ring</t>
  </si>
  <si>
    <t xml:space="preserve">Teori Modul </t>
  </si>
  <si>
    <t>Nadrah Afiati Nasution, S.Pd., M.Pd</t>
  </si>
  <si>
    <t>Statistik Matematika</t>
  </si>
  <si>
    <t>1620-18.00</t>
  </si>
  <si>
    <t>3.3.3</t>
  </si>
  <si>
    <t>3.7.8</t>
  </si>
  <si>
    <t xml:space="preserve">Nerli Khairani, Dr., M.Si              </t>
  </si>
  <si>
    <t>Operasi Riset Lanjutan (MK Pilihan)</t>
  </si>
  <si>
    <t>Nice Rejoice Refisis, S.Pd., M.Si</t>
  </si>
  <si>
    <t>3.3.2</t>
  </si>
  <si>
    <t>3.7.2</t>
  </si>
  <si>
    <t>Nurhasanah Siregar, S.Pd., M.Pd</t>
  </si>
  <si>
    <t>Nurliani Manurung, Dra., M.Pd</t>
  </si>
  <si>
    <t>05.02.05A</t>
  </si>
  <si>
    <t>05.02.04B</t>
  </si>
  <si>
    <t>22T</t>
  </si>
  <si>
    <t>Nurul Ain Farhana, M.Si</t>
  </si>
  <si>
    <t>Perancangan Percobaan</t>
  </si>
  <si>
    <t>05.12.05B</t>
  </si>
  <si>
    <t>Basis Data dan Penelusuran Data-SQL</t>
  </si>
  <si>
    <t>Statistik Industri</t>
  </si>
  <si>
    <t>Nurul Maulida Surbakti, S.Si., M.Si</t>
  </si>
  <si>
    <t>192.2.1.14</t>
  </si>
  <si>
    <t>05.02.01A</t>
  </si>
  <si>
    <t>05.02.05B</t>
  </si>
  <si>
    <t>05.02.4A</t>
  </si>
  <si>
    <t>3.4.3</t>
  </si>
  <si>
    <t>Pardomuan Sitompul, Dr., M.Si</t>
  </si>
  <si>
    <t>Persamaan Diferensial Biasa</t>
  </si>
  <si>
    <t>05..1.04B</t>
  </si>
  <si>
    <t>192.1.01</t>
  </si>
  <si>
    <t>Integrasi ICT dalam Pembelajaran Matematika</t>
  </si>
  <si>
    <t xml:space="preserve">24A </t>
  </si>
  <si>
    <t xml:space="preserve">Media Sosial dan Platform Digital dalam Pendidikan </t>
  </si>
  <si>
    <t>Philips Pasca G Siagian, S.Pd., M.Pd.</t>
  </si>
  <si>
    <t>192.2.07</t>
  </si>
  <si>
    <t>Prihatin Ningsih, S.Pd., M.Si</t>
  </si>
  <si>
    <t>23P</t>
  </si>
  <si>
    <t>08.00-0940</t>
  </si>
  <si>
    <t>22U</t>
  </si>
  <si>
    <t>Putri Maulidina Fadilah, S.Si., M.Si</t>
  </si>
  <si>
    <t xml:space="preserve">Analisis Regresi </t>
  </si>
  <si>
    <t>Analisis Data Survival</t>
  </si>
  <si>
    <t>Praktikum Data Sain</t>
  </si>
  <si>
    <t>Rizky Habibi, S.Pd.M.Si</t>
  </si>
  <si>
    <t xml:space="preserve">Sahat Saragih, Prof. Dr., M.Pd </t>
  </si>
  <si>
    <t xml:space="preserve">25A </t>
  </si>
  <si>
    <t xml:space="preserve">24B </t>
  </si>
  <si>
    <t>Said Iskandar, S.Si., M.Si</t>
  </si>
  <si>
    <t>192 2.01</t>
  </si>
  <si>
    <t>Algoritma dan Pemrograman</t>
  </si>
  <si>
    <t>Sisti Nadia Amalia, S.Pd., M.Stat</t>
  </si>
  <si>
    <t>Teori Bayesian</t>
  </si>
  <si>
    <t>Psikometri  (MK Pilihan 2)</t>
  </si>
  <si>
    <t>Sri Dewi, S.Kom., M.Kom</t>
  </si>
  <si>
    <t xml:space="preserve"> 192.2.11</t>
  </si>
  <si>
    <t>Sri Lestari Manurung, S.Pd., M.Pd</t>
  </si>
  <si>
    <t xml:space="preserve">Selasa </t>
  </si>
  <si>
    <t>197.4.02</t>
  </si>
  <si>
    <t>Suci Frisnoiry, S.Pd., M.Pd</t>
  </si>
  <si>
    <t xml:space="preserve">Sejarah Matematika  </t>
  </si>
  <si>
    <t>08.00-10.32</t>
  </si>
  <si>
    <t>22V</t>
  </si>
  <si>
    <t>192. 4.01</t>
  </si>
  <si>
    <t>Sudianto Manullang, S.Si., M.Sc</t>
  </si>
  <si>
    <t>Statistika Keuangan (MK Pilihan 1)</t>
  </si>
  <si>
    <t>Teori Investasi dan Pasar Modal (MK Pilihan 2)</t>
  </si>
  <si>
    <t>Matematika Aktuaria</t>
  </si>
  <si>
    <t>Susiana, S.Si, M.Si</t>
  </si>
  <si>
    <t>Suvriadi Panggabean, M.Si</t>
  </si>
  <si>
    <t xml:space="preserve">Kamis </t>
  </si>
  <si>
    <t>Suwanto, M.Pd</t>
  </si>
  <si>
    <t>CESP</t>
  </si>
  <si>
    <t>Syafari, Dr., M.Pd</t>
  </si>
  <si>
    <t>Syawal Gultom, Prof. Dr., M.Pd</t>
  </si>
  <si>
    <t>Tiur Malasari Siregar, Dr. S.Pd., M.Si</t>
  </si>
  <si>
    <t>22W</t>
  </si>
  <si>
    <t>192. 4.02</t>
  </si>
  <si>
    <t>Tri Andri Hutapea, S.Si., M.Sc</t>
  </si>
  <si>
    <t>W. Rajagukguk, Dr., M.Pd</t>
  </si>
  <si>
    <t>W. L Sihombing, Drs., M.Pd</t>
  </si>
  <si>
    <t xml:space="preserve">Yasifati Hia, Drs., M.Si        </t>
  </si>
  <si>
    <t>23Q</t>
  </si>
  <si>
    <t>22X</t>
  </si>
  <si>
    <t>Yulita M. Rangkuti, Prof. M.Sc, Ph.D</t>
  </si>
  <si>
    <t xml:space="preserve">Zul Amry, Prof., M.Si. Ph.D           </t>
  </si>
  <si>
    <t>Zulfahmi Indra, S.Si., M.Cs</t>
  </si>
  <si>
    <t>Sistem Operasi</t>
  </si>
  <si>
    <t>Ditetapkan Di: Medan</t>
  </si>
  <si>
    <t>Tanggal:      Agustus 2025</t>
  </si>
  <si>
    <t>Dekan</t>
  </si>
  <si>
    <t>Dr. Ani Sutiani, M.Si</t>
  </si>
  <si>
    <t>NIP. 196807301992032001</t>
  </si>
  <si>
    <t>devakad 15.30-18.00</t>
  </si>
  <si>
    <t>Nama Dosen</t>
  </si>
  <si>
    <t>Kode</t>
  </si>
  <si>
    <t>Adidtya Perdana, S.T., M.Kom</t>
  </si>
  <si>
    <t>Arnah Ritonga, S.Si, M.Si</t>
  </si>
  <si>
    <t>Asmin, Prof. Dr., M.Pd</t>
  </si>
  <si>
    <t>Asrin Lubis, Dr., M.Pd</t>
  </si>
  <si>
    <t>Bornok Sinaga, Prof. Dr., M.Pd</t>
  </si>
  <si>
    <t>Debi Yandra Niska, S.Kom., M.Kom</t>
  </si>
  <si>
    <t>Dian Armanto, Prof., M.Pd., Ph.D</t>
  </si>
  <si>
    <t>Dinda Kartika, S.Pd., M.Si</t>
  </si>
  <si>
    <t>E. Elvis Napitupulu, Dr., M.Si</t>
  </si>
  <si>
    <t>Edi Syahputra, Prof. Dr., M.Pd</t>
  </si>
  <si>
    <t>Edy Surya, Dr., M.Si</t>
  </si>
  <si>
    <t>Erlinawaty Simanjuntak, S.Pd., M.Si</t>
  </si>
  <si>
    <t>Faiz Ahyaningsih, Dr., M.Si</t>
  </si>
  <si>
    <t>Fanny Ramadhani, S.Kom., M.Kom</t>
  </si>
  <si>
    <t>Faridawaty Marpaung, S.Si., M.Si</t>
  </si>
  <si>
    <t>Fevi Rahmawati Suwanto, S.Pd., M.Pd</t>
  </si>
  <si>
    <t>Hanna Dewi M. Hutabarat, S.Si., M.Si</t>
  </si>
  <si>
    <t>Hasratuddin, Prof. Dr., M.Pd</t>
  </si>
  <si>
    <t>Insan Taufik, S.Kom., M.Kom</t>
  </si>
  <si>
    <t>Kana Saputra S., S.Pd., M.Kom</t>
  </si>
  <si>
    <t>KMS. Amin Fauzi, Dr., M.Pd</t>
  </si>
  <si>
    <t>Mansur AS, Dr. Eng., S.Kom., M.T</t>
  </si>
  <si>
    <t>Michael Christian Simanullang, S.Pd., M.Pd</t>
  </si>
  <si>
    <t>Mulyono S, Dr., M.Si</t>
  </si>
  <si>
    <t>Nerli Khairani, Dr., M.Si</t>
  </si>
  <si>
    <t>Philips Pasca G. Siagian, S.Pd., M.Pd</t>
  </si>
  <si>
    <t>Rizky Habibi, S.Pd., M.Si</t>
  </si>
  <si>
    <t>Sahat Saragih, Prof. Dr., M.Pd</t>
  </si>
  <si>
    <t>W. L. Sihombing, Drs., M.Pd</t>
  </si>
  <si>
    <t>Yasifati Hia, Drs., M.Si</t>
  </si>
  <si>
    <t>Zul Amry, Prof., M.Si., Ph.D</t>
  </si>
  <si>
    <t>Nama Mata Kuliah</t>
  </si>
  <si>
    <t>Nama Kelas</t>
  </si>
  <si>
    <t>08.00–10.30</t>
  </si>
  <si>
    <t>Nama Ruangan</t>
  </si>
  <si>
    <t xml:space="preserve">Nama Dosen </t>
  </si>
  <si>
    <t>Mata Kuliah</t>
  </si>
  <si>
    <t>Nama Hari</t>
  </si>
  <si>
    <t>Dasar-Dasar Pemrograman</t>
  </si>
  <si>
    <t>Ilmu Sosial Budaya Dasar</t>
  </si>
  <si>
    <t>Kalkulus Integral</t>
  </si>
  <si>
    <t>Logika Matematika</t>
  </si>
  <si>
    <t>Pemrograman Dasar</t>
  </si>
  <si>
    <t>Pemrograman Web</t>
  </si>
  <si>
    <t>Pengantar Probabilitas</t>
  </si>
  <si>
    <t>Pengantar Statistika</t>
  </si>
  <si>
    <t>PLP 1</t>
  </si>
  <si>
    <t>Riset Operasi</t>
  </si>
  <si>
    <t>Statistik Non Parametrik</t>
  </si>
  <si>
    <t>Sistem Dinamik</t>
  </si>
  <si>
    <t>Sistem Informasi Geografis</t>
  </si>
  <si>
    <t>Teori Bilangan</t>
  </si>
  <si>
    <t>Wawasan Kependidikan</t>
  </si>
  <si>
    <t>Aplikasi Teori Graph (MK Pilihan)</t>
  </si>
  <si>
    <t>Metode Penelitian Pendidikan Matematika</t>
  </si>
  <si>
    <t>Metode Penelitian Kuantitatif dalam Pendidikan</t>
  </si>
  <si>
    <t>Integrasi Teknologi Terkini  dalam Pendidikan</t>
  </si>
  <si>
    <t>Data Mining</t>
  </si>
  <si>
    <t>Kajian Mandiri Problematika Pendidikan Matematika Terkini</t>
  </si>
  <si>
    <t>Teori Modul</t>
  </si>
  <si>
    <t>2.01</t>
  </si>
  <si>
    <t>LANGKAH PERTAMA : PENGACAKAN KROMOSOM</t>
  </si>
  <si>
    <t>LANGKAH KEDUA : Perhitungan Fitness</t>
  </si>
  <si>
    <t>Jumlah Konflik</t>
  </si>
  <si>
    <t>Fitness</t>
  </si>
  <si>
    <t>Total Konflik</t>
  </si>
  <si>
    <t>Jumlah Konflik Dosen</t>
  </si>
  <si>
    <t>Jumlah Konflik Ruangan</t>
  </si>
  <si>
    <t>Parent 1: C1</t>
  </si>
  <si>
    <t>Parent 1: C2</t>
  </si>
  <si>
    <t xml:space="preserve">LANGKAH 3 : Seleksi </t>
  </si>
  <si>
    <t>LANGKAH 4 : Crossover</t>
  </si>
  <si>
    <t>Parent 1:</t>
  </si>
  <si>
    <t>Parent 2:</t>
  </si>
  <si>
    <t>Dilakukan crossover satu titik (single-point crossover) di tengah kromosom:</t>
  </si>
  <si>
    <t>Child 1:</t>
  </si>
  <si>
    <t>Child 2:</t>
  </si>
  <si>
    <t>LANGKAH 5 : Mutasi</t>
  </si>
  <si>
    <t>Mutasi dilakukan secara acak terhadap satu atribut kromosom. Misalnya pada Child 1, dilakukan mutasi pada atribut hari:</t>
  </si>
  <si>
    <t>Sebelum Mutasi :</t>
  </si>
  <si>
    <t>Sesudah Mutasi :</t>
  </si>
  <si>
    <t>LANGKAH 6 : Populasi Baru</t>
  </si>
  <si>
    <t>Populasi generasi berikutnya terbentuk dari hasil crossover dan mutasi:</t>
  </si>
  <si>
    <t>Kromosom</t>
  </si>
  <si>
    <t>C1</t>
  </si>
  <si>
    <t>Child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</si>
</sst>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_-;_-@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Calibri"/>
      <family val="2"/>
    </font>
    <font>
      <sz val="12"/>
      <color theme="1"/>
      <name val="Arial Narrow"/>
      <family val="2"/>
    </font>
    <font>
      <b/>
      <sz val="15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3"/>
      <color theme="1"/>
      <name val="Arial Narrow"/>
      <family val="2"/>
    </font>
    <font>
      <sz val="12"/>
      <color rgb="FFFF00FF"/>
      <name val="Arial Narrow"/>
      <family val="2"/>
    </font>
    <font>
      <sz val="12"/>
      <color rgb="FF0000FF"/>
      <name val="Arial Narrow"/>
      <family val="2"/>
    </font>
    <font>
      <sz val="12"/>
      <color rgb="FFFF0000"/>
      <name val="Arial Narrow"/>
      <family val="2"/>
    </font>
    <font>
      <sz val="12"/>
      <color rgb="FFFFFF00"/>
      <name val="Arial Narrow"/>
      <family val="2"/>
    </font>
    <font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1"/>
      <color rgb="FFFF00FF"/>
      <name val="Arial Narrow"/>
      <family val="2"/>
    </font>
    <font>
      <b/>
      <sz val="11"/>
      <color rgb="FF000000"/>
      <name val="Arial Narrow"/>
      <family val="2"/>
    </font>
    <font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2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9" fillId="3" borderId="5" xfId="0" applyFont="1" applyFill="1" applyBorder="1"/>
    <xf numFmtId="0" fontId="9" fillId="0" borderId="0" xfId="0" applyFont="1"/>
    <xf numFmtId="0" fontId="7" fillId="2" borderId="7" xfId="0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5" xfId="0" applyFont="1" applyFill="1" applyBorder="1"/>
    <xf numFmtId="0" fontId="7" fillId="2" borderId="7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12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wrapText="1"/>
    </xf>
    <xf numFmtId="164" fontId="9" fillId="3" borderId="7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49" fontId="9" fillId="3" borderId="7" xfId="0" applyNumberFormat="1" applyFont="1" applyFill="1" applyBorder="1" applyAlignment="1">
      <alignment horizontal="center" vertical="center"/>
    </xf>
    <xf numFmtId="0" fontId="14" fillId="3" borderId="5" xfId="0" applyFont="1" applyFill="1" applyBorder="1"/>
    <xf numFmtId="0" fontId="14" fillId="0" borderId="0" xfId="0" applyFont="1"/>
    <xf numFmtId="0" fontId="9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3" borderId="5" xfId="0" applyFont="1" applyFill="1" applyBorder="1"/>
    <xf numFmtId="0" fontId="9" fillId="3" borderId="7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/>
    </xf>
    <xf numFmtId="164" fontId="9" fillId="3" borderId="19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7" fillId="3" borderId="5" xfId="0" applyFont="1" applyFill="1" applyBorder="1"/>
    <xf numFmtId="0" fontId="17" fillId="4" borderId="5" xfId="0" applyFont="1" applyFill="1" applyBorder="1"/>
    <xf numFmtId="164" fontId="7" fillId="2" borderId="19" xfId="0" applyNumberFormat="1" applyFont="1" applyFill="1" applyBorder="1" applyAlignment="1">
      <alignment horizontal="center" vertical="center"/>
    </xf>
    <xf numFmtId="0" fontId="16" fillId="0" borderId="0" xfId="0" applyFont="1"/>
    <xf numFmtId="49" fontId="9" fillId="3" borderId="17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vertical="top"/>
    </xf>
    <xf numFmtId="0" fontId="3" fillId="3" borderId="29" xfId="0" applyFont="1" applyFill="1" applyBorder="1"/>
    <xf numFmtId="0" fontId="3" fillId="3" borderId="29" xfId="0" applyFont="1" applyFill="1" applyBorder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49" fontId="9" fillId="3" borderId="29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top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0" fontId="19" fillId="3" borderId="5" xfId="0" applyFont="1" applyFill="1" applyBorder="1"/>
    <xf numFmtId="0" fontId="16" fillId="4" borderId="5" xfId="0" applyFont="1" applyFill="1" applyBorder="1"/>
    <xf numFmtId="0" fontId="3" fillId="3" borderId="19" xfId="0" applyFont="1" applyFill="1" applyBorder="1" applyAlignment="1">
      <alignment wrapText="1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top" wrapText="1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3" borderId="31" xfId="0" applyFont="1" applyFill="1" applyBorder="1" applyAlignment="1">
      <alignment vertical="top"/>
    </xf>
    <xf numFmtId="0" fontId="3" fillId="3" borderId="3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wrapText="1"/>
    </xf>
    <xf numFmtId="0" fontId="3" fillId="3" borderId="28" xfId="0" applyFont="1" applyFill="1" applyBorder="1" applyAlignment="1">
      <alignment horizontal="center" vertical="center"/>
    </xf>
    <xf numFmtId="164" fontId="3" fillId="3" borderId="19" xfId="0" applyNumberFormat="1" applyFont="1" applyFill="1" applyBorder="1" applyAlignment="1">
      <alignment horizontal="center" vertical="center"/>
    </xf>
    <xf numFmtId="0" fontId="20" fillId="3" borderId="5" xfId="0" applyFont="1" applyFill="1" applyBorder="1"/>
    <xf numFmtId="0" fontId="18" fillId="3" borderId="33" xfId="0" applyFont="1" applyFill="1" applyBorder="1" applyAlignment="1">
      <alignment horizontal="center" vertical="center"/>
    </xf>
    <xf numFmtId="49" fontId="18" fillId="3" borderId="34" xfId="0" applyNumberFormat="1" applyFont="1" applyFill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9" fillId="5" borderId="5" xfId="0" applyFont="1" applyFill="1" applyBorder="1"/>
    <xf numFmtId="0" fontId="14" fillId="4" borderId="5" xfId="0" applyFont="1" applyFill="1" applyBorder="1"/>
    <xf numFmtId="0" fontId="4" fillId="3" borderId="29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165" fontId="3" fillId="3" borderId="5" xfId="0" applyNumberFormat="1" applyFont="1" applyFill="1" applyBorder="1"/>
    <xf numFmtId="165" fontId="9" fillId="0" borderId="0" xfId="0" applyNumberFormat="1" applyFont="1"/>
    <xf numFmtId="0" fontId="9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49" fontId="3" fillId="3" borderId="17" xfId="0" applyNumberFormat="1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vertical="center"/>
    </xf>
    <xf numFmtId="0" fontId="4" fillId="2" borderId="35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center" vertical="top"/>
    </xf>
    <xf numFmtId="0" fontId="4" fillId="3" borderId="33" xfId="0" applyFont="1" applyFill="1" applyBorder="1" applyAlignment="1">
      <alignment vertical="top"/>
    </xf>
    <xf numFmtId="0" fontId="3" fillId="4" borderId="7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3" fillId="4" borderId="1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3" borderId="17" xfId="0" applyFont="1" applyFill="1" applyBorder="1" applyAlignment="1">
      <alignment horizontal="left" vertical="center" wrapText="1"/>
    </xf>
    <xf numFmtId="164" fontId="3" fillId="3" borderId="17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vertical="top" wrapText="1"/>
    </xf>
    <xf numFmtId="0" fontId="9" fillId="4" borderId="5" xfId="0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164" fontId="3" fillId="3" borderId="25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164" fontId="9" fillId="3" borderId="20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0" fillId="0" borderId="4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0" xfId="0" applyBorder="1"/>
    <xf numFmtId="0" fontId="23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/>
    <xf numFmtId="0" fontId="23" fillId="0" borderId="23" xfId="0" applyFont="1" applyBorder="1" applyAlignment="1">
      <alignment horizontal="center" vertical="center"/>
    </xf>
    <xf numFmtId="164" fontId="9" fillId="0" borderId="0" xfId="0" applyNumberFormat="1" applyFont="1"/>
    <xf numFmtId="0" fontId="0" fillId="0" borderId="23" xfId="0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164" fontId="9" fillId="3" borderId="17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164" fontId="3" fillId="3" borderId="40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23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left" vertical="center"/>
    </xf>
    <xf numFmtId="0" fontId="0" fillId="0" borderId="40" xfId="0" applyBorder="1" applyAlignment="1">
      <alignment horizontal="left" vertical="center" wrapText="1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3" fillId="3" borderId="40" xfId="0" applyFont="1" applyFill="1" applyBorder="1" applyAlignment="1">
      <alignment horizontal="left" vertical="center" wrapText="1"/>
    </xf>
    <xf numFmtId="0" fontId="23" fillId="7" borderId="40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40" xfId="0" applyFont="1" applyFill="1" applyBorder="1"/>
    <xf numFmtId="0" fontId="26" fillId="0" borderId="0" xfId="0" applyFont="1" applyAlignment="1">
      <alignment horizontal="justify" vertical="center"/>
    </xf>
    <xf numFmtId="0" fontId="27" fillId="7" borderId="0" xfId="0" applyFont="1" applyFill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8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8" fillId="0" borderId="15" xfId="0" applyFont="1" applyBorder="1"/>
    <xf numFmtId="0" fontId="4" fillId="2" borderId="2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8" fillId="0" borderId="11" xfId="0" applyFont="1" applyBorder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left" vertical="top" wrapText="1"/>
    </xf>
    <xf numFmtId="0" fontId="8" fillId="0" borderId="12" xfId="0" applyFont="1" applyBorder="1"/>
    <xf numFmtId="0" fontId="8" fillId="0" borderId="21" xfId="0" applyFont="1" applyBorder="1"/>
    <xf numFmtId="0" fontId="4" fillId="3" borderId="1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center" vertical="center"/>
    </xf>
    <xf numFmtId="0" fontId="8" fillId="0" borderId="14" xfId="0" applyFont="1" applyBorder="1"/>
    <xf numFmtId="0" fontId="3" fillId="3" borderId="1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164" fontId="3" fillId="4" borderId="1" xfId="0" applyNumberFormat="1" applyFont="1" applyFill="1" applyBorder="1" applyAlignment="1">
      <alignment horizontal="center"/>
    </xf>
    <xf numFmtId="0" fontId="3" fillId="3" borderId="2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3" fillId="3" borderId="25" xfId="0" applyFont="1" applyFill="1" applyBorder="1" applyAlignment="1">
      <alignment horizontal="center" vertical="center"/>
    </xf>
    <xf numFmtId="0" fontId="8" fillId="0" borderId="26" xfId="0" applyFont="1" applyBorder="1"/>
    <xf numFmtId="0" fontId="9" fillId="3" borderId="1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left" vertical="top" wrapText="1"/>
    </xf>
    <xf numFmtId="0" fontId="4" fillId="3" borderId="36" xfId="0" applyFont="1" applyFill="1" applyBorder="1" applyAlignment="1">
      <alignment horizontal="left" vertical="top" wrapText="1"/>
    </xf>
    <xf numFmtId="0" fontId="4" fillId="3" borderId="20" xfId="0" applyFont="1" applyFill="1" applyBorder="1" applyAlignment="1">
      <alignment horizontal="left" vertical="top" wrapText="1"/>
    </xf>
    <xf numFmtId="164" fontId="3" fillId="3" borderId="25" xfId="0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8" fillId="0" borderId="24" xfId="0" applyFont="1" applyBorder="1"/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center" vertical="center"/>
    </xf>
    <xf numFmtId="164" fontId="9" fillId="3" borderId="20" xfId="0" applyNumberFormat="1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left" vertical="top" wrapText="1"/>
    </xf>
    <xf numFmtId="0" fontId="8" fillId="0" borderId="23" xfId="0" applyFont="1" applyBorder="1"/>
    <xf numFmtId="0" fontId="8" fillId="0" borderId="27" xfId="0" applyFont="1" applyBorder="1"/>
    <xf numFmtId="0" fontId="7" fillId="3" borderId="10" xfId="0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165" fontId="4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1" fillId="3" borderId="10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/>
    </xf>
    <xf numFmtId="0" fontId="8" fillId="0" borderId="9" xfId="0" applyFont="1" applyBorder="1"/>
    <xf numFmtId="0" fontId="9" fillId="3" borderId="8" xfId="0" applyFont="1" applyFill="1" applyBorder="1" applyAlignment="1">
      <alignment vertical="center"/>
    </xf>
    <xf numFmtId="0" fontId="10" fillId="4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center"/>
    </xf>
    <xf numFmtId="0" fontId="9" fillId="6" borderId="8" xfId="0" applyFont="1" applyFill="1" applyBorder="1" applyAlignment="1">
      <alignment vertical="center"/>
    </xf>
    <xf numFmtId="0" fontId="9" fillId="0" borderId="0" xfId="0" applyFont="1"/>
    <xf numFmtId="0" fontId="4" fillId="2" borderId="2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center" vertical="center"/>
    </xf>
    <xf numFmtId="0" fontId="8" fillId="0" borderId="38" xfId="0" applyFont="1" applyBorder="1"/>
    <xf numFmtId="0" fontId="8" fillId="0" borderId="39" xfId="0" applyFont="1" applyBorder="1"/>
    <xf numFmtId="0" fontId="3" fillId="2" borderId="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164" fontId="7" fillId="2" borderId="17" xfId="0" applyNumberFormat="1" applyFont="1" applyFill="1" applyBorder="1" applyAlignment="1">
      <alignment horizontal="center" vertical="center"/>
    </xf>
    <xf numFmtId="164" fontId="7" fillId="2" borderId="33" xfId="0" applyNumberFormat="1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7" fillId="7" borderId="2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7" fillId="7" borderId="0" xfId="0" applyFont="1" applyFill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.si/" TargetMode="External"/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4"/>
  <sheetViews>
    <sheetView topLeftCell="A195" workbookViewId="0">
      <selection activeCell="F73" sqref="F73"/>
    </sheetView>
  </sheetViews>
  <sheetFormatPr defaultColWidth="14.453125" defaultRowHeight="15" customHeight="1" x14ac:dyDescent="0.35"/>
  <cols>
    <col min="1" max="1" width="4.54296875" customWidth="1"/>
    <col min="2" max="2" width="20.26953125" customWidth="1"/>
    <col min="3" max="3" width="32" customWidth="1"/>
    <col min="4" max="4" width="3.453125" customWidth="1"/>
    <col min="5" max="5" width="4.54296875" customWidth="1"/>
    <col min="6" max="6" width="11.54296875" customWidth="1"/>
    <col min="7" max="7" width="8.26953125" customWidth="1"/>
    <col min="8" max="8" width="8.7265625" customWidth="1"/>
    <col min="9" max="9" width="11" customWidth="1"/>
    <col min="10" max="10" width="9.08984375" customWidth="1"/>
    <col min="11" max="11" width="7.453125" customWidth="1"/>
    <col min="12" max="14" width="9.7265625" customWidth="1"/>
    <col min="15" max="15" width="14.08984375" customWidth="1"/>
    <col min="16" max="18" width="14.54296875" customWidth="1"/>
  </cols>
  <sheetData>
    <row r="1" spans="1:26" ht="16.5" customHeight="1" x14ac:dyDescent="0.35">
      <c r="A1" s="1" t="s">
        <v>0</v>
      </c>
      <c r="B1" s="2"/>
      <c r="C1" s="3"/>
      <c r="D1" s="4"/>
      <c r="E1" s="5"/>
      <c r="F1" s="4"/>
      <c r="G1" s="4"/>
      <c r="H1" s="4"/>
      <c r="I1" s="4"/>
      <c r="J1" s="4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.5" customHeight="1" x14ac:dyDescent="0.35">
      <c r="A2" s="8" t="s">
        <v>1</v>
      </c>
      <c r="B2" s="9"/>
      <c r="C2" s="10"/>
      <c r="D2" s="6"/>
      <c r="E2" s="11"/>
      <c r="F2" s="6"/>
      <c r="G2" s="6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.5" customHeight="1" x14ac:dyDescent="0.35">
      <c r="A3" s="8" t="s">
        <v>2</v>
      </c>
      <c r="B3" s="9"/>
      <c r="C3" s="10"/>
      <c r="D3" s="6"/>
      <c r="E3" s="11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 x14ac:dyDescent="0.35">
      <c r="A4" s="8" t="s">
        <v>3</v>
      </c>
      <c r="B4" s="9"/>
      <c r="C4" s="10"/>
      <c r="D4" s="6"/>
      <c r="E4" s="11"/>
      <c r="F4" s="6"/>
      <c r="G4" s="6"/>
      <c r="H4" s="6"/>
      <c r="I4" s="6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customHeight="1" x14ac:dyDescent="0.35">
      <c r="A5" s="12" t="s">
        <v>4</v>
      </c>
      <c r="B5" s="13"/>
      <c r="C5" s="12"/>
      <c r="D5" s="14"/>
      <c r="E5" s="15"/>
      <c r="F5" s="14"/>
      <c r="G5" s="14"/>
      <c r="H5" s="14"/>
      <c r="I5" s="14"/>
      <c r="J5" s="14"/>
      <c r="K5" s="14"/>
      <c r="L5" s="1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.5" customHeight="1" x14ac:dyDescent="0.35">
      <c r="A6" s="9"/>
      <c r="B6" s="16"/>
      <c r="C6" s="10"/>
      <c r="D6" s="6"/>
      <c r="E6" s="11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.5" customHeight="1" x14ac:dyDescent="0.35">
      <c r="A7" s="283" t="s">
        <v>5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5" customHeight="1" x14ac:dyDescent="0.35">
      <c r="A8" s="283" t="s">
        <v>6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.5" customHeight="1" x14ac:dyDescent="0.35">
      <c r="A9" s="2"/>
      <c r="B9" s="2"/>
      <c r="C9" s="7"/>
      <c r="D9" s="6"/>
      <c r="E9" s="11"/>
      <c r="F9" s="6"/>
      <c r="G9" s="6"/>
      <c r="H9" s="6"/>
      <c r="I9" s="6"/>
      <c r="J9" s="6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.5" customHeight="1" x14ac:dyDescent="0.35">
      <c r="A10" s="285" t="s">
        <v>7</v>
      </c>
      <c r="B10" s="285" t="s">
        <v>8</v>
      </c>
      <c r="C10" s="285" t="s">
        <v>9</v>
      </c>
      <c r="D10" s="286" t="s">
        <v>10</v>
      </c>
      <c r="E10" s="222"/>
      <c r="F10" s="285" t="s">
        <v>11</v>
      </c>
      <c r="G10" s="285" t="s">
        <v>12</v>
      </c>
      <c r="H10" s="287" t="s">
        <v>13</v>
      </c>
      <c r="I10" s="221"/>
      <c r="J10" s="221"/>
      <c r="K10" s="222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6.5" customHeight="1" x14ac:dyDescent="0.35">
      <c r="A11" s="217"/>
      <c r="B11" s="217"/>
      <c r="C11" s="217"/>
      <c r="D11" s="19" t="s">
        <v>14</v>
      </c>
      <c r="E11" s="20" t="s">
        <v>15</v>
      </c>
      <c r="F11" s="217"/>
      <c r="G11" s="217"/>
      <c r="H11" s="19" t="s">
        <v>16</v>
      </c>
      <c r="I11" s="19" t="s">
        <v>17</v>
      </c>
      <c r="J11" s="19" t="s">
        <v>18</v>
      </c>
      <c r="K11" s="19" t="s">
        <v>19</v>
      </c>
      <c r="L11" s="17"/>
      <c r="M11" s="18"/>
      <c r="N11" s="18"/>
      <c r="O11" s="18"/>
      <c r="P11" s="288"/>
      <c r="Q11" s="21"/>
      <c r="R11" s="290"/>
      <c r="S11" s="18"/>
      <c r="T11" s="291"/>
      <c r="U11" s="22"/>
      <c r="V11" s="292"/>
      <c r="W11" s="18"/>
      <c r="X11" s="18"/>
      <c r="Y11" s="18"/>
      <c r="Z11" s="18"/>
    </row>
    <row r="12" spans="1:26" ht="16.5" customHeight="1" x14ac:dyDescent="0.35">
      <c r="A12" s="23" t="s">
        <v>20</v>
      </c>
      <c r="B12" s="24" t="s">
        <v>21</v>
      </c>
      <c r="C12" s="24" t="s">
        <v>22</v>
      </c>
      <c r="D12" s="19" t="s">
        <v>23</v>
      </c>
      <c r="E12" s="20" t="s">
        <v>24</v>
      </c>
      <c r="F12" s="19" t="s">
        <v>25</v>
      </c>
      <c r="G12" s="19" t="s">
        <v>26</v>
      </c>
      <c r="H12" s="19" t="s">
        <v>27</v>
      </c>
      <c r="I12" s="19" t="s">
        <v>28</v>
      </c>
      <c r="J12" s="19" t="s">
        <v>29</v>
      </c>
      <c r="K12" s="19" t="s">
        <v>30</v>
      </c>
      <c r="L12" s="17"/>
      <c r="M12" s="18"/>
      <c r="N12" s="18"/>
      <c r="O12" s="18"/>
      <c r="P12" s="289"/>
      <c r="Q12" s="17"/>
      <c r="R12" s="289"/>
      <c r="S12" s="18"/>
      <c r="T12" s="289"/>
      <c r="U12" s="22"/>
      <c r="V12" s="289"/>
      <c r="W12" s="18"/>
      <c r="X12" s="18"/>
      <c r="Y12" s="18"/>
      <c r="Z12" s="18"/>
    </row>
    <row r="13" spans="1:26" ht="16.5" customHeight="1" x14ac:dyDescent="0.35">
      <c r="A13" s="246">
        <v>1</v>
      </c>
      <c r="B13" s="281" t="s">
        <v>31</v>
      </c>
      <c r="C13" s="251" t="s">
        <v>32</v>
      </c>
      <c r="D13" s="262">
        <v>3</v>
      </c>
      <c r="E13" s="261">
        <v>1.5</v>
      </c>
      <c r="F13" s="262" t="s">
        <v>33</v>
      </c>
      <c r="G13" s="262" t="s">
        <v>34</v>
      </c>
      <c r="H13" s="21" t="s">
        <v>35</v>
      </c>
      <c r="I13" s="21" t="s">
        <v>36</v>
      </c>
      <c r="J13" s="21" t="s">
        <v>37</v>
      </c>
      <c r="K13" s="262" t="s">
        <v>38</v>
      </c>
      <c r="L13" s="17"/>
      <c r="M13" s="18"/>
      <c r="N13" s="18"/>
      <c r="O13" s="18"/>
      <c r="P13" s="293"/>
      <c r="Q13" s="295"/>
      <c r="R13" s="294"/>
      <c r="S13" s="18"/>
      <c r="T13" s="293"/>
      <c r="U13" s="295"/>
      <c r="V13" s="294"/>
      <c r="W13" s="18"/>
      <c r="X13" s="18"/>
      <c r="Y13" s="18"/>
      <c r="Z13" s="18"/>
    </row>
    <row r="14" spans="1:26" ht="16.5" customHeight="1" x14ac:dyDescent="0.35">
      <c r="A14" s="230"/>
      <c r="B14" s="236"/>
      <c r="C14" s="217"/>
      <c r="D14" s="217"/>
      <c r="E14" s="217"/>
      <c r="F14" s="217"/>
      <c r="G14" s="217"/>
      <c r="H14" s="21" t="s">
        <v>39</v>
      </c>
      <c r="I14" s="21" t="s">
        <v>40</v>
      </c>
      <c r="J14" s="21" t="s">
        <v>41</v>
      </c>
      <c r="K14" s="217"/>
      <c r="L14" s="17"/>
      <c r="M14" s="18"/>
      <c r="N14" s="164"/>
      <c r="O14" s="18"/>
      <c r="P14" s="284"/>
      <c r="Q14" s="284"/>
      <c r="R14" s="284"/>
      <c r="S14" s="18"/>
      <c r="T14" s="284"/>
      <c r="U14" s="284"/>
      <c r="V14" s="284"/>
      <c r="W14" s="18"/>
      <c r="X14" s="18"/>
      <c r="Y14" s="18"/>
      <c r="Z14" s="18"/>
    </row>
    <row r="15" spans="1:26" ht="16.5" customHeight="1" x14ac:dyDescent="0.35">
      <c r="A15" s="230"/>
      <c r="B15" s="236"/>
      <c r="C15" s="251" t="s">
        <v>32</v>
      </c>
      <c r="D15" s="262">
        <v>3</v>
      </c>
      <c r="E15" s="261">
        <v>1.5</v>
      </c>
      <c r="F15" s="262" t="s">
        <v>33</v>
      </c>
      <c r="G15" s="262" t="s">
        <v>42</v>
      </c>
      <c r="H15" s="21" t="s">
        <v>35</v>
      </c>
      <c r="I15" s="21" t="s">
        <v>40</v>
      </c>
      <c r="J15" s="21" t="s">
        <v>43</v>
      </c>
      <c r="K15" s="262" t="s">
        <v>38</v>
      </c>
      <c r="L15" s="17"/>
      <c r="M15" s="18"/>
      <c r="N15" s="18"/>
      <c r="O15" s="18"/>
      <c r="P15" s="293"/>
      <c r="Q15" s="295"/>
      <c r="R15" s="294"/>
      <c r="S15" s="18"/>
      <c r="T15" s="293"/>
      <c r="U15" s="295"/>
      <c r="V15" s="294"/>
      <c r="W15" s="18"/>
      <c r="X15" s="18"/>
      <c r="Y15" s="18"/>
      <c r="Z15" s="18"/>
    </row>
    <row r="16" spans="1:26" ht="16.5" customHeight="1" x14ac:dyDescent="0.35">
      <c r="A16" s="230"/>
      <c r="B16" s="236"/>
      <c r="C16" s="217"/>
      <c r="D16" s="217"/>
      <c r="E16" s="217"/>
      <c r="F16" s="217"/>
      <c r="G16" s="217"/>
      <c r="H16" s="21" t="s">
        <v>39</v>
      </c>
      <c r="I16" s="21" t="s">
        <v>44</v>
      </c>
      <c r="J16" s="21" t="s">
        <v>43</v>
      </c>
      <c r="K16" s="217"/>
      <c r="L16" s="17"/>
      <c r="M16" s="18"/>
      <c r="N16" s="18"/>
      <c r="O16" s="18"/>
      <c r="P16" s="284"/>
      <c r="Q16" s="284"/>
      <c r="R16" s="284"/>
      <c r="S16" s="18"/>
      <c r="T16" s="284"/>
      <c r="U16" s="284"/>
      <c r="V16" s="284"/>
      <c r="W16" s="18"/>
      <c r="X16" s="18"/>
      <c r="Y16" s="18"/>
      <c r="Z16" s="18"/>
    </row>
    <row r="17" spans="1:26" ht="16.5" customHeight="1" x14ac:dyDescent="0.35">
      <c r="A17" s="230"/>
      <c r="B17" s="236"/>
      <c r="C17" s="251" t="s">
        <v>32</v>
      </c>
      <c r="D17" s="262">
        <v>3</v>
      </c>
      <c r="E17" s="261">
        <v>1.5</v>
      </c>
      <c r="F17" s="262" t="s">
        <v>33</v>
      </c>
      <c r="G17" s="262" t="s">
        <v>45</v>
      </c>
      <c r="H17" s="21" t="s">
        <v>46</v>
      </c>
      <c r="I17" s="21" t="s">
        <v>40</v>
      </c>
      <c r="J17" s="21" t="s">
        <v>47</v>
      </c>
      <c r="K17" s="262" t="s">
        <v>38</v>
      </c>
      <c r="L17" s="17"/>
      <c r="M17" s="18"/>
      <c r="N17" s="18"/>
      <c r="O17" s="18"/>
      <c r="P17" s="293"/>
      <c r="Q17" s="295"/>
      <c r="R17" s="294"/>
      <c r="S17" s="18"/>
      <c r="T17" s="293"/>
      <c r="U17" s="295"/>
      <c r="V17" s="294"/>
      <c r="W17" s="18"/>
      <c r="X17" s="18"/>
      <c r="Y17" s="18"/>
      <c r="Z17" s="18"/>
    </row>
    <row r="18" spans="1:26" ht="16.5" customHeight="1" x14ac:dyDescent="0.35">
      <c r="A18" s="230"/>
      <c r="B18" s="236"/>
      <c r="C18" s="217"/>
      <c r="D18" s="217"/>
      <c r="E18" s="217"/>
      <c r="F18" s="217"/>
      <c r="G18" s="217"/>
      <c r="H18" s="21" t="s">
        <v>48</v>
      </c>
      <c r="I18" s="21" t="s">
        <v>40</v>
      </c>
      <c r="J18" s="21" t="s">
        <v>47</v>
      </c>
      <c r="K18" s="217"/>
      <c r="L18" s="17"/>
      <c r="M18" s="18"/>
      <c r="N18" s="18"/>
      <c r="O18" s="18"/>
      <c r="P18" s="284"/>
      <c r="Q18" s="284"/>
      <c r="R18" s="284"/>
      <c r="S18" s="18"/>
      <c r="T18" s="284"/>
      <c r="U18" s="284"/>
      <c r="V18" s="284"/>
      <c r="W18" s="18"/>
      <c r="X18" s="18"/>
      <c r="Y18" s="18"/>
      <c r="Z18" s="18"/>
    </row>
    <row r="19" spans="1:26" ht="16.5" customHeight="1" x14ac:dyDescent="0.35">
      <c r="A19" s="230"/>
      <c r="B19" s="236"/>
      <c r="C19" s="251" t="s">
        <v>32</v>
      </c>
      <c r="D19" s="262">
        <v>3</v>
      </c>
      <c r="E19" s="261">
        <v>1.5</v>
      </c>
      <c r="F19" s="262" t="s">
        <v>33</v>
      </c>
      <c r="G19" s="262" t="s">
        <v>49</v>
      </c>
      <c r="H19" s="21" t="s">
        <v>46</v>
      </c>
      <c r="I19" s="21" t="s">
        <v>44</v>
      </c>
      <c r="J19" s="21" t="s">
        <v>43</v>
      </c>
      <c r="K19" s="262" t="s">
        <v>38</v>
      </c>
      <c r="L19" s="17"/>
      <c r="M19" s="18"/>
      <c r="N19" s="18"/>
      <c r="O19" s="18"/>
      <c r="P19" s="293"/>
      <c r="Q19" s="295"/>
      <c r="R19" s="294"/>
      <c r="S19" s="18"/>
      <c r="T19" s="293"/>
      <c r="U19" s="295"/>
      <c r="V19" s="294"/>
      <c r="W19" s="18"/>
      <c r="X19" s="18"/>
      <c r="Y19" s="18"/>
      <c r="Z19" s="18"/>
    </row>
    <row r="20" spans="1:26" ht="16.5" customHeight="1" x14ac:dyDescent="0.35">
      <c r="A20" s="230"/>
      <c r="B20" s="236"/>
      <c r="C20" s="217"/>
      <c r="D20" s="217"/>
      <c r="E20" s="217"/>
      <c r="F20" s="217"/>
      <c r="G20" s="217"/>
      <c r="H20" s="21" t="s">
        <v>48</v>
      </c>
      <c r="I20" s="21" t="s">
        <v>44</v>
      </c>
      <c r="J20" s="21" t="s">
        <v>43</v>
      </c>
      <c r="K20" s="217"/>
      <c r="L20" s="17"/>
      <c r="M20" s="18"/>
      <c r="N20" s="18"/>
      <c r="O20" s="18"/>
      <c r="P20" s="284"/>
      <c r="Q20" s="284"/>
      <c r="R20" s="284"/>
      <c r="S20" s="18"/>
      <c r="T20" s="284"/>
      <c r="U20" s="284"/>
      <c r="V20" s="284"/>
      <c r="W20" s="18"/>
      <c r="X20" s="18"/>
      <c r="Y20" s="18"/>
      <c r="Z20" s="18"/>
    </row>
    <row r="21" spans="1:26" ht="16.5" customHeight="1" x14ac:dyDescent="0.35">
      <c r="A21" s="230"/>
      <c r="B21" s="236"/>
      <c r="C21" s="277" t="s">
        <v>50</v>
      </c>
      <c r="D21" s="278">
        <v>3</v>
      </c>
      <c r="E21" s="279">
        <v>1.5</v>
      </c>
      <c r="F21" s="278" t="s">
        <v>51</v>
      </c>
      <c r="G21" s="278" t="s">
        <v>34</v>
      </c>
      <c r="H21" s="28" t="s">
        <v>46</v>
      </c>
      <c r="I21" s="28" t="s">
        <v>52</v>
      </c>
      <c r="J21" s="28" t="s">
        <v>53</v>
      </c>
      <c r="K21" s="278" t="s">
        <v>54</v>
      </c>
      <c r="L21" s="29"/>
      <c r="M21" s="18"/>
      <c r="N21" s="18"/>
      <c r="O21" s="18"/>
      <c r="P21" s="293"/>
      <c r="Q21" s="295"/>
      <c r="R21" s="294"/>
      <c r="S21" s="18"/>
      <c r="T21" s="293"/>
      <c r="U21" s="295"/>
      <c r="V21" s="294"/>
      <c r="W21" s="18"/>
      <c r="X21" s="18"/>
      <c r="Y21" s="18"/>
      <c r="Z21" s="18"/>
    </row>
    <row r="22" spans="1:26" ht="16.5" customHeight="1" x14ac:dyDescent="0.35">
      <c r="A22" s="230"/>
      <c r="B22" s="236"/>
      <c r="C22" s="217"/>
      <c r="D22" s="217"/>
      <c r="E22" s="217"/>
      <c r="F22" s="217"/>
      <c r="G22" s="217"/>
      <c r="H22" s="28" t="s">
        <v>55</v>
      </c>
      <c r="I22" s="28" t="s">
        <v>56</v>
      </c>
      <c r="J22" s="28" t="s">
        <v>57</v>
      </c>
      <c r="K22" s="217"/>
      <c r="L22" s="29"/>
      <c r="M22" s="18"/>
      <c r="N22" s="18"/>
      <c r="O22" s="18"/>
      <c r="P22" s="284"/>
      <c r="Q22" s="284"/>
      <c r="R22" s="284"/>
      <c r="S22" s="18"/>
      <c r="T22" s="284"/>
      <c r="U22" s="284"/>
      <c r="V22" s="284"/>
      <c r="W22" s="18"/>
      <c r="X22" s="18"/>
      <c r="Y22" s="18"/>
      <c r="Z22" s="18"/>
    </row>
    <row r="23" spans="1:26" ht="16.5" customHeight="1" x14ac:dyDescent="0.35">
      <c r="A23" s="230"/>
      <c r="B23" s="236"/>
      <c r="C23" s="277" t="s">
        <v>58</v>
      </c>
      <c r="D23" s="278">
        <v>3</v>
      </c>
      <c r="E23" s="279">
        <v>1.5</v>
      </c>
      <c r="F23" s="278" t="s">
        <v>51</v>
      </c>
      <c r="G23" s="278" t="s">
        <v>42</v>
      </c>
      <c r="H23" s="28" t="s">
        <v>39</v>
      </c>
      <c r="I23" s="28" t="s">
        <v>59</v>
      </c>
      <c r="J23" s="28" t="s">
        <v>60</v>
      </c>
      <c r="K23" s="278" t="s">
        <v>54</v>
      </c>
      <c r="L23" s="29"/>
      <c r="M23" s="18"/>
      <c r="N23" s="18"/>
      <c r="O23" s="18"/>
      <c r="P23" s="293"/>
      <c r="Q23" s="295"/>
      <c r="R23" s="294"/>
      <c r="S23" s="18"/>
      <c r="T23" s="293"/>
      <c r="U23" s="295"/>
      <c r="V23" s="294"/>
      <c r="W23" s="18"/>
      <c r="X23" s="18"/>
      <c r="Y23" s="18"/>
      <c r="Z23" s="18"/>
    </row>
    <row r="24" spans="1:26" ht="16.5" customHeight="1" x14ac:dyDescent="0.35">
      <c r="A24" s="230"/>
      <c r="B24" s="236"/>
      <c r="C24" s="217"/>
      <c r="D24" s="217"/>
      <c r="E24" s="217"/>
      <c r="F24" s="217"/>
      <c r="G24" s="217"/>
      <c r="H24" s="28" t="s">
        <v>48</v>
      </c>
      <c r="I24" s="28" t="s">
        <v>61</v>
      </c>
      <c r="J24" s="28" t="s">
        <v>60</v>
      </c>
      <c r="K24" s="217"/>
      <c r="L24" s="29"/>
      <c r="M24" s="18"/>
      <c r="N24" s="18"/>
      <c r="O24" s="18"/>
      <c r="P24" s="284"/>
      <c r="Q24" s="284"/>
      <c r="R24" s="284"/>
      <c r="S24" s="18"/>
      <c r="T24" s="284"/>
      <c r="U24" s="284"/>
      <c r="V24" s="284"/>
      <c r="W24" s="18"/>
      <c r="X24" s="18"/>
      <c r="Y24" s="18"/>
      <c r="Z24" s="18"/>
    </row>
    <row r="25" spans="1:26" ht="16.5" customHeight="1" x14ac:dyDescent="0.35">
      <c r="A25" s="230"/>
      <c r="B25" s="236"/>
      <c r="C25" s="251" t="s">
        <v>62</v>
      </c>
      <c r="D25" s="262">
        <v>3</v>
      </c>
      <c r="E25" s="261">
        <v>1.5</v>
      </c>
      <c r="F25" s="262" t="s">
        <v>63</v>
      </c>
      <c r="G25" s="262" t="s">
        <v>64</v>
      </c>
      <c r="H25" s="21" t="s">
        <v>48</v>
      </c>
      <c r="I25" s="21" t="s">
        <v>40</v>
      </c>
      <c r="J25" s="21" t="s">
        <v>65</v>
      </c>
      <c r="K25" s="262" t="s">
        <v>38</v>
      </c>
      <c r="L25" s="17"/>
      <c r="M25" s="18"/>
      <c r="N25" s="18"/>
      <c r="O25" s="18"/>
      <c r="P25" s="293"/>
      <c r="Q25" s="295"/>
      <c r="R25" s="294"/>
      <c r="S25" s="18"/>
      <c r="T25" s="293"/>
      <c r="U25" s="295"/>
      <c r="V25" s="294"/>
      <c r="W25" s="18"/>
      <c r="X25" s="18"/>
      <c r="Y25" s="18"/>
      <c r="Z25" s="18"/>
    </row>
    <row r="26" spans="1:26" ht="16.5" customHeight="1" x14ac:dyDescent="0.35">
      <c r="A26" s="230"/>
      <c r="B26" s="236"/>
      <c r="C26" s="217"/>
      <c r="D26" s="217"/>
      <c r="E26" s="217"/>
      <c r="F26" s="217"/>
      <c r="G26" s="217"/>
      <c r="H26" s="21" t="s">
        <v>55</v>
      </c>
      <c r="I26" s="21" t="s">
        <v>66</v>
      </c>
      <c r="J26" s="21" t="s">
        <v>65</v>
      </c>
      <c r="K26" s="217"/>
      <c r="L26" s="17"/>
      <c r="M26" s="18"/>
      <c r="N26" s="18"/>
      <c r="O26" s="18"/>
      <c r="P26" s="284"/>
      <c r="Q26" s="284"/>
      <c r="R26" s="284"/>
      <c r="S26" s="18"/>
      <c r="T26" s="284"/>
      <c r="U26" s="284"/>
      <c r="V26" s="284"/>
      <c r="W26" s="18"/>
      <c r="X26" s="18"/>
      <c r="Y26" s="18"/>
      <c r="Z26" s="18"/>
    </row>
    <row r="27" spans="1:26" ht="16.5" customHeight="1" x14ac:dyDescent="0.35">
      <c r="A27" s="230"/>
      <c r="B27" s="236"/>
      <c r="C27" s="251" t="s">
        <v>67</v>
      </c>
      <c r="D27" s="262">
        <v>4</v>
      </c>
      <c r="E27" s="261">
        <v>2</v>
      </c>
      <c r="F27" s="262" t="s">
        <v>68</v>
      </c>
      <c r="G27" s="262" t="s">
        <v>69</v>
      </c>
      <c r="H27" s="21" t="s">
        <v>35</v>
      </c>
      <c r="I27" s="30" t="s">
        <v>70</v>
      </c>
      <c r="J27" s="30" t="s">
        <v>71</v>
      </c>
      <c r="K27" s="262" t="s">
        <v>54</v>
      </c>
      <c r="L27" s="17"/>
      <c r="M27" s="18"/>
      <c r="N27" s="18"/>
      <c r="O27" s="18"/>
      <c r="P27" s="293"/>
      <c r="Q27" s="295"/>
      <c r="R27" s="294"/>
      <c r="S27" s="18"/>
      <c r="T27" s="293"/>
      <c r="U27" s="295"/>
      <c r="V27" s="294"/>
      <c r="W27" s="18"/>
      <c r="X27" s="18"/>
      <c r="Y27" s="18"/>
      <c r="Z27" s="18"/>
    </row>
    <row r="28" spans="1:26" ht="16.5" customHeight="1" x14ac:dyDescent="0.35">
      <c r="A28" s="217"/>
      <c r="B28" s="240"/>
      <c r="C28" s="217"/>
      <c r="D28" s="217"/>
      <c r="E28" s="217"/>
      <c r="F28" s="217"/>
      <c r="G28" s="217"/>
      <c r="H28" s="21" t="s">
        <v>48</v>
      </c>
      <c r="I28" s="30" t="s">
        <v>70</v>
      </c>
      <c r="J28" s="30" t="s">
        <v>71</v>
      </c>
      <c r="K28" s="217"/>
      <c r="L28" s="17"/>
      <c r="M28" s="18"/>
      <c r="N28" s="18"/>
      <c r="O28" s="18"/>
      <c r="P28" s="284"/>
      <c r="Q28" s="284"/>
      <c r="R28" s="284"/>
      <c r="S28" s="18"/>
      <c r="T28" s="284"/>
      <c r="U28" s="284"/>
      <c r="V28" s="284"/>
      <c r="W28" s="18"/>
      <c r="X28" s="18"/>
      <c r="Y28" s="18"/>
      <c r="Z28" s="18"/>
    </row>
    <row r="29" spans="1:26" ht="16.5" customHeight="1" x14ac:dyDescent="0.35">
      <c r="A29" s="263" t="s">
        <v>72</v>
      </c>
      <c r="B29" s="221"/>
      <c r="C29" s="221"/>
      <c r="D29" s="222"/>
      <c r="E29" s="20">
        <f>SUM(E13:E28)</f>
        <v>12.5</v>
      </c>
      <c r="F29" s="286"/>
      <c r="G29" s="221"/>
      <c r="H29" s="221"/>
      <c r="I29" s="221"/>
      <c r="J29" s="221"/>
      <c r="K29" s="222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 x14ac:dyDescent="0.35">
      <c r="A30" s="282">
        <v>2</v>
      </c>
      <c r="B30" s="247" t="s">
        <v>73</v>
      </c>
      <c r="C30" s="251" t="s">
        <v>74</v>
      </c>
      <c r="D30" s="262">
        <v>3</v>
      </c>
      <c r="E30" s="261">
        <v>3</v>
      </c>
      <c r="F30" s="262" t="s">
        <v>75</v>
      </c>
      <c r="G30" s="262" t="s">
        <v>76</v>
      </c>
      <c r="H30" s="21" t="s">
        <v>35</v>
      </c>
      <c r="I30" s="21" t="s">
        <v>40</v>
      </c>
      <c r="J30" s="21" t="s">
        <v>77</v>
      </c>
      <c r="K30" s="262" t="s">
        <v>38</v>
      </c>
      <c r="L30" s="17"/>
      <c r="M30" s="18"/>
      <c r="N30" s="18"/>
      <c r="O30" s="18"/>
      <c r="P30" s="293"/>
      <c r="Q30" s="295"/>
      <c r="R30" s="294"/>
      <c r="S30" s="18"/>
      <c r="T30" s="293"/>
      <c r="U30" s="295"/>
      <c r="V30" s="294"/>
      <c r="W30" s="18"/>
      <c r="X30" s="18"/>
      <c r="Y30" s="18"/>
      <c r="Z30" s="18"/>
    </row>
    <row r="31" spans="1:26" ht="16.5" customHeight="1" x14ac:dyDescent="0.35">
      <c r="A31" s="230"/>
      <c r="B31" s="230"/>
      <c r="C31" s="217"/>
      <c r="D31" s="217"/>
      <c r="E31" s="217"/>
      <c r="F31" s="217"/>
      <c r="G31" s="217"/>
      <c r="H31" s="21" t="s">
        <v>48</v>
      </c>
      <c r="I31" s="21" t="s">
        <v>36</v>
      </c>
      <c r="J31" s="21" t="s">
        <v>78</v>
      </c>
      <c r="K31" s="217"/>
      <c r="L31" s="17"/>
      <c r="M31" s="18"/>
      <c r="N31" s="18"/>
      <c r="O31" s="18"/>
      <c r="P31" s="284"/>
      <c r="Q31" s="284"/>
      <c r="R31" s="284"/>
      <c r="S31" s="18"/>
      <c r="T31" s="284"/>
      <c r="U31" s="284"/>
      <c r="V31" s="284"/>
      <c r="W31" s="18"/>
      <c r="X31" s="18"/>
      <c r="Y31" s="18"/>
      <c r="Z31" s="18"/>
    </row>
    <row r="32" spans="1:26" ht="16.5" customHeight="1" x14ac:dyDescent="0.35">
      <c r="A32" s="230"/>
      <c r="B32" s="230"/>
      <c r="C32" s="251" t="s">
        <v>74</v>
      </c>
      <c r="D32" s="262">
        <v>3</v>
      </c>
      <c r="E32" s="261">
        <v>3</v>
      </c>
      <c r="F32" s="262" t="s">
        <v>75</v>
      </c>
      <c r="G32" s="262" t="s">
        <v>79</v>
      </c>
      <c r="H32" s="21" t="s">
        <v>35</v>
      </c>
      <c r="I32" s="21" t="s">
        <v>36</v>
      </c>
      <c r="J32" s="21" t="s">
        <v>80</v>
      </c>
      <c r="K32" s="262" t="s">
        <v>38</v>
      </c>
      <c r="L32" s="17"/>
      <c r="M32" s="18"/>
      <c r="N32" s="18"/>
      <c r="O32" s="18"/>
      <c r="P32" s="293"/>
      <c r="Q32" s="295"/>
      <c r="R32" s="294"/>
      <c r="S32" s="18"/>
      <c r="T32" s="293"/>
      <c r="U32" s="295"/>
      <c r="V32" s="294"/>
      <c r="W32" s="18"/>
      <c r="X32" s="18"/>
      <c r="Y32" s="18"/>
      <c r="Z32" s="18"/>
    </row>
    <row r="33" spans="1:26" ht="16.5" customHeight="1" x14ac:dyDescent="0.35">
      <c r="A33" s="230"/>
      <c r="B33" s="230"/>
      <c r="C33" s="217"/>
      <c r="D33" s="217"/>
      <c r="E33" s="217"/>
      <c r="F33" s="217"/>
      <c r="G33" s="217"/>
      <c r="H33" s="21" t="s">
        <v>48</v>
      </c>
      <c r="I33" s="21" t="s">
        <v>40</v>
      </c>
      <c r="J33" s="21" t="s">
        <v>41</v>
      </c>
      <c r="K33" s="217"/>
      <c r="L33" s="17"/>
      <c r="M33" s="18"/>
      <c r="N33" s="18"/>
      <c r="O33" s="18"/>
      <c r="P33" s="284"/>
      <c r="Q33" s="284"/>
      <c r="R33" s="284"/>
      <c r="S33" s="18"/>
      <c r="T33" s="284"/>
      <c r="U33" s="284"/>
      <c r="V33" s="284"/>
      <c r="W33" s="18"/>
      <c r="X33" s="18"/>
      <c r="Y33" s="18"/>
      <c r="Z33" s="18"/>
    </row>
    <row r="34" spans="1:26" ht="16.5" customHeight="1" x14ac:dyDescent="0.35">
      <c r="A34" s="230"/>
      <c r="B34" s="230"/>
      <c r="C34" s="296" t="s">
        <v>58</v>
      </c>
      <c r="D34" s="262">
        <v>3</v>
      </c>
      <c r="E34" s="261">
        <v>1.5</v>
      </c>
      <c r="F34" s="262" t="s">
        <v>81</v>
      </c>
      <c r="G34" s="262" t="s">
        <v>42</v>
      </c>
      <c r="H34" s="21" t="s">
        <v>35</v>
      </c>
      <c r="I34" s="31" t="s">
        <v>82</v>
      </c>
      <c r="J34" s="31" t="s">
        <v>60</v>
      </c>
      <c r="K34" s="262" t="s">
        <v>38</v>
      </c>
      <c r="L34" s="17"/>
      <c r="M34" s="18"/>
      <c r="N34" s="18"/>
      <c r="O34" s="18"/>
      <c r="P34" s="293"/>
      <c r="Q34" s="295"/>
      <c r="R34" s="294"/>
      <c r="S34" s="18"/>
      <c r="T34" s="293"/>
      <c r="U34" s="295"/>
      <c r="V34" s="294"/>
      <c r="W34" s="18"/>
      <c r="X34" s="18"/>
      <c r="Y34" s="18"/>
      <c r="Z34" s="18"/>
    </row>
    <row r="35" spans="1:26" ht="16.5" customHeight="1" x14ac:dyDescent="0.35">
      <c r="A35" s="230"/>
      <c r="B35" s="230"/>
      <c r="C35" s="217"/>
      <c r="D35" s="217"/>
      <c r="E35" s="217"/>
      <c r="F35" s="217"/>
      <c r="G35" s="217"/>
      <c r="H35" s="21" t="s">
        <v>39</v>
      </c>
      <c r="I35" s="31" t="s">
        <v>82</v>
      </c>
      <c r="J35" s="31" t="s">
        <v>60</v>
      </c>
      <c r="K35" s="217"/>
      <c r="L35" s="17"/>
      <c r="M35" s="18"/>
      <c r="N35" s="18"/>
      <c r="O35" s="18"/>
      <c r="P35" s="284"/>
      <c r="Q35" s="284"/>
      <c r="R35" s="284"/>
      <c r="S35" s="18"/>
      <c r="T35" s="284"/>
      <c r="U35" s="284"/>
      <c r="V35" s="284"/>
      <c r="W35" s="18"/>
      <c r="X35" s="18"/>
      <c r="Y35" s="18"/>
      <c r="Z35" s="18"/>
    </row>
    <row r="36" spans="1:26" ht="16.5" customHeight="1" x14ac:dyDescent="0.35">
      <c r="A36" s="230"/>
      <c r="B36" s="230"/>
      <c r="C36" s="296" t="s">
        <v>50</v>
      </c>
      <c r="D36" s="262">
        <v>3</v>
      </c>
      <c r="E36" s="261">
        <v>1.5</v>
      </c>
      <c r="F36" s="262" t="s">
        <v>81</v>
      </c>
      <c r="G36" s="262" t="s">
        <v>49</v>
      </c>
      <c r="H36" s="21" t="s">
        <v>35</v>
      </c>
      <c r="I36" s="21" t="s">
        <v>82</v>
      </c>
      <c r="J36" s="21" t="s">
        <v>83</v>
      </c>
      <c r="K36" s="262" t="s">
        <v>38</v>
      </c>
      <c r="L36" s="17"/>
      <c r="M36" s="18"/>
      <c r="N36" s="18"/>
      <c r="O36" s="18"/>
      <c r="P36" s="293"/>
      <c r="Q36" s="295"/>
      <c r="R36" s="294"/>
      <c r="S36" s="18"/>
      <c r="T36" s="293"/>
      <c r="U36" s="295"/>
      <c r="V36" s="294"/>
      <c r="W36" s="18"/>
      <c r="X36" s="18"/>
      <c r="Y36" s="18"/>
      <c r="Z36" s="18"/>
    </row>
    <row r="37" spans="1:26" ht="16.5" customHeight="1" x14ac:dyDescent="0.35">
      <c r="A37" s="230"/>
      <c r="B37" s="230"/>
      <c r="C37" s="217"/>
      <c r="D37" s="217"/>
      <c r="E37" s="217"/>
      <c r="F37" s="217"/>
      <c r="G37" s="217"/>
      <c r="H37" s="21" t="s">
        <v>48</v>
      </c>
      <c r="I37" s="21" t="s">
        <v>84</v>
      </c>
      <c r="J37" s="21" t="s">
        <v>85</v>
      </c>
      <c r="K37" s="217"/>
      <c r="L37" s="17"/>
      <c r="M37" s="18"/>
      <c r="N37" s="18"/>
      <c r="O37" s="18"/>
      <c r="P37" s="284"/>
      <c r="Q37" s="284"/>
      <c r="R37" s="284"/>
      <c r="S37" s="18"/>
      <c r="T37" s="284"/>
      <c r="U37" s="284"/>
      <c r="V37" s="284"/>
      <c r="W37" s="18"/>
      <c r="X37" s="18"/>
      <c r="Y37" s="18"/>
      <c r="Z37" s="18"/>
    </row>
    <row r="38" spans="1:26" ht="16.5" customHeight="1" x14ac:dyDescent="0.35">
      <c r="A38" s="230"/>
      <c r="B38" s="230"/>
      <c r="C38" s="251" t="s">
        <v>50</v>
      </c>
      <c r="D38" s="262">
        <v>3</v>
      </c>
      <c r="E38" s="261">
        <v>1.5</v>
      </c>
      <c r="F38" s="262" t="s">
        <v>86</v>
      </c>
      <c r="G38" s="262" t="s">
        <v>34</v>
      </c>
      <c r="H38" s="21" t="s">
        <v>46</v>
      </c>
      <c r="I38" s="21" t="s">
        <v>56</v>
      </c>
      <c r="J38" s="21" t="s">
        <v>87</v>
      </c>
      <c r="K38" s="262" t="s">
        <v>38</v>
      </c>
      <c r="L38" s="17"/>
      <c r="M38" s="18"/>
      <c r="N38" s="18"/>
      <c r="O38" s="18"/>
      <c r="P38" s="293"/>
      <c r="Q38" s="295"/>
      <c r="R38" s="294"/>
      <c r="S38" s="18"/>
      <c r="T38" s="293"/>
      <c r="U38" s="295"/>
      <c r="V38" s="294"/>
      <c r="W38" s="18"/>
      <c r="X38" s="18"/>
      <c r="Y38" s="18"/>
      <c r="Z38" s="18"/>
    </row>
    <row r="39" spans="1:26" ht="16.5" customHeight="1" x14ac:dyDescent="0.35">
      <c r="A39" s="230"/>
      <c r="B39" s="230"/>
      <c r="C39" s="217"/>
      <c r="D39" s="217"/>
      <c r="E39" s="217"/>
      <c r="F39" s="217"/>
      <c r="G39" s="217"/>
      <c r="H39" s="21" t="s">
        <v>39</v>
      </c>
      <c r="I39" s="21" t="s">
        <v>84</v>
      </c>
      <c r="J39" s="21" t="s">
        <v>88</v>
      </c>
      <c r="K39" s="219"/>
      <c r="L39" s="17"/>
      <c r="M39" s="18"/>
      <c r="N39" s="18"/>
      <c r="O39" s="18"/>
      <c r="P39" s="284"/>
      <c r="Q39" s="284"/>
      <c r="R39" s="284"/>
      <c r="S39" s="18"/>
      <c r="T39" s="284"/>
      <c r="U39" s="284"/>
      <c r="V39" s="284"/>
      <c r="W39" s="18"/>
      <c r="X39" s="18"/>
      <c r="Y39" s="18"/>
      <c r="Z39" s="18"/>
    </row>
    <row r="40" spans="1:26" ht="16.5" customHeight="1" x14ac:dyDescent="0.35">
      <c r="A40" s="217"/>
      <c r="B40" s="217"/>
      <c r="C40" s="32" t="s">
        <v>89</v>
      </c>
      <c r="D40" s="21">
        <v>3</v>
      </c>
      <c r="E40" s="33">
        <v>3</v>
      </c>
      <c r="F40" s="21" t="s">
        <v>75</v>
      </c>
      <c r="G40" s="21" t="s">
        <v>90</v>
      </c>
      <c r="H40" s="21" t="s">
        <v>35</v>
      </c>
      <c r="I40" s="21" t="s">
        <v>91</v>
      </c>
      <c r="J40" s="34" t="s">
        <v>92</v>
      </c>
      <c r="K40" s="21" t="s">
        <v>93</v>
      </c>
      <c r="L40" s="17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6.5" customHeight="1" x14ac:dyDescent="0.35">
      <c r="A41" s="263" t="s">
        <v>72</v>
      </c>
      <c r="B41" s="221"/>
      <c r="C41" s="221"/>
      <c r="D41" s="222"/>
      <c r="E41" s="20">
        <f>SUM(E30:E40)</f>
        <v>13.5</v>
      </c>
      <c r="F41" s="286"/>
      <c r="G41" s="221"/>
      <c r="H41" s="221"/>
      <c r="I41" s="221"/>
      <c r="J41" s="221"/>
      <c r="K41" s="222"/>
      <c r="L41" s="17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6.5" customHeight="1" x14ac:dyDescent="0.35">
      <c r="A42" s="246">
        <v>3</v>
      </c>
      <c r="B42" s="247" t="s">
        <v>94</v>
      </c>
      <c r="C42" s="280" t="s">
        <v>95</v>
      </c>
      <c r="D42" s="262">
        <v>3</v>
      </c>
      <c r="E42" s="261">
        <v>3</v>
      </c>
      <c r="F42" s="262" t="s">
        <v>33</v>
      </c>
      <c r="G42" s="262" t="s">
        <v>79</v>
      </c>
      <c r="H42" s="21" t="s">
        <v>46</v>
      </c>
      <c r="I42" s="21" t="s">
        <v>40</v>
      </c>
      <c r="J42" s="35" t="s">
        <v>96</v>
      </c>
      <c r="K42" s="262" t="s">
        <v>54</v>
      </c>
      <c r="L42" s="17"/>
      <c r="M42" s="18"/>
      <c r="N42" s="18"/>
      <c r="O42" s="18"/>
      <c r="P42" s="293"/>
      <c r="Q42" s="295"/>
      <c r="R42" s="294"/>
      <c r="S42" s="18"/>
      <c r="T42" s="293"/>
      <c r="U42" s="295"/>
      <c r="V42" s="294"/>
      <c r="W42" s="18"/>
      <c r="X42" s="18"/>
      <c r="Y42" s="18"/>
      <c r="Z42" s="18"/>
    </row>
    <row r="43" spans="1:26" ht="16.5" customHeight="1" x14ac:dyDescent="0.35">
      <c r="A43" s="230"/>
      <c r="B43" s="230"/>
      <c r="C43" s="217"/>
      <c r="D43" s="217"/>
      <c r="E43" s="217"/>
      <c r="F43" s="217"/>
      <c r="G43" s="217"/>
      <c r="H43" s="21" t="s">
        <v>48</v>
      </c>
      <c r="I43" s="21" t="s">
        <v>36</v>
      </c>
      <c r="J43" s="35" t="s">
        <v>96</v>
      </c>
      <c r="K43" s="217"/>
      <c r="L43" s="17"/>
      <c r="M43" s="18"/>
      <c r="N43" s="18"/>
      <c r="O43" s="18"/>
      <c r="P43" s="284"/>
      <c r="Q43" s="284"/>
      <c r="R43" s="284"/>
      <c r="S43" s="18"/>
      <c r="T43" s="284"/>
      <c r="U43" s="284"/>
      <c r="V43" s="284"/>
      <c r="W43" s="18"/>
      <c r="X43" s="18"/>
      <c r="Y43" s="18"/>
      <c r="Z43" s="18"/>
    </row>
    <row r="44" spans="1:26" ht="16.5" customHeight="1" x14ac:dyDescent="0.35">
      <c r="A44" s="230"/>
      <c r="B44" s="230"/>
      <c r="C44" s="280" t="s">
        <v>95</v>
      </c>
      <c r="D44" s="262">
        <v>3</v>
      </c>
      <c r="E44" s="261">
        <v>3</v>
      </c>
      <c r="F44" s="262" t="s">
        <v>33</v>
      </c>
      <c r="G44" s="262" t="s">
        <v>97</v>
      </c>
      <c r="H44" s="21" t="s">
        <v>35</v>
      </c>
      <c r="I44" s="21" t="s">
        <v>36</v>
      </c>
      <c r="J44" s="35" t="s">
        <v>98</v>
      </c>
      <c r="K44" s="262" t="s">
        <v>54</v>
      </c>
      <c r="L44" s="17"/>
      <c r="M44" s="18"/>
      <c r="N44" s="18"/>
      <c r="O44" s="18"/>
      <c r="P44" s="293"/>
      <c r="Q44" s="295"/>
      <c r="R44" s="294"/>
      <c r="S44" s="18"/>
      <c r="T44" s="293"/>
      <c r="U44" s="295"/>
      <c r="V44" s="294"/>
      <c r="W44" s="18"/>
      <c r="X44" s="18"/>
      <c r="Y44" s="18"/>
      <c r="Z44" s="18"/>
    </row>
    <row r="45" spans="1:26" ht="16.5" customHeight="1" x14ac:dyDescent="0.35">
      <c r="A45" s="230"/>
      <c r="B45" s="230"/>
      <c r="C45" s="217"/>
      <c r="D45" s="217"/>
      <c r="E45" s="217"/>
      <c r="F45" s="217"/>
      <c r="G45" s="217"/>
      <c r="H45" s="21" t="s">
        <v>55</v>
      </c>
      <c r="I45" s="21" t="s">
        <v>36</v>
      </c>
      <c r="J45" s="35" t="s">
        <v>98</v>
      </c>
      <c r="K45" s="217"/>
      <c r="L45" s="17"/>
      <c r="M45" s="18"/>
      <c r="N45" s="18"/>
      <c r="O45" s="18"/>
      <c r="P45" s="284"/>
      <c r="Q45" s="284"/>
      <c r="R45" s="284"/>
      <c r="S45" s="18"/>
      <c r="T45" s="284"/>
      <c r="U45" s="284"/>
      <c r="V45" s="284"/>
      <c r="W45" s="18"/>
      <c r="X45" s="18"/>
      <c r="Y45" s="18"/>
      <c r="Z45" s="18"/>
    </row>
    <row r="46" spans="1:26" ht="16.5" customHeight="1" x14ac:dyDescent="0.35">
      <c r="A46" s="230"/>
      <c r="B46" s="230"/>
      <c r="C46" s="251" t="s">
        <v>99</v>
      </c>
      <c r="D46" s="262">
        <v>3</v>
      </c>
      <c r="E46" s="261">
        <v>3</v>
      </c>
      <c r="F46" s="262" t="s">
        <v>33</v>
      </c>
      <c r="G46" s="262" t="s">
        <v>79</v>
      </c>
      <c r="H46" s="21" t="s">
        <v>35</v>
      </c>
      <c r="I46" s="21" t="s">
        <v>44</v>
      </c>
      <c r="J46" s="21" t="s">
        <v>37</v>
      </c>
      <c r="K46" s="262" t="s">
        <v>38</v>
      </c>
      <c r="L46" s="17"/>
      <c r="M46" s="18"/>
      <c r="N46" s="18"/>
      <c r="O46" s="18"/>
      <c r="P46" s="293"/>
      <c r="Q46" s="295"/>
      <c r="R46" s="294"/>
      <c r="S46" s="18"/>
      <c r="T46" s="293"/>
      <c r="U46" s="295"/>
      <c r="V46" s="294"/>
      <c r="W46" s="18"/>
      <c r="X46" s="18"/>
      <c r="Y46" s="18"/>
      <c r="Z46" s="18"/>
    </row>
    <row r="47" spans="1:26" ht="16.5" customHeight="1" x14ac:dyDescent="0.35">
      <c r="A47" s="230"/>
      <c r="B47" s="230"/>
      <c r="C47" s="217"/>
      <c r="D47" s="217"/>
      <c r="E47" s="217"/>
      <c r="F47" s="217"/>
      <c r="G47" s="217"/>
      <c r="H47" s="21" t="s">
        <v>39</v>
      </c>
      <c r="I47" s="21" t="s">
        <v>44</v>
      </c>
      <c r="J47" s="21" t="s">
        <v>37</v>
      </c>
      <c r="K47" s="217"/>
      <c r="L47" s="17"/>
      <c r="M47" s="18"/>
      <c r="N47" s="18"/>
      <c r="O47" s="18"/>
      <c r="P47" s="284"/>
      <c r="Q47" s="284"/>
      <c r="R47" s="284"/>
      <c r="S47" s="18"/>
      <c r="T47" s="284"/>
      <c r="U47" s="284"/>
      <c r="V47" s="284"/>
      <c r="W47" s="18"/>
      <c r="X47" s="18"/>
      <c r="Y47" s="18"/>
      <c r="Z47" s="18"/>
    </row>
    <row r="48" spans="1:26" ht="16.5" customHeight="1" x14ac:dyDescent="0.35">
      <c r="A48" s="230"/>
      <c r="B48" s="230"/>
      <c r="C48" s="251" t="s">
        <v>100</v>
      </c>
      <c r="D48" s="262">
        <v>3</v>
      </c>
      <c r="E48" s="261">
        <v>3</v>
      </c>
      <c r="F48" s="262" t="s">
        <v>33</v>
      </c>
      <c r="G48" s="262" t="s">
        <v>101</v>
      </c>
      <c r="H48" s="21" t="s">
        <v>35</v>
      </c>
      <c r="I48" s="21" t="s">
        <v>36</v>
      </c>
      <c r="J48" s="35" t="s">
        <v>43</v>
      </c>
      <c r="K48" s="262" t="s">
        <v>38</v>
      </c>
      <c r="L48" s="17"/>
      <c r="M48" s="18"/>
      <c r="N48" s="18"/>
      <c r="O48" s="18"/>
      <c r="P48" s="293"/>
      <c r="Q48" s="295"/>
      <c r="R48" s="294"/>
      <c r="S48" s="18"/>
      <c r="T48" s="293"/>
      <c r="U48" s="295"/>
      <c r="V48" s="294"/>
      <c r="W48" s="18"/>
      <c r="X48" s="18"/>
      <c r="Y48" s="18"/>
      <c r="Z48" s="18"/>
    </row>
    <row r="49" spans="1:26" ht="16.5" customHeight="1" x14ac:dyDescent="0.35">
      <c r="A49" s="230"/>
      <c r="B49" s="230"/>
      <c r="C49" s="217"/>
      <c r="D49" s="217"/>
      <c r="E49" s="217"/>
      <c r="F49" s="217"/>
      <c r="G49" s="217"/>
      <c r="H49" s="21" t="s">
        <v>39</v>
      </c>
      <c r="I49" s="21" t="s">
        <v>36</v>
      </c>
      <c r="J49" s="35" t="s">
        <v>43</v>
      </c>
      <c r="K49" s="217"/>
      <c r="L49" s="17"/>
      <c r="M49" s="18"/>
      <c r="N49" s="18"/>
      <c r="O49" s="18"/>
      <c r="P49" s="284"/>
      <c r="Q49" s="284"/>
      <c r="R49" s="284"/>
      <c r="S49" s="18"/>
      <c r="T49" s="284"/>
      <c r="U49" s="284"/>
      <c r="V49" s="284"/>
      <c r="W49" s="18"/>
      <c r="X49" s="18"/>
      <c r="Y49" s="18"/>
      <c r="Z49" s="18"/>
    </row>
    <row r="50" spans="1:26" ht="16.5" customHeight="1" x14ac:dyDescent="0.35">
      <c r="A50" s="230"/>
      <c r="B50" s="230"/>
      <c r="C50" s="251" t="s">
        <v>100</v>
      </c>
      <c r="D50" s="262">
        <v>3</v>
      </c>
      <c r="E50" s="261">
        <v>3</v>
      </c>
      <c r="F50" s="262" t="s">
        <v>33</v>
      </c>
      <c r="G50" s="262" t="s">
        <v>64</v>
      </c>
      <c r="H50" s="21" t="s">
        <v>46</v>
      </c>
      <c r="I50" s="21" t="s">
        <v>36</v>
      </c>
      <c r="J50" s="35" t="s">
        <v>92</v>
      </c>
      <c r="K50" s="262" t="s">
        <v>38</v>
      </c>
      <c r="L50" s="17" t="s">
        <v>102</v>
      </c>
      <c r="M50" s="18"/>
      <c r="N50" s="18"/>
      <c r="O50" s="18"/>
      <c r="P50" s="293"/>
      <c r="Q50" s="295"/>
      <c r="R50" s="294"/>
      <c r="S50" s="18"/>
      <c r="T50" s="293"/>
      <c r="U50" s="295"/>
      <c r="V50" s="294"/>
      <c r="W50" s="18"/>
      <c r="X50" s="18"/>
      <c r="Y50" s="18"/>
      <c r="Z50" s="18"/>
    </row>
    <row r="51" spans="1:26" ht="16.5" customHeight="1" x14ac:dyDescent="0.35">
      <c r="A51" s="230"/>
      <c r="B51" s="230"/>
      <c r="C51" s="217"/>
      <c r="D51" s="217"/>
      <c r="E51" s="217"/>
      <c r="F51" s="217"/>
      <c r="G51" s="217"/>
      <c r="H51" s="21" t="s">
        <v>48</v>
      </c>
      <c r="I51" s="21" t="s">
        <v>36</v>
      </c>
      <c r="J51" s="35" t="s">
        <v>92</v>
      </c>
      <c r="K51" s="217"/>
      <c r="L51" s="17"/>
      <c r="M51" s="18"/>
      <c r="N51" s="18"/>
      <c r="O51" s="18"/>
      <c r="P51" s="284"/>
      <c r="Q51" s="284"/>
      <c r="R51" s="284"/>
      <c r="S51" s="18"/>
      <c r="T51" s="284"/>
      <c r="U51" s="284"/>
      <c r="V51" s="284"/>
      <c r="W51" s="18"/>
      <c r="X51" s="18"/>
      <c r="Y51" s="18"/>
      <c r="Z51" s="18"/>
    </row>
    <row r="52" spans="1:26" ht="16.5" customHeight="1" x14ac:dyDescent="0.35">
      <c r="A52" s="230"/>
      <c r="B52" s="230"/>
      <c r="C52" s="251" t="s">
        <v>100</v>
      </c>
      <c r="D52" s="262">
        <v>3</v>
      </c>
      <c r="E52" s="261">
        <v>3</v>
      </c>
      <c r="F52" s="262" t="s">
        <v>33</v>
      </c>
      <c r="G52" s="262" t="s">
        <v>103</v>
      </c>
      <c r="H52" s="21" t="s">
        <v>46</v>
      </c>
      <c r="I52" s="21" t="s">
        <v>40</v>
      </c>
      <c r="J52" s="35" t="s">
        <v>92</v>
      </c>
      <c r="K52" s="262" t="s">
        <v>38</v>
      </c>
      <c r="L52" s="17" t="s">
        <v>102</v>
      </c>
      <c r="M52" s="18"/>
      <c r="N52" s="18"/>
      <c r="O52" s="18"/>
      <c r="P52" s="293"/>
      <c r="Q52" s="295"/>
      <c r="R52" s="294"/>
      <c r="S52" s="18"/>
      <c r="T52" s="293"/>
      <c r="U52" s="295"/>
      <c r="V52" s="294"/>
      <c r="W52" s="18"/>
      <c r="X52" s="18"/>
      <c r="Y52" s="18"/>
      <c r="Z52" s="18"/>
    </row>
    <row r="53" spans="1:26" ht="16.5" customHeight="1" x14ac:dyDescent="0.35">
      <c r="A53" s="230"/>
      <c r="B53" s="230"/>
      <c r="C53" s="217"/>
      <c r="D53" s="217"/>
      <c r="E53" s="217"/>
      <c r="F53" s="217"/>
      <c r="G53" s="217"/>
      <c r="H53" s="21" t="s">
        <v>48</v>
      </c>
      <c r="I53" s="21" t="s">
        <v>40</v>
      </c>
      <c r="J53" s="35" t="s">
        <v>92</v>
      </c>
      <c r="K53" s="217"/>
      <c r="L53" s="17"/>
      <c r="M53" s="18"/>
      <c r="N53" s="18"/>
      <c r="O53" s="18"/>
      <c r="P53" s="284"/>
      <c r="Q53" s="284"/>
      <c r="R53" s="284"/>
      <c r="S53" s="18"/>
      <c r="T53" s="284"/>
      <c r="U53" s="284"/>
      <c r="V53" s="284"/>
      <c r="W53" s="18"/>
      <c r="X53" s="18"/>
      <c r="Y53" s="18"/>
      <c r="Z53" s="18"/>
    </row>
    <row r="54" spans="1:26" ht="16.5" customHeight="1" x14ac:dyDescent="0.35">
      <c r="A54" s="230"/>
      <c r="B54" s="230"/>
      <c r="C54" s="251" t="s">
        <v>100</v>
      </c>
      <c r="D54" s="262">
        <v>3</v>
      </c>
      <c r="E54" s="261">
        <v>3</v>
      </c>
      <c r="F54" s="262" t="s">
        <v>33</v>
      </c>
      <c r="G54" s="262" t="s">
        <v>104</v>
      </c>
      <c r="H54" s="21" t="s">
        <v>39</v>
      </c>
      <c r="I54" s="21" t="s">
        <v>40</v>
      </c>
      <c r="J54" s="35" t="s">
        <v>43</v>
      </c>
      <c r="K54" s="262" t="s">
        <v>38</v>
      </c>
      <c r="L54" s="17"/>
      <c r="M54" s="18"/>
      <c r="N54" s="18"/>
      <c r="O54" s="18"/>
      <c r="P54" s="293"/>
      <c r="Q54" s="295"/>
      <c r="R54" s="294"/>
      <c r="S54" s="18"/>
      <c r="T54" s="293"/>
      <c r="U54" s="295"/>
      <c r="V54" s="294"/>
      <c r="W54" s="18"/>
      <c r="X54" s="18"/>
      <c r="Y54" s="18"/>
      <c r="Z54" s="18"/>
    </row>
    <row r="55" spans="1:26" ht="16.5" customHeight="1" x14ac:dyDescent="0.35">
      <c r="A55" s="217"/>
      <c r="B55" s="217"/>
      <c r="C55" s="217"/>
      <c r="D55" s="217"/>
      <c r="E55" s="217"/>
      <c r="F55" s="217"/>
      <c r="G55" s="217"/>
      <c r="H55" s="21" t="s">
        <v>55</v>
      </c>
      <c r="I55" s="21" t="s">
        <v>36</v>
      </c>
      <c r="J55" s="35" t="s">
        <v>43</v>
      </c>
      <c r="K55" s="217"/>
      <c r="L55" s="17"/>
      <c r="M55" s="18"/>
      <c r="N55" s="18"/>
      <c r="O55" s="18"/>
      <c r="P55" s="284"/>
      <c r="Q55" s="284"/>
      <c r="R55" s="284"/>
      <c r="S55" s="18"/>
      <c r="T55" s="284"/>
      <c r="U55" s="284"/>
      <c r="V55" s="284"/>
      <c r="W55" s="18"/>
      <c r="X55" s="18"/>
      <c r="Y55" s="18"/>
      <c r="Z55" s="18"/>
    </row>
    <row r="56" spans="1:26" ht="16.5" customHeight="1" x14ac:dyDescent="0.35">
      <c r="A56" s="297" t="s">
        <v>72</v>
      </c>
      <c r="B56" s="221"/>
      <c r="C56" s="222"/>
      <c r="D56" s="19"/>
      <c r="E56" s="20">
        <f>SUM(E42:E55)</f>
        <v>21</v>
      </c>
      <c r="F56" s="286"/>
      <c r="G56" s="221"/>
      <c r="H56" s="221"/>
      <c r="I56" s="221"/>
      <c r="J56" s="221"/>
      <c r="K56" s="222"/>
      <c r="L56" s="17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6.5" customHeight="1" x14ac:dyDescent="0.35">
      <c r="A57" s="246">
        <v>4</v>
      </c>
      <c r="B57" s="247" t="s">
        <v>105</v>
      </c>
      <c r="C57" s="251" t="s">
        <v>32</v>
      </c>
      <c r="D57" s="262">
        <v>3</v>
      </c>
      <c r="E57" s="261">
        <v>1.5</v>
      </c>
      <c r="F57" s="262" t="s">
        <v>106</v>
      </c>
      <c r="G57" s="262" t="s">
        <v>45</v>
      </c>
      <c r="H57" s="21" t="s">
        <v>35</v>
      </c>
      <c r="I57" s="21" t="s">
        <v>44</v>
      </c>
      <c r="J57" s="21" t="s">
        <v>107</v>
      </c>
      <c r="K57" s="262" t="s">
        <v>54</v>
      </c>
      <c r="L57" s="17"/>
      <c r="M57" s="18"/>
      <c r="N57" s="18"/>
      <c r="O57" s="18"/>
      <c r="P57" s="293"/>
      <c r="Q57" s="295"/>
      <c r="R57" s="294"/>
      <c r="S57" s="18"/>
      <c r="T57" s="293"/>
      <c r="U57" s="295"/>
      <c r="V57" s="294"/>
      <c r="W57" s="18"/>
      <c r="X57" s="18"/>
      <c r="Y57" s="18"/>
      <c r="Z57" s="18"/>
    </row>
    <row r="58" spans="1:26" ht="16.5" customHeight="1" x14ac:dyDescent="0.35">
      <c r="A58" s="230"/>
      <c r="B58" s="230"/>
      <c r="C58" s="217"/>
      <c r="D58" s="217"/>
      <c r="E58" s="217"/>
      <c r="F58" s="217"/>
      <c r="G58" s="217"/>
      <c r="H58" s="21" t="s">
        <v>48</v>
      </c>
      <c r="I58" s="21" t="s">
        <v>108</v>
      </c>
      <c r="J58" s="21" t="s">
        <v>107</v>
      </c>
      <c r="K58" s="217"/>
      <c r="L58" s="17"/>
      <c r="M58" s="18"/>
      <c r="N58" s="18"/>
      <c r="O58" s="18"/>
      <c r="P58" s="284"/>
      <c r="Q58" s="284"/>
      <c r="R58" s="284"/>
      <c r="S58" s="18"/>
      <c r="T58" s="284"/>
      <c r="U58" s="284"/>
      <c r="V58" s="284"/>
      <c r="W58" s="18"/>
      <c r="X58" s="18"/>
      <c r="Y58" s="18"/>
      <c r="Z58" s="18"/>
    </row>
    <row r="59" spans="1:26" ht="16.5" customHeight="1" x14ac:dyDescent="0.35">
      <c r="A59" s="230"/>
      <c r="B59" s="230"/>
      <c r="C59" s="251" t="s">
        <v>109</v>
      </c>
      <c r="D59" s="262">
        <v>3</v>
      </c>
      <c r="E59" s="261">
        <v>1.5</v>
      </c>
      <c r="F59" s="262" t="s">
        <v>51</v>
      </c>
      <c r="G59" s="262" t="s">
        <v>34</v>
      </c>
      <c r="H59" s="21" t="s">
        <v>46</v>
      </c>
      <c r="I59" s="21" t="s">
        <v>36</v>
      </c>
      <c r="J59" s="21" t="s">
        <v>110</v>
      </c>
      <c r="K59" s="262" t="s">
        <v>38</v>
      </c>
      <c r="L59" s="17"/>
      <c r="M59" s="18"/>
      <c r="N59" s="18"/>
      <c r="O59" s="18"/>
      <c r="P59" s="293"/>
      <c r="Q59" s="295"/>
      <c r="R59" s="294"/>
      <c r="S59" s="18"/>
      <c r="T59" s="293"/>
      <c r="U59" s="295"/>
      <c r="V59" s="294"/>
      <c r="W59" s="18"/>
      <c r="X59" s="18"/>
      <c r="Y59" s="18"/>
      <c r="Z59" s="18"/>
    </row>
    <row r="60" spans="1:26" ht="16.5" customHeight="1" x14ac:dyDescent="0.35">
      <c r="A60" s="230"/>
      <c r="B60" s="230"/>
      <c r="C60" s="217"/>
      <c r="D60" s="217"/>
      <c r="E60" s="217"/>
      <c r="F60" s="217"/>
      <c r="G60" s="217"/>
      <c r="H60" s="21" t="s">
        <v>55</v>
      </c>
      <c r="I60" s="21" t="s">
        <v>36</v>
      </c>
      <c r="J60" s="21" t="s">
        <v>111</v>
      </c>
      <c r="K60" s="217"/>
      <c r="L60" s="17"/>
      <c r="M60" s="18"/>
      <c r="N60" s="18"/>
      <c r="O60" s="18"/>
      <c r="P60" s="284"/>
      <c r="Q60" s="284"/>
      <c r="R60" s="284"/>
      <c r="S60" s="18"/>
      <c r="T60" s="284"/>
      <c r="U60" s="284"/>
      <c r="V60" s="284"/>
      <c r="W60" s="18"/>
      <c r="X60" s="18"/>
      <c r="Y60" s="18"/>
      <c r="Z60" s="18"/>
    </row>
    <row r="61" spans="1:26" ht="16.5" customHeight="1" x14ac:dyDescent="0.35">
      <c r="A61" s="230"/>
      <c r="B61" s="230"/>
      <c r="C61" s="251" t="s">
        <v>112</v>
      </c>
      <c r="D61" s="262">
        <v>3</v>
      </c>
      <c r="E61" s="261">
        <v>1.5</v>
      </c>
      <c r="F61" s="262" t="s">
        <v>51</v>
      </c>
      <c r="G61" s="262" t="s">
        <v>64</v>
      </c>
      <c r="H61" s="21" t="s">
        <v>35</v>
      </c>
      <c r="I61" s="21" t="s">
        <v>36</v>
      </c>
      <c r="J61" s="21" t="s">
        <v>113</v>
      </c>
      <c r="K61" s="262" t="s">
        <v>38</v>
      </c>
      <c r="L61" s="36"/>
      <c r="M61" s="37"/>
      <c r="N61" s="37"/>
      <c r="O61" s="37"/>
      <c r="P61" s="293"/>
      <c r="Q61" s="295"/>
      <c r="R61" s="294"/>
      <c r="S61" s="18"/>
      <c r="T61" s="293"/>
      <c r="U61" s="295"/>
      <c r="V61" s="294"/>
      <c r="W61" s="18"/>
      <c r="X61" s="18"/>
      <c r="Y61" s="18"/>
      <c r="Z61" s="18"/>
    </row>
    <row r="62" spans="1:26" ht="16.5" customHeight="1" x14ac:dyDescent="0.35">
      <c r="A62" s="230"/>
      <c r="B62" s="230"/>
      <c r="C62" s="217"/>
      <c r="D62" s="217"/>
      <c r="E62" s="217"/>
      <c r="F62" s="217"/>
      <c r="G62" s="217"/>
      <c r="H62" s="21" t="s">
        <v>55</v>
      </c>
      <c r="I62" s="21" t="s">
        <v>44</v>
      </c>
      <c r="J62" s="21" t="s">
        <v>80</v>
      </c>
      <c r="K62" s="217"/>
      <c r="L62" s="17"/>
      <c r="M62" s="18"/>
      <c r="N62" s="18"/>
      <c r="O62" s="18"/>
      <c r="P62" s="284"/>
      <c r="Q62" s="284"/>
      <c r="R62" s="284"/>
      <c r="S62" s="18"/>
      <c r="T62" s="284"/>
      <c r="U62" s="284"/>
      <c r="V62" s="284"/>
      <c r="W62" s="18"/>
      <c r="X62" s="18"/>
      <c r="Y62" s="18"/>
      <c r="Z62" s="18"/>
    </row>
    <row r="63" spans="1:26" ht="16.5" customHeight="1" x14ac:dyDescent="0.35">
      <c r="A63" s="230"/>
      <c r="B63" s="230"/>
      <c r="C63" s="251" t="s">
        <v>112</v>
      </c>
      <c r="D63" s="262">
        <v>3</v>
      </c>
      <c r="E63" s="261">
        <v>1.5</v>
      </c>
      <c r="F63" s="262" t="s">
        <v>51</v>
      </c>
      <c r="G63" s="262" t="s">
        <v>103</v>
      </c>
      <c r="H63" s="21" t="s">
        <v>46</v>
      </c>
      <c r="I63" s="21" t="s">
        <v>44</v>
      </c>
      <c r="J63" s="21" t="s">
        <v>114</v>
      </c>
      <c r="K63" s="262" t="s">
        <v>54</v>
      </c>
      <c r="L63" s="17"/>
      <c r="M63" s="18"/>
      <c r="N63" s="18"/>
      <c r="O63" s="18"/>
      <c r="P63" s="293"/>
      <c r="Q63" s="295"/>
      <c r="R63" s="294"/>
      <c r="S63" s="18"/>
      <c r="T63" s="293"/>
      <c r="U63" s="295"/>
      <c r="V63" s="294"/>
      <c r="W63" s="18"/>
      <c r="X63" s="18"/>
      <c r="Y63" s="18"/>
      <c r="Z63" s="18"/>
    </row>
    <row r="64" spans="1:26" ht="16.5" customHeight="1" x14ac:dyDescent="0.35">
      <c r="A64" s="230"/>
      <c r="B64" s="230"/>
      <c r="C64" s="217"/>
      <c r="D64" s="217"/>
      <c r="E64" s="217"/>
      <c r="F64" s="217"/>
      <c r="G64" s="217"/>
      <c r="H64" s="21" t="s">
        <v>55</v>
      </c>
      <c r="I64" s="21" t="s">
        <v>44</v>
      </c>
      <c r="J64" s="21" t="s">
        <v>110</v>
      </c>
      <c r="K64" s="217"/>
      <c r="L64" s="17"/>
      <c r="M64" s="18"/>
      <c r="N64" s="18"/>
      <c r="O64" s="18"/>
      <c r="P64" s="284"/>
      <c r="Q64" s="284"/>
      <c r="R64" s="284"/>
      <c r="S64" s="18"/>
      <c r="T64" s="284"/>
      <c r="U64" s="284"/>
      <c r="V64" s="284"/>
      <c r="W64" s="18"/>
      <c r="X64" s="18"/>
      <c r="Y64" s="18"/>
      <c r="Z64" s="18"/>
    </row>
    <row r="65" spans="1:26" ht="16.5" customHeight="1" x14ac:dyDescent="0.35">
      <c r="A65" s="230"/>
      <c r="B65" s="230"/>
      <c r="C65" s="251" t="s">
        <v>115</v>
      </c>
      <c r="D65" s="262">
        <v>3</v>
      </c>
      <c r="E65" s="261">
        <v>1.5</v>
      </c>
      <c r="F65" s="262" t="s">
        <v>51</v>
      </c>
      <c r="G65" s="262" t="s">
        <v>90</v>
      </c>
      <c r="H65" s="21" t="s">
        <v>48</v>
      </c>
      <c r="I65" s="21" t="s">
        <v>36</v>
      </c>
      <c r="J65" s="21" t="s">
        <v>80</v>
      </c>
      <c r="K65" s="262" t="s">
        <v>54</v>
      </c>
      <c r="L65" s="17"/>
      <c r="M65" s="18"/>
      <c r="N65" s="18"/>
      <c r="O65" s="18"/>
      <c r="P65" s="293"/>
      <c r="Q65" s="295"/>
      <c r="R65" s="294"/>
      <c r="S65" s="18"/>
      <c r="T65" s="293"/>
      <c r="U65" s="295"/>
      <c r="V65" s="294"/>
      <c r="W65" s="18"/>
      <c r="X65" s="18"/>
      <c r="Y65" s="18"/>
      <c r="Z65" s="18"/>
    </row>
    <row r="66" spans="1:26" ht="16.5" customHeight="1" x14ac:dyDescent="0.35">
      <c r="A66" s="230"/>
      <c r="B66" s="230"/>
      <c r="C66" s="219"/>
      <c r="D66" s="219"/>
      <c r="E66" s="219"/>
      <c r="F66" s="219"/>
      <c r="G66" s="219"/>
      <c r="H66" s="38" t="s">
        <v>55</v>
      </c>
      <c r="I66" s="21" t="s">
        <v>116</v>
      </c>
      <c r="J66" s="21" t="s">
        <v>117</v>
      </c>
      <c r="K66" s="219"/>
      <c r="L66" s="17"/>
      <c r="M66" s="18"/>
      <c r="N66" s="18"/>
      <c r="O66" s="18"/>
      <c r="P66" s="284"/>
      <c r="Q66" s="284"/>
      <c r="R66" s="284"/>
      <c r="S66" s="18"/>
      <c r="T66" s="284"/>
      <c r="U66" s="284"/>
      <c r="V66" s="284"/>
      <c r="W66" s="18"/>
      <c r="X66" s="18"/>
      <c r="Y66" s="18"/>
      <c r="Z66" s="18"/>
    </row>
    <row r="67" spans="1:26" ht="16.5" customHeight="1" x14ac:dyDescent="0.35">
      <c r="A67" s="230"/>
      <c r="B67" s="230"/>
      <c r="C67" s="251" t="s">
        <v>58</v>
      </c>
      <c r="D67" s="262">
        <v>3</v>
      </c>
      <c r="E67" s="261">
        <v>1.5</v>
      </c>
      <c r="F67" s="262">
        <v>5</v>
      </c>
      <c r="G67" s="262" t="s">
        <v>42</v>
      </c>
      <c r="H67" s="21" t="s">
        <v>39</v>
      </c>
      <c r="I67" s="31" t="s">
        <v>82</v>
      </c>
      <c r="J67" s="31" t="s">
        <v>118</v>
      </c>
      <c r="K67" s="262" t="s">
        <v>38</v>
      </c>
      <c r="L67" s="17"/>
      <c r="M67" s="18"/>
      <c r="N67" s="18"/>
      <c r="O67" s="18"/>
      <c r="P67" s="293"/>
      <c r="Q67" s="295"/>
      <c r="R67" s="294"/>
      <c r="S67" s="18"/>
      <c r="T67" s="293"/>
      <c r="U67" s="295"/>
      <c r="V67" s="294"/>
      <c r="W67" s="18"/>
      <c r="X67" s="18"/>
      <c r="Y67" s="18"/>
      <c r="Z67" s="18"/>
    </row>
    <row r="68" spans="1:26" ht="16.5" customHeight="1" x14ac:dyDescent="0.35">
      <c r="A68" s="230"/>
      <c r="B68" s="230"/>
      <c r="C68" s="217"/>
      <c r="D68" s="217"/>
      <c r="E68" s="217"/>
      <c r="F68" s="217"/>
      <c r="G68" s="217"/>
      <c r="H68" s="21" t="s">
        <v>119</v>
      </c>
      <c r="I68" s="21" t="s">
        <v>61</v>
      </c>
      <c r="J68" s="31" t="s">
        <v>118</v>
      </c>
      <c r="K68" s="217"/>
      <c r="L68" s="17"/>
      <c r="M68" s="18"/>
      <c r="N68" s="18"/>
      <c r="O68" s="18"/>
      <c r="P68" s="284"/>
      <c r="Q68" s="284"/>
      <c r="R68" s="284"/>
      <c r="S68" s="18"/>
      <c r="T68" s="284"/>
      <c r="U68" s="284"/>
      <c r="V68" s="284"/>
      <c r="W68" s="18"/>
      <c r="X68" s="18"/>
      <c r="Y68" s="18"/>
      <c r="Z68" s="18"/>
    </row>
    <row r="69" spans="1:26" ht="16.5" customHeight="1" x14ac:dyDescent="0.35">
      <c r="A69" s="230"/>
      <c r="B69" s="230"/>
      <c r="C69" s="296" t="s">
        <v>58</v>
      </c>
      <c r="D69" s="262">
        <v>3</v>
      </c>
      <c r="E69" s="261">
        <v>1.5</v>
      </c>
      <c r="F69" s="262" t="s">
        <v>120</v>
      </c>
      <c r="G69" s="262" t="s">
        <v>49</v>
      </c>
      <c r="H69" s="21" t="s">
        <v>46</v>
      </c>
      <c r="I69" s="31" t="s">
        <v>82</v>
      </c>
      <c r="J69" s="31" t="s">
        <v>118</v>
      </c>
      <c r="K69" s="262" t="s">
        <v>38</v>
      </c>
      <c r="L69" s="17"/>
      <c r="M69" s="18"/>
      <c r="N69" s="18"/>
      <c r="O69" s="18"/>
      <c r="P69" s="293"/>
      <c r="Q69" s="295"/>
      <c r="R69" s="294"/>
      <c r="S69" s="18"/>
      <c r="T69" s="293"/>
      <c r="U69" s="295"/>
      <c r="V69" s="294"/>
      <c r="W69" s="18"/>
      <c r="X69" s="18"/>
      <c r="Y69" s="18"/>
      <c r="Z69" s="18"/>
    </row>
    <row r="70" spans="1:26" ht="16.5" customHeight="1" x14ac:dyDescent="0.35">
      <c r="A70" s="217"/>
      <c r="B70" s="217"/>
      <c r="C70" s="217"/>
      <c r="D70" s="217"/>
      <c r="E70" s="217"/>
      <c r="F70" s="217"/>
      <c r="G70" s="217"/>
      <c r="H70" s="31" t="s">
        <v>55</v>
      </c>
      <c r="I70" s="21" t="s">
        <v>61</v>
      </c>
      <c r="J70" s="31" t="s">
        <v>118</v>
      </c>
      <c r="K70" s="217"/>
      <c r="L70" s="17"/>
      <c r="M70" s="18"/>
      <c r="N70" s="18"/>
      <c r="O70" s="18"/>
      <c r="P70" s="284"/>
      <c r="Q70" s="284"/>
      <c r="R70" s="284"/>
      <c r="S70" s="18"/>
      <c r="T70" s="284"/>
      <c r="U70" s="284"/>
      <c r="V70" s="284"/>
      <c r="W70" s="18"/>
      <c r="X70" s="18"/>
      <c r="Y70" s="18"/>
      <c r="Z70" s="18"/>
    </row>
    <row r="71" spans="1:26" ht="16.5" customHeight="1" x14ac:dyDescent="0.35">
      <c r="A71" s="263" t="s">
        <v>72</v>
      </c>
      <c r="B71" s="221"/>
      <c r="C71" s="221"/>
      <c r="D71" s="222"/>
      <c r="E71" s="20">
        <f>SUM(E57:E70)</f>
        <v>10.5</v>
      </c>
      <c r="F71" s="286"/>
      <c r="G71" s="221"/>
      <c r="H71" s="221"/>
      <c r="I71" s="221"/>
      <c r="J71" s="221"/>
      <c r="K71" s="222"/>
      <c r="L71" s="17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6.5" customHeight="1" x14ac:dyDescent="0.35">
      <c r="A72" s="39"/>
      <c r="B72" s="39"/>
      <c r="C72" s="39"/>
      <c r="D72" s="40"/>
      <c r="E72" s="41"/>
      <c r="F72" s="40"/>
      <c r="G72" s="40"/>
      <c r="H72" s="40"/>
      <c r="I72" s="40"/>
      <c r="J72" s="40"/>
      <c r="K72" s="40"/>
      <c r="L72" s="17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6.5" customHeight="1" x14ac:dyDescent="0.35">
      <c r="A73" s="42"/>
      <c r="B73" s="42"/>
      <c r="C73" s="42"/>
      <c r="D73" s="43"/>
      <c r="E73" s="44"/>
      <c r="F73" s="43"/>
      <c r="G73" s="43"/>
      <c r="H73" s="43"/>
      <c r="I73" s="43"/>
      <c r="J73" s="43"/>
      <c r="K73" s="43"/>
      <c r="L73" s="1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6.5" customHeight="1" x14ac:dyDescent="0.35">
      <c r="A74" s="42"/>
      <c r="B74" s="42"/>
      <c r="C74" s="42"/>
      <c r="D74" s="43"/>
      <c r="E74" s="44"/>
      <c r="F74" s="43"/>
      <c r="G74" s="43"/>
      <c r="H74" s="43"/>
      <c r="I74" s="43"/>
      <c r="J74" s="43"/>
      <c r="K74" s="43"/>
      <c r="L74" s="17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6.5" customHeight="1" x14ac:dyDescent="0.35">
      <c r="A75" s="42"/>
      <c r="B75" s="42"/>
      <c r="C75" s="42"/>
      <c r="D75" s="43"/>
      <c r="E75" s="44"/>
      <c r="F75" s="43"/>
      <c r="G75" s="43"/>
      <c r="H75" s="43"/>
      <c r="I75" s="43"/>
      <c r="J75" s="43"/>
      <c r="K75" s="43"/>
      <c r="L75" s="17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35">
      <c r="A76" s="42"/>
      <c r="B76" s="42"/>
      <c r="C76" s="42"/>
      <c r="D76" s="43"/>
      <c r="E76" s="44"/>
      <c r="F76" s="43"/>
      <c r="G76" s="43"/>
      <c r="H76" s="43"/>
      <c r="I76" s="43"/>
      <c r="J76" s="43"/>
      <c r="K76" s="43"/>
      <c r="L76" s="17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6.5" customHeight="1" x14ac:dyDescent="0.35">
      <c r="A77" s="42"/>
      <c r="B77" s="42"/>
      <c r="C77" s="42"/>
      <c r="D77" s="43"/>
      <c r="E77" s="44"/>
      <c r="F77" s="43"/>
      <c r="G77" s="43"/>
      <c r="H77" s="43"/>
      <c r="I77" s="43"/>
      <c r="J77" s="43"/>
      <c r="K77" s="43"/>
      <c r="L77" s="17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6.5" customHeight="1" x14ac:dyDescent="0.35">
      <c r="A78" s="285" t="s">
        <v>7</v>
      </c>
      <c r="B78" s="285" t="s">
        <v>8</v>
      </c>
      <c r="C78" s="285" t="s">
        <v>9</v>
      </c>
      <c r="D78" s="286" t="s">
        <v>10</v>
      </c>
      <c r="E78" s="222"/>
      <c r="F78" s="285" t="s">
        <v>11</v>
      </c>
      <c r="G78" s="285" t="s">
        <v>12</v>
      </c>
      <c r="H78" s="287" t="s">
        <v>13</v>
      </c>
      <c r="I78" s="221"/>
      <c r="J78" s="221"/>
      <c r="K78" s="222"/>
      <c r="L78" s="17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6.5" customHeight="1" x14ac:dyDescent="0.35">
      <c r="A79" s="217"/>
      <c r="B79" s="217"/>
      <c r="C79" s="217"/>
      <c r="D79" s="19" t="s">
        <v>14</v>
      </c>
      <c r="E79" s="20" t="s">
        <v>15</v>
      </c>
      <c r="F79" s="217"/>
      <c r="G79" s="217"/>
      <c r="H79" s="19" t="s">
        <v>16</v>
      </c>
      <c r="I79" s="19" t="s">
        <v>17</v>
      </c>
      <c r="J79" s="19" t="s">
        <v>18</v>
      </c>
      <c r="K79" s="19" t="s">
        <v>19</v>
      </c>
      <c r="L79" s="17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6.5" customHeight="1" x14ac:dyDescent="0.35">
      <c r="A80" s="23" t="s">
        <v>20</v>
      </c>
      <c r="B80" s="24" t="s">
        <v>21</v>
      </c>
      <c r="C80" s="24" t="s">
        <v>22</v>
      </c>
      <c r="D80" s="19" t="s">
        <v>23</v>
      </c>
      <c r="E80" s="20" t="s">
        <v>24</v>
      </c>
      <c r="F80" s="19" t="s">
        <v>25</v>
      </c>
      <c r="G80" s="19" t="s">
        <v>26</v>
      </c>
      <c r="H80" s="19" t="s">
        <v>27</v>
      </c>
      <c r="I80" s="19" t="s">
        <v>28</v>
      </c>
      <c r="J80" s="19" t="s">
        <v>29</v>
      </c>
      <c r="K80" s="19" t="s">
        <v>30</v>
      </c>
      <c r="L80" s="17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 x14ac:dyDescent="0.35">
      <c r="A81" s="246">
        <v>5</v>
      </c>
      <c r="B81" s="298" t="s">
        <v>121</v>
      </c>
      <c r="C81" s="251" t="s">
        <v>122</v>
      </c>
      <c r="D81" s="262">
        <v>2</v>
      </c>
      <c r="E81" s="261">
        <v>2</v>
      </c>
      <c r="F81" s="262" t="s">
        <v>51</v>
      </c>
      <c r="G81" s="262" t="s">
        <v>45</v>
      </c>
      <c r="H81" s="21" t="s">
        <v>46</v>
      </c>
      <c r="I81" s="21" t="s">
        <v>123</v>
      </c>
      <c r="J81" s="21" t="s">
        <v>124</v>
      </c>
      <c r="K81" s="262" t="s">
        <v>38</v>
      </c>
      <c r="L81" s="17"/>
      <c r="M81" s="18"/>
      <c r="N81" s="18"/>
      <c r="O81" s="18"/>
      <c r="P81" s="293"/>
      <c r="Q81" s="295"/>
      <c r="R81" s="294"/>
      <c r="S81" s="18"/>
      <c r="T81" s="293"/>
      <c r="U81" s="295"/>
      <c r="V81" s="294"/>
      <c r="W81" s="18"/>
      <c r="X81" s="18"/>
      <c r="Y81" s="18"/>
      <c r="Z81" s="18"/>
    </row>
    <row r="82" spans="1:26" ht="16.5" customHeight="1" x14ac:dyDescent="0.35">
      <c r="A82" s="230"/>
      <c r="B82" s="230"/>
      <c r="C82" s="217"/>
      <c r="D82" s="217"/>
      <c r="E82" s="217"/>
      <c r="F82" s="217"/>
      <c r="G82" s="217"/>
      <c r="H82" s="21" t="s">
        <v>55</v>
      </c>
      <c r="I82" s="21" t="s">
        <v>123</v>
      </c>
      <c r="J82" s="21" t="s">
        <v>125</v>
      </c>
      <c r="K82" s="217"/>
      <c r="L82" s="17"/>
      <c r="M82" s="18"/>
      <c r="N82" s="18"/>
      <c r="O82" s="18"/>
      <c r="P82" s="284"/>
      <c r="Q82" s="284"/>
      <c r="R82" s="284"/>
      <c r="S82" s="18"/>
      <c r="T82" s="284"/>
      <c r="U82" s="284"/>
      <c r="V82" s="284"/>
      <c r="W82" s="18"/>
      <c r="X82" s="18"/>
      <c r="Y82" s="18"/>
      <c r="Z82" s="18"/>
    </row>
    <row r="83" spans="1:26" ht="16.5" customHeight="1" x14ac:dyDescent="0.35">
      <c r="A83" s="230"/>
      <c r="B83" s="230"/>
      <c r="C83" s="251" t="s">
        <v>122</v>
      </c>
      <c r="D83" s="262">
        <v>2</v>
      </c>
      <c r="E83" s="261">
        <v>2</v>
      </c>
      <c r="F83" s="262" t="s">
        <v>75</v>
      </c>
      <c r="G83" s="262" t="s">
        <v>45</v>
      </c>
      <c r="H83" s="21" t="s">
        <v>46</v>
      </c>
      <c r="I83" s="21" t="s">
        <v>56</v>
      </c>
      <c r="J83" s="21" t="s">
        <v>126</v>
      </c>
      <c r="K83" s="262" t="s">
        <v>54</v>
      </c>
      <c r="L83" s="17"/>
      <c r="M83" s="45"/>
      <c r="N83" s="45"/>
      <c r="O83" s="45"/>
      <c r="P83" s="293"/>
      <c r="Q83" s="295"/>
      <c r="R83" s="294"/>
      <c r="S83" s="18"/>
      <c r="T83" s="293"/>
      <c r="U83" s="295"/>
      <c r="V83" s="294"/>
      <c r="W83" s="18"/>
      <c r="X83" s="18"/>
      <c r="Y83" s="18"/>
      <c r="Z83" s="18"/>
    </row>
    <row r="84" spans="1:26" ht="16.5" customHeight="1" x14ac:dyDescent="0.35">
      <c r="A84" s="230"/>
      <c r="B84" s="230"/>
      <c r="C84" s="217"/>
      <c r="D84" s="217"/>
      <c r="E84" s="217"/>
      <c r="F84" s="217"/>
      <c r="G84" s="217"/>
      <c r="H84" s="30" t="s">
        <v>48</v>
      </c>
      <c r="I84" s="30" t="s">
        <v>52</v>
      </c>
      <c r="J84" s="30" t="s">
        <v>124</v>
      </c>
      <c r="K84" s="217"/>
      <c r="L84" s="46"/>
      <c r="M84" s="45"/>
      <c r="N84" s="45"/>
      <c r="O84" s="45"/>
      <c r="P84" s="284"/>
      <c r="Q84" s="284"/>
      <c r="R84" s="284"/>
      <c r="S84" s="18"/>
      <c r="T84" s="284"/>
      <c r="U84" s="284"/>
      <c r="V84" s="284"/>
      <c r="W84" s="18"/>
      <c r="X84" s="18"/>
      <c r="Y84" s="18"/>
      <c r="Z84" s="18"/>
    </row>
    <row r="85" spans="1:26" ht="16.5" customHeight="1" x14ac:dyDescent="0.35">
      <c r="A85" s="230"/>
      <c r="B85" s="230"/>
      <c r="C85" s="251" t="s">
        <v>127</v>
      </c>
      <c r="D85" s="262">
        <v>1</v>
      </c>
      <c r="E85" s="261">
        <v>1</v>
      </c>
      <c r="F85" s="262" t="s">
        <v>51</v>
      </c>
      <c r="G85" s="262" t="s">
        <v>101</v>
      </c>
      <c r="H85" s="21" t="s">
        <v>39</v>
      </c>
      <c r="I85" s="21" t="s">
        <v>82</v>
      </c>
      <c r="J85" s="21" t="s">
        <v>128</v>
      </c>
      <c r="K85" s="262" t="s">
        <v>38</v>
      </c>
      <c r="L85" s="17"/>
      <c r="M85" s="18"/>
      <c r="N85" s="18"/>
      <c r="O85" s="18"/>
      <c r="P85" s="293"/>
      <c r="Q85" s="295"/>
      <c r="R85" s="294"/>
      <c r="S85" s="18"/>
      <c r="T85" s="293"/>
      <c r="U85" s="295"/>
      <c r="V85" s="294"/>
      <c r="W85" s="18"/>
      <c r="X85" s="18"/>
      <c r="Y85" s="18"/>
      <c r="Z85" s="18"/>
    </row>
    <row r="86" spans="1:26" ht="16.5" customHeight="1" x14ac:dyDescent="0.35">
      <c r="A86" s="230"/>
      <c r="B86" s="230"/>
      <c r="C86" s="217"/>
      <c r="D86" s="217"/>
      <c r="E86" s="217"/>
      <c r="F86" s="217"/>
      <c r="G86" s="217"/>
      <c r="H86" s="47" t="s">
        <v>55</v>
      </c>
      <c r="I86" s="47" t="s">
        <v>52</v>
      </c>
      <c r="J86" s="47" t="s">
        <v>96</v>
      </c>
      <c r="K86" s="217"/>
      <c r="L86" s="17"/>
      <c r="M86" s="18"/>
      <c r="N86" s="18"/>
      <c r="O86" s="18"/>
      <c r="P86" s="284"/>
      <c r="Q86" s="284"/>
      <c r="R86" s="284"/>
      <c r="S86" s="18"/>
      <c r="T86" s="284"/>
      <c r="U86" s="284"/>
      <c r="V86" s="284"/>
      <c r="W86" s="18"/>
      <c r="X86" s="18"/>
      <c r="Y86" s="18"/>
      <c r="Z86" s="18"/>
    </row>
    <row r="87" spans="1:26" ht="16.5" customHeight="1" x14ac:dyDescent="0.35">
      <c r="A87" s="230"/>
      <c r="B87" s="230"/>
      <c r="C87" s="251" t="s">
        <v>129</v>
      </c>
      <c r="D87" s="262">
        <v>3</v>
      </c>
      <c r="E87" s="261">
        <v>3</v>
      </c>
      <c r="F87" s="262" t="s">
        <v>51</v>
      </c>
      <c r="G87" s="262" t="s">
        <v>45</v>
      </c>
      <c r="H87" s="21" t="s">
        <v>35</v>
      </c>
      <c r="I87" s="21" t="s">
        <v>66</v>
      </c>
      <c r="J87" s="21" t="s">
        <v>125</v>
      </c>
      <c r="K87" s="262" t="s">
        <v>38</v>
      </c>
      <c r="L87" s="17"/>
      <c r="M87" s="18"/>
      <c r="N87" s="18"/>
      <c r="O87" s="18"/>
      <c r="P87" s="293"/>
      <c r="Q87" s="295"/>
      <c r="R87" s="294"/>
      <c r="S87" s="18"/>
      <c r="T87" s="293"/>
      <c r="U87" s="295"/>
      <c r="V87" s="294"/>
      <c r="W87" s="18"/>
      <c r="X87" s="18"/>
      <c r="Y87" s="18"/>
      <c r="Z87" s="18"/>
    </row>
    <row r="88" spans="1:26" ht="16.5" customHeight="1" x14ac:dyDescent="0.35">
      <c r="A88" s="230"/>
      <c r="B88" s="230"/>
      <c r="C88" s="217"/>
      <c r="D88" s="217"/>
      <c r="E88" s="217"/>
      <c r="F88" s="217"/>
      <c r="G88" s="217"/>
      <c r="H88" s="21" t="s">
        <v>48</v>
      </c>
      <c r="I88" s="21" t="s">
        <v>44</v>
      </c>
      <c r="J88" s="21" t="s">
        <v>92</v>
      </c>
      <c r="K88" s="217"/>
      <c r="L88" s="17"/>
      <c r="M88" s="18"/>
      <c r="N88" s="18"/>
      <c r="O88" s="18"/>
      <c r="P88" s="284"/>
      <c r="Q88" s="284"/>
      <c r="R88" s="284"/>
      <c r="S88" s="18"/>
      <c r="T88" s="284"/>
      <c r="U88" s="284"/>
      <c r="V88" s="284"/>
      <c r="W88" s="18"/>
      <c r="X88" s="18"/>
      <c r="Y88" s="18"/>
      <c r="Z88" s="18"/>
    </row>
    <row r="89" spans="1:26" ht="16.5" customHeight="1" x14ac:dyDescent="0.35">
      <c r="A89" s="230"/>
      <c r="B89" s="230"/>
      <c r="C89" s="251" t="s">
        <v>130</v>
      </c>
      <c r="D89" s="262">
        <v>2</v>
      </c>
      <c r="E89" s="261">
        <v>2</v>
      </c>
      <c r="F89" s="262" t="s">
        <v>51</v>
      </c>
      <c r="G89" s="262" t="s">
        <v>101</v>
      </c>
      <c r="H89" s="21" t="s">
        <v>46</v>
      </c>
      <c r="I89" s="21" t="s">
        <v>131</v>
      </c>
      <c r="J89" s="21" t="s">
        <v>124</v>
      </c>
      <c r="K89" s="262" t="s">
        <v>54</v>
      </c>
      <c r="L89" s="17"/>
      <c r="M89" s="18"/>
      <c r="N89" s="18"/>
      <c r="O89" s="18"/>
      <c r="P89" s="293"/>
      <c r="Q89" s="295"/>
      <c r="R89" s="294"/>
      <c r="S89" s="18"/>
      <c r="T89" s="293"/>
      <c r="U89" s="295"/>
      <c r="V89" s="294"/>
      <c r="W89" s="18"/>
      <c r="X89" s="18"/>
      <c r="Y89" s="18"/>
      <c r="Z89" s="18"/>
    </row>
    <row r="90" spans="1:26" ht="16.5" customHeight="1" x14ac:dyDescent="0.35">
      <c r="A90" s="230"/>
      <c r="B90" s="230"/>
      <c r="C90" s="217"/>
      <c r="D90" s="217"/>
      <c r="E90" s="217"/>
      <c r="F90" s="217"/>
      <c r="G90" s="217"/>
      <c r="H90" s="21" t="s">
        <v>39</v>
      </c>
      <c r="I90" s="21" t="s">
        <v>82</v>
      </c>
      <c r="J90" s="21" t="s">
        <v>132</v>
      </c>
      <c r="K90" s="217"/>
      <c r="L90" s="17"/>
      <c r="M90" s="18"/>
      <c r="N90" s="18"/>
      <c r="O90" s="18"/>
      <c r="P90" s="284"/>
      <c r="Q90" s="284"/>
      <c r="R90" s="284"/>
      <c r="S90" s="18"/>
      <c r="T90" s="284"/>
      <c r="U90" s="284"/>
      <c r="V90" s="284"/>
      <c r="W90" s="18"/>
      <c r="X90" s="18"/>
      <c r="Y90" s="18"/>
      <c r="Z90" s="18"/>
    </row>
    <row r="91" spans="1:26" ht="16.5" customHeight="1" x14ac:dyDescent="0.35">
      <c r="A91" s="230"/>
      <c r="B91" s="230"/>
      <c r="C91" s="251" t="s">
        <v>130</v>
      </c>
      <c r="D91" s="262">
        <v>2</v>
      </c>
      <c r="E91" s="261">
        <v>2</v>
      </c>
      <c r="F91" s="262" t="s">
        <v>51</v>
      </c>
      <c r="G91" s="262" t="s">
        <v>64</v>
      </c>
      <c r="H91" s="21" t="s">
        <v>35</v>
      </c>
      <c r="I91" s="21" t="s">
        <v>52</v>
      </c>
      <c r="J91" s="21" t="s">
        <v>133</v>
      </c>
      <c r="K91" s="262" t="s">
        <v>54</v>
      </c>
      <c r="L91" s="17"/>
      <c r="M91" s="18"/>
      <c r="N91" s="18"/>
      <c r="O91" s="18"/>
      <c r="P91" s="293"/>
      <c r="Q91" s="295"/>
      <c r="R91" s="294"/>
      <c r="S91" s="18"/>
      <c r="T91" s="293"/>
      <c r="U91" s="295"/>
      <c r="V91" s="294"/>
      <c r="W91" s="18"/>
      <c r="X91" s="18"/>
      <c r="Y91" s="18"/>
      <c r="Z91" s="18"/>
    </row>
    <row r="92" spans="1:26" ht="16.5" customHeight="1" x14ac:dyDescent="0.35">
      <c r="A92" s="230"/>
      <c r="B92" s="230"/>
      <c r="C92" s="217"/>
      <c r="D92" s="217"/>
      <c r="E92" s="217"/>
      <c r="F92" s="217"/>
      <c r="G92" s="217"/>
      <c r="H92" s="21" t="s">
        <v>55</v>
      </c>
      <c r="I92" s="21" t="s">
        <v>52</v>
      </c>
      <c r="J92" s="21" t="s">
        <v>124</v>
      </c>
      <c r="K92" s="217"/>
      <c r="L92" s="17"/>
      <c r="M92" s="18"/>
      <c r="N92" s="18"/>
      <c r="O92" s="18"/>
      <c r="P92" s="284"/>
      <c r="Q92" s="284"/>
      <c r="R92" s="284"/>
      <c r="S92" s="18"/>
      <c r="T92" s="284"/>
      <c r="U92" s="284"/>
      <c r="V92" s="284"/>
      <c r="W92" s="18"/>
      <c r="X92" s="18"/>
      <c r="Y92" s="18"/>
      <c r="Z92" s="18"/>
    </row>
    <row r="93" spans="1:26" ht="16.5" customHeight="1" x14ac:dyDescent="0.35">
      <c r="A93" s="230"/>
      <c r="B93" s="230"/>
      <c r="C93" s="251" t="s">
        <v>130</v>
      </c>
      <c r="D93" s="262">
        <v>2</v>
      </c>
      <c r="E93" s="261">
        <v>2</v>
      </c>
      <c r="F93" s="262" t="s">
        <v>51</v>
      </c>
      <c r="G93" s="262" t="s">
        <v>103</v>
      </c>
      <c r="H93" s="21" t="s">
        <v>35</v>
      </c>
      <c r="I93" s="21" t="s">
        <v>56</v>
      </c>
      <c r="J93" s="21" t="s">
        <v>125</v>
      </c>
      <c r="K93" s="262" t="s">
        <v>38</v>
      </c>
      <c r="L93" s="17"/>
      <c r="M93" s="18"/>
      <c r="N93" s="18"/>
      <c r="O93" s="18"/>
      <c r="P93" s="293"/>
      <c r="Q93" s="295"/>
      <c r="R93" s="294"/>
      <c r="S93" s="18"/>
      <c r="T93" s="293"/>
      <c r="U93" s="295"/>
      <c r="V93" s="294"/>
      <c r="W93" s="18"/>
      <c r="X93" s="18"/>
      <c r="Y93" s="18"/>
      <c r="Z93" s="18"/>
    </row>
    <row r="94" spans="1:26" ht="16.5" customHeight="1" x14ac:dyDescent="0.35">
      <c r="A94" s="219"/>
      <c r="B94" s="230"/>
      <c r="C94" s="217"/>
      <c r="D94" s="217"/>
      <c r="E94" s="217"/>
      <c r="F94" s="217"/>
      <c r="G94" s="217"/>
      <c r="H94" s="21" t="s">
        <v>55</v>
      </c>
      <c r="I94" s="21" t="s">
        <v>56</v>
      </c>
      <c r="J94" s="21" t="s">
        <v>125</v>
      </c>
      <c r="K94" s="217"/>
      <c r="L94" s="17"/>
      <c r="M94" s="18"/>
      <c r="N94" s="18"/>
      <c r="O94" s="18"/>
      <c r="P94" s="284"/>
      <c r="Q94" s="284"/>
      <c r="R94" s="284"/>
      <c r="S94" s="18"/>
      <c r="T94" s="284"/>
      <c r="U94" s="284"/>
      <c r="V94" s="284"/>
      <c r="W94" s="18"/>
      <c r="X94" s="18"/>
      <c r="Y94" s="18"/>
      <c r="Z94" s="18"/>
    </row>
    <row r="95" spans="1:26" ht="16.5" customHeight="1" x14ac:dyDescent="0.35">
      <c r="A95" s="48"/>
      <c r="B95" s="217"/>
      <c r="C95" s="49" t="s">
        <v>89</v>
      </c>
      <c r="D95" s="50">
        <v>3</v>
      </c>
      <c r="E95" s="51">
        <v>3</v>
      </c>
      <c r="F95" s="50" t="s">
        <v>51</v>
      </c>
      <c r="G95" s="50" t="s">
        <v>90</v>
      </c>
      <c r="H95" s="21" t="s">
        <v>35</v>
      </c>
      <c r="I95" s="21" t="s">
        <v>91</v>
      </c>
      <c r="J95" s="21" t="s">
        <v>43</v>
      </c>
      <c r="K95" s="50" t="s">
        <v>93</v>
      </c>
      <c r="L95" s="17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6.5" customHeight="1" x14ac:dyDescent="0.35">
      <c r="A96" s="263" t="s">
        <v>72</v>
      </c>
      <c r="B96" s="221"/>
      <c r="C96" s="221"/>
      <c r="D96" s="222"/>
      <c r="E96" s="20">
        <f>SUM(E81:E95)</f>
        <v>17</v>
      </c>
      <c r="F96" s="286"/>
      <c r="G96" s="221"/>
      <c r="H96" s="221"/>
      <c r="I96" s="221"/>
      <c r="J96" s="221"/>
      <c r="K96" s="222"/>
      <c r="L96" s="17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6.5" customHeight="1" x14ac:dyDescent="0.35">
      <c r="A97" s="246">
        <v>6</v>
      </c>
      <c r="B97" s="272" t="s">
        <v>134</v>
      </c>
      <c r="C97" s="251" t="s">
        <v>135</v>
      </c>
      <c r="D97" s="262">
        <v>3</v>
      </c>
      <c r="E97" s="261">
        <v>3</v>
      </c>
      <c r="F97" s="262" t="s">
        <v>33</v>
      </c>
      <c r="G97" s="262" t="s">
        <v>136</v>
      </c>
      <c r="H97" s="21" t="s">
        <v>46</v>
      </c>
      <c r="I97" s="21" t="s">
        <v>36</v>
      </c>
      <c r="J97" s="21" t="s">
        <v>137</v>
      </c>
      <c r="K97" s="262" t="s">
        <v>54</v>
      </c>
      <c r="L97" s="17"/>
      <c r="M97" s="18"/>
      <c r="N97" s="18"/>
      <c r="O97" s="18"/>
      <c r="P97" s="293"/>
      <c r="Q97" s="295"/>
      <c r="R97" s="294"/>
      <c r="S97" s="18"/>
      <c r="T97" s="293"/>
      <c r="U97" s="295"/>
      <c r="V97" s="294"/>
      <c r="W97" s="18"/>
      <c r="X97" s="18"/>
      <c r="Y97" s="18"/>
      <c r="Z97" s="18"/>
    </row>
    <row r="98" spans="1:26" ht="16.5" customHeight="1" x14ac:dyDescent="0.35">
      <c r="A98" s="230"/>
      <c r="B98" s="236"/>
      <c r="C98" s="217"/>
      <c r="D98" s="217"/>
      <c r="E98" s="217"/>
      <c r="F98" s="217"/>
      <c r="G98" s="217"/>
      <c r="H98" s="21" t="s">
        <v>48</v>
      </c>
      <c r="I98" s="21" t="s">
        <v>36</v>
      </c>
      <c r="J98" s="21" t="s">
        <v>137</v>
      </c>
      <c r="K98" s="217"/>
      <c r="L98" s="17"/>
      <c r="M98" s="18"/>
      <c r="N98" s="18"/>
      <c r="O98" s="18"/>
      <c r="P98" s="284"/>
      <c r="Q98" s="284"/>
      <c r="R98" s="284"/>
      <c r="S98" s="18"/>
      <c r="T98" s="284"/>
      <c r="U98" s="284"/>
      <c r="V98" s="284"/>
      <c r="W98" s="18"/>
      <c r="X98" s="18"/>
      <c r="Y98" s="18"/>
      <c r="Z98" s="18"/>
    </row>
    <row r="99" spans="1:26" ht="16.5" customHeight="1" x14ac:dyDescent="0.35">
      <c r="A99" s="230"/>
      <c r="B99" s="236"/>
      <c r="C99" s="251" t="s">
        <v>135</v>
      </c>
      <c r="D99" s="262">
        <v>3</v>
      </c>
      <c r="E99" s="261">
        <v>3</v>
      </c>
      <c r="F99" s="262" t="s">
        <v>33</v>
      </c>
      <c r="G99" s="262" t="s">
        <v>76</v>
      </c>
      <c r="H99" s="21" t="s">
        <v>46</v>
      </c>
      <c r="I99" s="21" t="s">
        <v>40</v>
      </c>
      <c r="J99" s="21" t="s">
        <v>137</v>
      </c>
      <c r="K99" s="262" t="s">
        <v>54</v>
      </c>
      <c r="L99" s="17"/>
      <c r="M99" s="18"/>
      <c r="N99" s="18"/>
      <c r="O99" s="18"/>
      <c r="P99" s="293"/>
      <c r="Q99" s="295"/>
      <c r="R99" s="294"/>
      <c r="S99" s="18"/>
      <c r="T99" s="293"/>
      <c r="U99" s="295"/>
      <c r="V99" s="294"/>
      <c r="W99" s="18"/>
      <c r="X99" s="18"/>
      <c r="Y99" s="18"/>
      <c r="Z99" s="18"/>
    </row>
    <row r="100" spans="1:26" ht="16.5" customHeight="1" x14ac:dyDescent="0.35">
      <c r="A100" s="230"/>
      <c r="B100" s="236"/>
      <c r="C100" s="217"/>
      <c r="D100" s="217"/>
      <c r="E100" s="217"/>
      <c r="F100" s="217"/>
      <c r="G100" s="217"/>
      <c r="H100" s="21" t="s">
        <v>48</v>
      </c>
      <c r="I100" s="21" t="s">
        <v>40</v>
      </c>
      <c r="J100" s="21" t="s">
        <v>137</v>
      </c>
      <c r="K100" s="217"/>
      <c r="L100" s="17"/>
      <c r="M100" s="18"/>
      <c r="N100" s="18"/>
      <c r="O100" s="18"/>
      <c r="P100" s="284"/>
      <c r="Q100" s="284"/>
      <c r="R100" s="284"/>
      <c r="S100" s="18"/>
      <c r="T100" s="284"/>
      <c r="U100" s="284"/>
      <c r="V100" s="284"/>
      <c r="W100" s="18"/>
      <c r="X100" s="18"/>
      <c r="Y100" s="18"/>
      <c r="Z100" s="18"/>
    </row>
    <row r="101" spans="1:26" ht="16.5" customHeight="1" x14ac:dyDescent="0.35">
      <c r="A101" s="230"/>
      <c r="B101" s="236"/>
      <c r="C101" s="251" t="s">
        <v>138</v>
      </c>
      <c r="D101" s="262">
        <v>3</v>
      </c>
      <c r="E101" s="261">
        <v>3</v>
      </c>
      <c r="F101" s="262" t="s">
        <v>106</v>
      </c>
      <c r="G101" s="262" t="s">
        <v>101</v>
      </c>
      <c r="H101" s="21" t="s">
        <v>35</v>
      </c>
      <c r="I101" s="21" t="s">
        <v>40</v>
      </c>
      <c r="J101" s="21" t="s">
        <v>139</v>
      </c>
      <c r="K101" s="262" t="s">
        <v>38</v>
      </c>
      <c r="L101" s="17"/>
      <c r="M101" s="18"/>
      <c r="N101" s="18"/>
      <c r="O101" s="18"/>
      <c r="P101" s="293"/>
      <c r="Q101" s="295"/>
      <c r="R101" s="294"/>
      <c r="S101" s="18"/>
      <c r="T101" s="293"/>
      <c r="U101" s="295"/>
      <c r="V101" s="294"/>
      <c r="W101" s="18"/>
      <c r="X101" s="18"/>
      <c r="Y101" s="18"/>
      <c r="Z101" s="18"/>
    </row>
    <row r="102" spans="1:26" ht="16.5" customHeight="1" x14ac:dyDescent="0.35">
      <c r="A102" s="230"/>
      <c r="B102" s="236"/>
      <c r="C102" s="217"/>
      <c r="D102" s="217"/>
      <c r="E102" s="217"/>
      <c r="F102" s="217"/>
      <c r="G102" s="219"/>
      <c r="H102" s="21" t="s">
        <v>39</v>
      </c>
      <c r="I102" s="21" t="s">
        <v>140</v>
      </c>
      <c r="J102" s="21" t="s">
        <v>128</v>
      </c>
      <c r="K102" s="219"/>
      <c r="L102" s="17"/>
      <c r="M102" s="18"/>
      <c r="N102" s="18"/>
      <c r="O102" s="18"/>
      <c r="P102" s="284"/>
      <c r="Q102" s="284"/>
      <c r="R102" s="284"/>
      <c r="S102" s="18"/>
      <c r="T102" s="284"/>
      <c r="U102" s="284"/>
      <c r="V102" s="284"/>
      <c r="W102" s="18"/>
      <c r="X102" s="18"/>
      <c r="Y102" s="18"/>
      <c r="Z102" s="18"/>
    </row>
    <row r="103" spans="1:26" ht="16.5" customHeight="1" x14ac:dyDescent="0.35">
      <c r="A103" s="230"/>
      <c r="B103" s="236"/>
      <c r="C103" s="251" t="s">
        <v>141</v>
      </c>
      <c r="D103" s="262">
        <v>3</v>
      </c>
      <c r="E103" s="261">
        <v>3</v>
      </c>
      <c r="F103" s="262" t="s">
        <v>106</v>
      </c>
      <c r="G103" s="262" t="s">
        <v>136</v>
      </c>
      <c r="H103" s="38" t="s">
        <v>48</v>
      </c>
      <c r="I103" s="38" t="s">
        <v>108</v>
      </c>
      <c r="J103" s="21" t="s">
        <v>98</v>
      </c>
      <c r="K103" s="262" t="s">
        <v>54</v>
      </c>
      <c r="L103" s="17"/>
      <c r="M103" s="18"/>
      <c r="N103" s="18"/>
      <c r="O103" s="18"/>
      <c r="P103" s="293"/>
      <c r="Q103" s="295"/>
      <c r="R103" s="294"/>
      <c r="S103" s="18"/>
      <c r="T103" s="293"/>
      <c r="U103" s="295"/>
      <c r="V103" s="294"/>
      <c r="W103" s="18"/>
      <c r="X103" s="18"/>
      <c r="Y103" s="18"/>
      <c r="Z103" s="18"/>
    </row>
    <row r="104" spans="1:26" ht="16.5" customHeight="1" x14ac:dyDescent="0.35">
      <c r="A104" s="230"/>
      <c r="B104" s="236"/>
      <c r="C104" s="219"/>
      <c r="D104" s="219"/>
      <c r="E104" s="219"/>
      <c r="F104" s="219"/>
      <c r="G104" s="219"/>
      <c r="H104" s="21" t="s">
        <v>55</v>
      </c>
      <c r="I104" s="21" t="s">
        <v>44</v>
      </c>
      <c r="J104" s="21" t="s">
        <v>98</v>
      </c>
      <c r="K104" s="219"/>
      <c r="L104" s="17"/>
      <c r="M104" s="18"/>
      <c r="N104" s="18"/>
      <c r="O104" s="18"/>
      <c r="P104" s="284"/>
      <c r="Q104" s="284"/>
      <c r="R104" s="284"/>
      <c r="S104" s="18"/>
      <c r="T104" s="284"/>
      <c r="U104" s="284"/>
      <c r="V104" s="284"/>
      <c r="W104" s="18"/>
      <c r="X104" s="18"/>
      <c r="Y104" s="18"/>
      <c r="Z104" s="18"/>
    </row>
    <row r="105" spans="1:26" ht="16.5" customHeight="1" x14ac:dyDescent="0.35">
      <c r="A105" s="230"/>
      <c r="B105" s="236"/>
      <c r="C105" s="251" t="s">
        <v>142</v>
      </c>
      <c r="D105" s="262">
        <v>2</v>
      </c>
      <c r="E105" s="261">
        <v>2</v>
      </c>
      <c r="F105" s="262" t="s">
        <v>106</v>
      </c>
      <c r="G105" s="262" t="s">
        <v>136</v>
      </c>
      <c r="H105" s="21" t="s">
        <v>46</v>
      </c>
      <c r="I105" s="21" t="s">
        <v>52</v>
      </c>
      <c r="J105" s="21" t="s">
        <v>110</v>
      </c>
      <c r="K105" s="262" t="s">
        <v>38</v>
      </c>
      <c r="L105" s="17"/>
      <c r="M105" s="18"/>
      <c r="N105" s="18"/>
      <c r="O105" s="18"/>
      <c r="P105" s="293"/>
      <c r="Q105" s="295"/>
      <c r="R105" s="294"/>
      <c r="S105" s="18"/>
      <c r="T105" s="293"/>
      <c r="U105" s="295"/>
      <c r="V105" s="294"/>
      <c r="W105" s="18"/>
      <c r="X105" s="18"/>
      <c r="Y105" s="18"/>
      <c r="Z105" s="18"/>
    </row>
    <row r="106" spans="1:26" ht="16.5" customHeight="1" x14ac:dyDescent="0.35">
      <c r="A106" s="230"/>
      <c r="B106" s="236"/>
      <c r="C106" s="217"/>
      <c r="D106" s="217"/>
      <c r="E106" s="217"/>
      <c r="F106" s="217"/>
      <c r="G106" s="217"/>
      <c r="H106" s="21" t="s">
        <v>55</v>
      </c>
      <c r="I106" s="21" t="s">
        <v>56</v>
      </c>
      <c r="J106" s="21" t="s">
        <v>143</v>
      </c>
      <c r="K106" s="217"/>
      <c r="L106" s="17"/>
      <c r="M106" s="18"/>
      <c r="N106" s="18"/>
      <c r="O106" s="18"/>
      <c r="P106" s="284"/>
      <c r="Q106" s="284"/>
      <c r="R106" s="284"/>
      <c r="S106" s="18"/>
      <c r="T106" s="284"/>
      <c r="U106" s="284"/>
      <c r="V106" s="284"/>
      <c r="W106" s="18"/>
      <c r="X106" s="18"/>
      <c r="Y106" s="18"/>
      <c r="Z106" s="18"/>
    </row>
    <row r="107" spans="1:26" ht="16.5" customHeight="1" x14ac:dyDescent="0.35">
      <c r="A107" s="230"/>
      <c r="B107" s="236"/>
      <c r="C107" s="264" t="s">
        <v>144</v>
      </c>
      <c r="D107" s="265">
        <v>3</v>
      </c>
      <c r="E107" s="266">
        <v>1</v>
      </c>
      <c r="F107" s="262" t="s">
        <v>63</v>
      </c>
      <c r="G107" s="265" t="s">
        <v>34</v>
      </c>
      <c r="H107" s="21" t="s">
        <v>35</v>
      </c>
      <c r="I107" s="21" t="s">
        <v>36</v>
      </c>
      <c r="J107" s="52" t="s">
        <v>65</v>
      </c>
      <c r="K107" s="265" t="s">
        <v>38</v>
      </c>
      <c r="L107" s="17"/>
      <c r="M107" s="18"/>
      <c r="N107" s="18"/>
      <c r="O107" s="18"/>
      <c r="P107" s="293"/>
      <c r="Q107" s="295"/>
      <c r="R107" s="294"/>
      <c r="S107" s="18"/>
      <c r="T107" s="293"/>
      <c r="U107" s="295"/>
      <c r="V107" s="294"/>
      <c r="W107" s="18"/>
      <c r="X107" s="18"/>
      <c r="Y107" s="18"/>
      <c r="Z107" s="18"/>
    </row>
    <row r="108" spans="1:26" ht="16.5" customHeight="1" x14ac:dyDescent="0.35">
      <c r="A108" s="230"/>
      <c r="B108" s="236"/>
      <c r="C108" s="217"/>
      <c r="D108" s="217"/>
      <c r="E108" s="217"/>
      <c r="F108" s="217"/>
      <c r="G108" s="217"/>
      <c r="H108" s="21" t="s">
        <v>46</v>
      </c>
      <c r="I108" s="21" t="s">
        <v>36</v>
      </c>
      <c r="J108" s="30" t="s">
        <v>65</v>
      </c>
      <c r="K108" s="217"/>
      <c r="L108" s="17"/>
      <c r="M108" s="18"/>
      <c r="N108" s="18"/>
      <c r="O108" s="18"/>
      <c r="P108" s="284"/>
      <c r="Q108" s="284"/>
      <c r="R108" s="284"/>
      <c r="S108" s="18"/>
      <c r="T108" s="284"/>
      <c r="U108" s="284"/>
      <c r="V108" s="284"/>
      <c r="W108" s="18"/>
      <c r="X108" s="18"/>
      <c r="Y108" s="18"/>
      <c r="Z108" s="18"/>
    </row>
    <row r="109" spans="1:26" ht="16.5" customHeight="1" x14ac:dyDescent="0.35">
      <c r="A109" s="230"/>
      <c r="B109" s="236"/>
      <c r="C109" s="251" t="s">
        <v>145</v>
      </c>
      <c r="D109" s="262">
        <v>3</v>
      </c>
      <c r="E109" s="261">
        <v>1.5</v>
      </c>
      <c r="F109" s="262" t="s">
        <v>68</v>
      </c>
      <c r="G109" s="262" t="s">
        <v>101</v>
      </c>
      <c r="H109" s="21" t="s">
        <v>35</v>
      </c>
      <c r="I109" s="30" t="s">
        <v>146</v>
      </c>
      <c r="J109" s="30" t="s">
        <v>111</v>
      </c>
      <c r="K109" s="262" t="s">
        <v>54</v>
      </c>
      <c r="L109" s="17"/>
      <c r="M109" s="18"/>
      <c r="N109" s="18"/>
      <c r="O109" s="18"/>
      <c r="P109" s="293"/>
      <c r="Q109" s="295"/>
      <c r="R109" s="294"/>
      <c r="S109" s="18"/>
      <c r="T109" s="293"/>
      <c r="U109" s="295"/>
      <c r="V109" s="294"/>
      <c r="W109" s="18"/>
      <c r="X109" s="18"/>
      <c r="Y109" s="18"/>
      <c r="Z109" s="18"/>
    </row>
    <row r="110" spans="1:26" ht="16.5" customHeight="1" x14ac:dyDescent="0.35">
      <c r="A110" s="219"/>
      <c r="B110" s="237"/>
      <c r="C110" s="217"/>
      <c r="D110" s="217"/>
      <c r="E110" s="217"/>
      <c r="F110" s="217"/>
      <c r="G110" s="217"/>
      <c r="H110" s="21" t="s">
        <v>48</v>
      </c>
      <c r="I110" s="30" t="s">
        <v>146</v>
      </c>
      <c r="J110" s="30" t="s">
        <v>111</v>
      </c>
      <c r="K110" s="217"/>
      <c r="L110" s="17"/>
      <c r="M110" s="18"/>
      <c r="N110" s="18"/>
      <c r="O110" s="18"/>
      <c r="P110" s="284"/>
      <c r="Q110" s="284"/>
      <c r="R110" s="284"/>
      <c r="S110" s="18"/>
      <c r="T110" s="284"/>
      <c r="U110" s="284"/>
      <c r="V110" s="284"/>
      <c r="W110" s="18"/>
      <c r="X110" s="18"/>
      <c r="Y110" s="18"/>
      <c r="Z110" s="18"/>
    </row>
    <row r="111" spans="1:26" ht="16.5" customHeight="1" x14ac:dyDescent="0.35">
      <c r="A111" s="263" t="s">
        <v>72</v>
      </c>
      <c r="B111" s="221"/>
      <c r="C111" s="221"/>
      <c r="D111" s="222"/>
      <c r="E111" s="20">
        <f>SUM(E97:E110)</f>
        <v>16.5</v>
      </c>
      <c r="F111" s="286"/>
      <c r="G111" s="221"/>
      <c r="H111" s="221"/>
      <c r="I111" s="221"/>
      <c r="J111" s="221"/>
      <c r="K111" s="222"/>
      <c r="L111" s="17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6.5" customHeight="1" x14ac:dyDescent="0.35">
      <c r="A112" s="246">
        <v>7</v>
      </c>
      <c r="B112" s="269" t="s">
        <v>147</v>
      </c>
      <c r="C112" s="251" t="s">
        <v>148</v>
      </c>
      <c r="D112" s="262">
        <v>3</v>
      </c>
      <c r="E112" s="261">
        <v>3</v>
      </c>
      <c r="F112" s="262" t="s">
        <v>75</v>
      </c>
      <c r="G112" s="262" t="s">
        <v>64</v>
      </c>
      <c r="H112" s="21" t="s">
        <v>35</v>
      </c>
      <c r="I112" s="21" t="s">
        <v>36</v>
      </c>
      <c r="J112" s="21" t="s">
        <v>149</v>
      </c>
      <c r="K112" s="262" t="s">
        <v>38</v>
      </c>
      <c r="L112" s="17"/>
      <c r="M112" s="18"/>
      <c r="N112" s="18"/>
      <c r="O112" s="18"/>
      <c r="P112" s="293"/>
      <c r="Q112" s="295"/>
      <c r="R112" s="294"/>
      <c r="S112" s="18"/>
      <c r="T112" s="293"/>
      <c r="U112" s="295"/>
      <c r="V112" s="294"/>
      <c r="W112" s="18"/>
      <c r="X112" s="18"/>
      <c r="Y112" s="18"/>
      <c r="Z112" s="18"/>
    </row>
    <row r="113" spans="1:26" ht="16.5" customHeight="1" x14ac:dyDescent="0.35">
      <c r="A113" s="230"/>
      <c r="B113" s="270"/>
      <c r="C113" s="217"/>
      <c r="D113" s="217"/>
      <c r="E113" s="217"/>
      <c r="F113" s="217"/>
      <c r="G113" s="217"/>
      <c r="H113" s="21" t="s">
        <v>48</v>
      </c>
      <c r="I113" s="21" t="s">
        <v>40</v>
      </c>
      <c r="J113" s="21" t="s">
        <v>150</v>
      </c>
      <c r="K113" s="217"/>
      <c r="L113" s="17"/>
      <c r="M113" s="18"/>
      <c r="N113" s="18"/>
      <c r="O113" s="18"/>
      <c r="P113" s="284"/>
      <c r="Q113" s="284"/>
      <c r="R113" s="284"/>
      <c r="S113" s="18"/>
      <c r="T113" s="284"/>
      <c r="U113" s="284"/>
      <c r="V113" s="284"/>
      <c r="W113" s="18"/>
      <c r="X113" s="18"/>
      <c r="Y113" s="18"/>
      <c r="Z113" s="18"/>
    </row>
    <row r="114" spans="1:26" ht="16.5" customHeight="1" x14ac:dyDescent="0.35">
      <c r="A114" s="230"/>
      <c r="B114" s="270"/>
      <c r="C114" s="251" t="s">
        <v>148</v>
      </c>
      <c r="D114" s="262">
        <v>3</v>
      </c>
      <c r="E114" s="261">
        <v>3</v>
      </c>
      <c r="F114" s="262" t="s">
        <v>75</v>
      </c>
      <c r="G114" s="262" t="s">
        <v>103</v>
      </c>
      <c r="H114" s="21" t="s">
        <v>46</v>
      </c>
      <c r="I114" s="21" t="s">
        <v>44</v>
      </c>
      <c r="J114" s="21" t="s">
        <v>78</v>
      </c>
      <c r="K114" s="262" t="s">
        <v>38</v>
      </c>
      <c r="L114" s="17"/>
      <c r="M114" s="18"/>
      <c r="N114" s="18"/>
      <c r="O114" s="18"/>
      <c r="P114" s="293"/>
      <c r="Q114" s="295"/>
      <c r="R114" s="294"/>
      <c r="S114" s="18"/>
      <c r="T114" s="293"/>
      <c r="U114" s="295"/>
      <c r="V114" s="294"/>
      <c r="W114" s="18"/>
      <c r="X114" s="18"/>
      <c r="Y114" s="18"/>
      <c r="Z114" s="18"/>
    </row>
    <row r="115" spans="1:26" ht="16.5" customHeight="1" x14ac:dyDescent="0.35">
      <c r="A115" s="230"/>
      <c r="B115" s="270"/>
      <c r="C115" s="217"/>
      <c r="D115" s="217"/>
      <c r="E115" s="217"/>
      <c r="F115" s="217"/>
      <c r="G115" s="217"/>
      <c r="H115" s="21" t="s">
        <v>55</v>
      </c>
      <c r="I115" s="21" t="s">
        <v>36</v>
      </c>
      <c r="J115" s="21" t="s">
        <v>126</v>
      </c>
      <c r="K115" s="217"/>
      <c r="L115" s="17"/>
      <c r="M115" s="18"/>
      <c r="N115" s="18"/>
      <c r="O115" s="18"/>
      <c r="P115" s="284"/>
      <c r="Q115" s="284"/>
      <c r="R115" s="284"/>
      <c r="S115" s="18"/>
      <c r="T115" s="284"/>
      <c r="U115" s="284"/>
      <c r="V115" s="284"/>
      <c r="W115" s="18"/>
      <c r="X115" s="18"/>
      <c r="Y115" s="18"/>
      <c r="Z115" s="18"/>
    </row>
    <row r="116" spans="1:26" ht="16.5" customHeight="1" x14ac:dyDescent="0.35">
      <c r="A116" s="230"/>
      <c r="B116" s="270"/>
      <c r="C116" s="251" t="s">
        <v>151</v>
      </c>
      <c r="D116" s="262">
        <v>2</v>
      </c>
      <c r="E116" s="261">
        <v>2</v>
      </c>
      <c r="F116" s="262" t="s">
        <v>75</v>
      </c>
      <c r="G116" s="262" t="s">
        <v>103</v>
      </c>
      <c r="H116" s="21" t="s">
        <v>35</v>
      </c>
      <c r="I116" s="21" t="s">
        <v>123</v>
      </c>
      <c r="J116" s="21" t="s">
        <v>133</v>
      </c>
      <c r="K116" s="262" t="s">
        <v>38</v>
      </c>
      <c r="L116" s="53"/>
      <c r="M116" s="54"/>
      <c r="N116" s="54"/>
      <c r="O116" s="54"/>
      <c r="P116" s="293"/>
      <c r="Q116" s="295"/>
      <c r="R116" s="294"/>
      <c r="S116" s="18"/>
      <c r="T116" s="293"/>
      <c r="U116" s="295"/>
      <c r="V116" s="294"/>
      <c r="W116" s="18"/>
      <c r="X116" s="18"/>
      <c r="Y116" s="18"/>
      <c r="Z116" s="18"/>
    </row>
    <row r="117" spans="1:26" ht="16.5" customHeight="1" x14ac:dyDescent="0.35">
      <c r="A117" s="230"/>
      <c r="B117" s="270"/>
      <c r="C117" s="217"/>
      <c r="D117" s="217"/>
      <c r="E117" s="217"/>
      <c r="F117" s="217"/>
      <c r="G117" s="217"/>
      <c r="H117" s="21" t="s">
        <v>55</v>
      </c>
      <c r="I117" s="21" t="s">
        <v>123</v>
      </c>
      <c r="J117" s="21" t="s">
        <v>53</v>
      </c>
      <c r="K117" s="217"/>
      <c r="L117" s="53"/>
      <c r="M117" s="54"/>
      <c r="N117" s="54"/>
      <c r="O117" s="54"/>
      <c r="P117" s="284"/>
      <c r="Q117" s="284"/>
      <c r="R117" s="284"/>
      <c r="S117" s="18"/>
      <c r="T117" s="284"/>
      <c r="U117" s="284"/>
      <c r="V117" s="284"/>
      <c r="W117" s="18"/>
      <c r="X117" s="18"/>
      <c r="Y117" s="18"/>
      <c r="Z117" s="18"/>
    </row>
    <row r="118" spans="1:26" ht="16.5" customHeight="1" x14ac:dyDescent="0.35">
      <c r="A118" s="230"/>
      <c r="B118" s="270"/>
      <c r="C118" s="251" t="s">
        <v>151</v>
      </c>
      <c r="D118" s="262">
        <v>2</v>
      </c>
      <c r="E118" s="261">
        <v>2</v>
      </c>
      <c r="F118" s="262" t="s">
        <v>75</v>
      </c>
      <c r="G118" s="262" t="s">
        <v>104</v>
      </c>
      <c r="H118" s="21" t="s">
        <v>39</v>
      </c>
      <c r="I118" s="21" t="s">
        <v>123</v>
      </c>
      <c r="J118" s="21" t="s">
        <v>152</v>
      </c>
      <c r="K118" s="262" t="s">
        <v>38</v>
      </c>
      <c r="L118" s="53"/>
      <c r="M118" s="54"/>
      <c r="N118" s="54"/>
      <c r="O118" s="54"/>
      <c r="P118" s="293"/>
      <c r="Q118" s="295"/>
      <c r="R118" s="294"/>
      <c r="S118" s="18"/>
      <c r="T118" s="293"/>
      <c r="U118" s="295"/>
      <c r="V118" s="294"/>
      <c r="W118" s="18"/>
      <c r="X118" s="18"/>
      <c r="Y118" s="18"/>
      <c r="Z118" s="18"/>
    </row>
    <row r="119" spans="1:26" ht="16.5" customHeight="1" x14ac:dyDescent="0.35">
      <c r="A119" s="230"/>
      <c r="B119" s="270"/>
      <c r="C119" s="217"/>
      <c r="D119" s="217"/>
      <c r="E119" s="217"/>
      <c r="F119" s="217"/>
      <c r="G119" s="217"/>
      <c r="H119" s="21" t="s">
        <v>55</v>
      </c>
      <c r="I119" s="21" t="s">
        <v>52</v>
      </c>
      <c r="J119" s="21" t="s">
        <v>132</v>
      </c>
      <c r="K119" s="217"/>
      <c r="L119" s="53"/>
      <c r="M119" s="54"/>
      <c r="N119" s="54"/>
      <c r="O119" s="54"/>
      <c r="P119" s="284"/>
      <c r="Q119" s="284"/>
      <c r="R119" s="284"/>
      <c r="S119" s="18"/>
      <c r="T119" s="284"/>
      <c r="U119" s="284"/>
      <c r="V119" s="284"/>
      <c r="W119" s="18"/>
      <c r="X119" s="18"/>
      <c r="Y119" s="18"/>
      <c r="Z119" s="18"/>
    </row>
    <row r="120" spans="1:26" ht="16.5" customHeight="1" x14ac:dyDescent="0.35">
      <c r="A120" s="230"/>
      <c r="B120" s="270"/>
      <c r="C120" s="251" t="s">
        <v>151</v>
      </c>
      <c r="D120" s="262">
        <v>2</v>
      </c>
      <c r="E120" s="261">
        <v>2</v>
      </c>
      <c r="F120" s="262" t="s">
        <v>75</v>
      </c>
      <c r="G120" s="268" t="s">
        <v>153</v>
      </c>
      <c r="H120" s="21" t="s">
        <v>35</v>
      </c>
      <c r="I120" s="21" t="s">
        <v>52</v>
      </c>
      <c r="J120" s="21" t="s">
        <v>80</v>
      </c>
      <c r="K120" s="262" t="s">
        <v>54</v>
      </c>
      <c r="L120" s="17" t="s">
        <v>102</v>
      </c>
      <c r="M120" s="18"/>
      <c r="N120" s="18"/>
      <c r="O120" s="18"/>
      <c r="P120" s="293"/>
      <c r="Q120" s="295"/>
      <c r="R120" s="294"/>
      <c r="S120" s="18"/>
      <c r="T120" s="293"/>
      <c r="U120" s="295"/>
      <c r="V120" s="294"/>
      <c r="W120" s="18"/>
      <c r="X120" s="18"/>
      <c r="Y120" s="18"/>
      <c r="Z120" s="18"/>
    </row>
    <row r="121" spans="1:26" ht="16.5" customHeight="1" x14ac:dyDescent="0.35">
      <c r="A121" s="230"/>
      <c r="B121" s="270"/>
      <c r="C121" s="217"/>
      <c r="D121" s="217"/>
      <c r="E121" s="217"/>
      <c r="F121" s="217"/>
      <c r="G121" s="240"/>
      <c r="H121" s="21" t="s">
        <v>55</v>
      </c>
      <c r="I121" s="21" t="s">
        <v>52</v>
      </c>
      <c r="J121" s="21" t="s">
        <v>80</v>
      </c>
      <c r="K121" s="219"/>
      <c r="L121" s="17"/>
      <c r="M121" s="18"/>
      <c r="N121" s="18"/>
      <c r="O121" s="18"/>
      <c r="P121" s="284"/>
      <c r="Q121" s="284"/>
      <c r="R121" s="284"/>
      <c r="S121" s="18"/>
      <c r="T121" s="284"/>
      <c r="U121" s="284"/>
      <c r="V121" s="284"/>
      <c r="W121" s="18"/>
      <c r="X121" s="18"/>
      <c r="Y121" s="18"/>
      <c r="Z121" s="18"/>
    </row>
    <row r="122" spans="1:26" ht="16.5" customHeight="1" x14ac:dyDescent="0.35">
      <c r="A122" s="230"/>
      <c r="B122" s="270"/>
      <c r="C122" s="251" t="s">
        <v>148</v>
      </c>
      <c r="D122" s="262">
        <v>3</v>
      </c>
      <c r="E122" s="261">
        <v>1.5</v>
      </c>
      <c r="F122" s="262" t="s">
        <v>63</v>
      </c>
      <c r="G122" s="268" t="s">
        <v>34</v>
      </c>
      <c r="H122" s="21" t="s">
        <v>154</v>
      </c>
      <c r="I122" s="21" t="s">
        <v>40</v>
      </c>
      <c r="J122" s="21" t="s">
        <v>155</v>
      </c>
      <c r="K122" s="262" t="s">
        <v>38</v>
      </c>
      <c r="L122" s="17"/>
      <c r="M122" s="18"/>
      <c r="N122" s="18"/>
      <c r="O122" s="18"/>
      <c r="P122" s="293"/>
      <c r="Q122" s="295"/>
      <c r="R122" s="294"/>
      <c r="S122" s="18"/>
      <c r="T122" s="293"/>
      <c r="U122" s="295"/>
      <c r="V122" s="294"/>
      <c r="W122" s="18"/>
      <c r="X122" s="18"/>
      <c r="Y122" s="18"/>
      <c r="Z122" s="18"/>
    </row>
    <row r="123" spans="1:26" ht="16.5" customHeight="1" x14ac:dyDescent="0.35">
      <c r="A123" s="230"/>
      <c r="B123" s="270"/>
      <c r="C123" s="217"/>
      <c r="D123" s="217"/>
      <c r="E123" s="217"/>
      <c r="F123" s="217"/>
      <c r="G123" s="240"/>
      <c r="H123" s="21" t="s">
        <v>46</v>
      </c>
      <c r="I123" s="21" t="s">
        <v>40</v>
      </c>
      <c r="J123" s="21" t="s">
        <v>155</v>
      </c>
      <c r="K123" s="217"/>
      <c r="L123" s="17"/>
      <c r="M123" s="18"/>
      <c r="N123" s="18"/>
      <c r="O123" s="18"/>
      <c r="P123" s="284"/>
      <c r="Q123" s="284"/>
      <c r="R123" s="284"/>
      <c r="S123" s="18"/>
      <c r="T123" s="284"/>
      <c r="U123" s="284"/>
      <c r="V123" s="284"/>
      <c r="W123" s="18"/>
      <c r="X123" s="18"/>
      <c r="Y123" s="18"/>
      <c r="Z123" s="18"/>
    </row>
    <row r="124" spans="1:26" ht="16.5" customHeight="1" x14ac:dyDescent="0.35">
      <c r="A124" s="230"/>
      <c r="B124" s="270"/>
      <c r="C124" s="251" t="s">
        <v>145</v>
      </c>
      <c r="D124" s="262">
        <v>3</v>
      </c>
      <c r="E124" s="261">
        <v>1.5</v>
      </c>
      <c r="F124" s="262" t="s">
        <v>68</v>
      </c>
      <c r="G124" s="268" t="s">
        <v>64</v>
      </c>
      <c r="H124" s="21" t="s">
        <v>35</v>
      </c>
      <c r="I124" s="30" t="s">
        <v>146</v>
      </c>
      <c r="J124" s="30" t="s">
        <v>149</v>
      </c>
      <c r="K124" s="262" t="s">
        <v>54</v>
      </c>
      <c r="L124" s="17"/>
      <c r="M124" s="18"/>
      <c r="N124" s="18"/>
      <c r="O124" s="18"/>
      <c r="P124" s="293"/>
      <c r="Q124" s="295"/>
      <c r="R124" s="294"/>
      <c r="S124" s="18"/>
      <c r="T124" s="293"/>
      <c r="U124" s="295"/>
      <c r="V124" s="294"/>
      <c r="W124" s="18"/>
      <c r="X124" s="18"/>
      <c r="Y124" s="18"/>
      <c r="Z124" s="18"/>
    </row>
    <row r="125" spans="1:26" ht="16.5" customHeight="1" x14ac:dyDescent="0.35">
      <c r="A125" s="230"/>
      <c r="B125" s="270"/>
      <c r="C125" s="217"/>
      <c r="D125" s="217"/>
      <c r="E125" s="217"/>
      <c r="F125" s="217"/>
      <c r="G125" s="240"/>
      <c r="H125" s="21" t="s">
        <v>48</v>
      </c>
      <c r="I125" s="30" t="s">
        <v>146</v>
      </c>
      <c r="J125" s="30" t="s">
        <v>149</v>
      </c>
      <c r="K125" s="217"/>
      <c r="L125" s="17"/>
      <c r="M125" s="18"/>
      <c r="N125" s="18"/>
      <c r="O125" s="18"/>
      <c r="P125" s="284"/>
      <c r="Q125" s="284"/>
      <c r="R125" s="284"/>
      <c r="S125" s="18"/>
      <c r="T125" s="284"/>
      <c r="U125" s="284"/>
      <c r="V125" s="284"/>
      <c r="W125" s="18"/>
      <c r="X125" s="18"/>
      <c r="Y125" s="18"/>
      <c r="Z125" s="18"/>
    </row>
    <row r="126" spans="1:26" ht="16.5" customHeight="1" x14ac:dyDescent="0.35">
      <c r="A126" s="230"/>
      <c r="B126" s="270"/>
      <c r="C126" s="251" t="s">
        <v>156</v>
      </c>
      <c r="D126" s="262">
        <v>3</v>
      </c>
      <c r="E126" s="261">
        <v>1.5</v>
      </c>
      <c r="F126" s="262" t="s">
        <v>68</v>
      </c>
      <c r="G126" s="268" t="s">
        <v>101</v>
      </c>
      <c r="H126" s="21" t="s">
        <v>46</v>
      </c>
      <c r="I126" s="30" t="s">
        <v>36</v>
      </c>
      <c r="J126" s="30" t="s">
        <v>111</v>
      </c>
      <c r="K126" s="262" t="s">
        <v>38</v>
      </c>
      <c r="L126" s="17"/>
      <c r="M126" s="18"/>
      <c r="N126" s="18"/>
      <c r="O126" s="18"/>
      <c r="P126" s="293"/>
      <c r="Q126" s="295"/>
      <c r="R126" s="294"/>
      <c r="S126" s="18"/>
      <c r="T126" s="293"/>
      <c r="U126" s="295"/>
      <c r="V126" s="294"/>
      <c r="W126" s="18"/>
      <c r="X126" s="18"/>
      <c r="Y126" s="18"/>
      <c r="Z126" s="18"/>
    </row>
    <row r="127" spans="1:26" ht="16.5" customHeight="1" x14ac:dyDescent="0.35">
      <c r="A127" s="217"/>
      <c r="B127" s="260"/>
      <c r="C127" s="217"/>
      <c r="D127" s="217"/>
      <c r="E127" s="217"/>
      <c r="F127" s="217"/>
      <c r="G127" s="240"/>
      <c r="H127" s="21" t="s">
        <v>55</v>
      </c>
      <c r="I127" s="30" t="s">
        <v>36</v>
      </c>
      <c r="J127" s="30" t="s">
        <v>111</v>
      </c>
      <c r="K127" s="217"/>
      <c r="L127" s="17"/>
      <c r="M127" s="18"/>
      <c r="N127" s="18"/>
      <c r="O127" s="18"/>
      <c r="P127" s="284"/>
      <c r="Q127" s="284"/>
      <c r="R127" s="284"/>
      <c r="S127" s="18"/>
      <c r="T127" s="284"/>
      <c r="U127" s="284"/>
      <c r="V127" s="284"/>
      <c r="W127" s="18"/>
      <c r="X127" s="18"/>
      <c r="Y127" s="18"/>
      <c r="Z127" s="18"/>
    </row>
    <row r="128" spans="1:26" ht="16.5" customHeight="1" x14ac:dyDescent="0.35">
      <c r="A128" s="263" t="s">
        <v>72</v>
      </c>
      <c r="B128" s="221"/>
      <c r="C128" s="221"/>
      <c r="D128" s="222"/>
      <c r="E128" s="55">
        <f>SUM(E112:E127)</f>
        <v>16.5</v>
      </c>
      <c r="F128" s="286"/>
      <c r="G128" s="221"/>
      <c r="H128" s="221"/>
      <c r="I128" s="221"/>
      <c r="J128" s="221"/>
      <c r="K128" s="222"/>
      <c r="L128" s="17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6.5" customHeight="1" x14ac:dyDescent="0.35">
      <c r="A129" s="273">
        <v>8</v>
      </c>
      <c r="B129" s="247" t="s">
        <v>157</v>
      </c>
      <c r="C129" s="267" t="s">
        <v>109</v>
      </c>
      <c r="D129" s="262">
        <v>3</v>
      </c>
      <c r="E129" s="261">
        <v>3</v>
      </c>
      <c r="F129" s="262" t="s">
        <v>158</v>
      </c>
      <c r="G129" s="262" t="s">
        <v>34</v>
      </c>
      <c r="H129" s="21" t="s">
        <v>35</v>
      </c>
      <c r="I129" s="21" t="s">
        <v>40</v>
      </c>
      <c r="J129" s="21" t="s">
        <v>78</v>
      </c>
      <c r="K129" s="262" t="s">
        <v>54</v>
      </c>
      <c r="L129" s="17"/>
      <c r="M129" s="18"/>
      <c r="N129" s="18"/>
      <c r="O129" s="18"/>
      <c r="P129" s="293"/>
      <c r="Q129" s="295"/>
      <c r="R129" s="294"/>
      <c r="S129" s="18"/>
      <c r="T129" s="293"/>
      <c r="U129" s="295"/>
      <c r="V129" s="294"/>
      <c r="W129" s="18"/>
      <c r="X129" s="18"/>
      <c r="Y129" s="18"/>
      <c r="Z129" s="18"/>
    </row>
    <row r="130" spans="1:26" ht="16.5" customHeight="1" x14ac:dyDescent="0.35">
      <c r="A130" s="236"/>
      <c r="B130" s="230"/>
      <c r="C130" s="250"/>
      <c r="D130" s="217"/>
      <c r="E130" s="217"/>
      <c r="F130" s="217"/>
      <c r="G130" s="217"/>
      <c r="H130" s="21" t="s">
        <v>48</v>
      </c>
      <c r="I130" s="21" t="s">
        <v>44</v>
      </c>
      <c r="J130" s="21" t="s">
        <v>152</v>
      </c>
      <c r="K130" s="217"/>
      <c r="L130" s="46"/>
      <c r="M130" s="56"/>
      <c r="N130" s="56"/>
      <c r="O130" s="56"/>
      <c r="P130" s="284"/>
      <c r="Q130" s="284"/>
      <c r="R130" s="284"/>
      <c r="S130" s="18"/>
      <c r="T130" s="284"/>
      <c r="U130" s="284"/>
      <c r="V130" s="284"/>
      <c r="W130" s="18"/>
      <c r="X130" s="18"/>
      <c r="Y130" s="18"/>
      <c r="Z130" s="18"/>
    </row>
    <row r="131" spans="1:26" ht="16.5" customHeight="1" x14ac:dyDescent="0.35">
      <c r="A131" s="236"/>
      <c r="B131" s="230"/>
      <c r="C131" s="267" t="s">
        <v>109</v>
      </c>
      <c r="D131" s="262">
        <v>3</v>
      </c>
      <c r="E131" s="261">
        <v>3</v>
      </c>
      <c r="F131" s="262" t="s">
        <v>75</v>
      </c>
      <c r="G131" s="262" t="s">
        <v>42</v>
      </c>
      <c r="H131" s="21" t="s">
        <v>46</v>
      </c>
      <c r="I131" s="21" t="s">
        <v>36</v>
      </c>
      <c r="J131" s="21" t="s">
        <v>159</v>
      </c>
      <c r="K131" s="262" t="s">
        <v>54</v>
      </c>
      <c r="L131" s="17"/>
      <c r="M131" s="18"/>
      <c r="N131" s="18"/>
      <c r="O131" s="18"/>
      <c r="P131" s="293"/>
      <c r="Q131" s="295"/>
      <c r="R131" s="294"/>
      <c r="S131" s="18"/>
      <c r="T131" s="293"/>
      <c r="U131" s="295"/>
      <c r="V131" s="294"/>
      <c r="W131" s="18"/>
      <c r="X131" s="18"/>
      <c r="Y131" s="18"/>
      <c r="Z131" s="18"/>
    </row>
    <row r="132" spans="1:26" ht="16.5" customHeight="1" x14ac:dyDescent="0.35">
      <c r="A132" s="236"/>
      <c r="B132" s="230"/>
      <c r="C132" s="250"/>
      <c r="D132" s="217"/>
      <c r="E132" s="217"/>
      <c r="F132" s="217"/>
      <c r="G132" s="217"/>
      <c r="H132" s="21" t="s">
        <v>55</v>
      </c>
      <c r="I132" s="21" t="s">
        <v>44</v>
      </c>
      <c r="J132" s="21" t="s">
        <v>152</v>
      </c>
      <c r="K132" s="217"/>
      <c r="L132" s="17"/>
      <c r="M132" s="18"/>
      <c r="N132" s="18"/>
      <c r="O132" s="18"/>
      <c r="P132" s="284"/>
      <c r="Q132" s="284"/>
      <c r="R132" s="284"/>
      <c r="S132" s="18"/>
      <c r="T132" s="284"/>
      <c r="U132" s="284"/>
      <c r="V132" s="284"/>
      <c r="W132" s="18"/>
      <c r="X132" s="18"/>
      <c r="Y132" s="18"/>
      <c r="Z132" s="18"/>
    </row>
    <row r="133" spans="1:26" ht="16.5" customHeight="1" x14ac:dyDescent="0.35">
      <c r="A133" s="236"/>
      <c r="B133" s="230"/>
      <c r="C133" s="267" t="s">
        <v>109</v>
      </c>
      <c r="D133" s="262">
        <v>3</v>
      </c>
      <c r="E133" s="261">
        <v>3</v>
      </c>
      <c r="F133" s="262" t="s">
        <v>75</v>
      </c>
      <c r="G133" s="262" t="s">
        <v>34</v>
      </c>
      <c r="H133" s="21" t="s">
        <v>35</v>
      </c>
      <c r="I133" s="21" t="s">
        <v>44</v>
      </c>
      <c r="J133" s="21" t="s">
        <v>78</v>
      </c>
      <c r="K133" s="262" t="s">
        <v>54</v>
      </c>
      <c r="L133" s="17"/>
      <c r="M133" s="18"/>
      <c r="N133" s="18"/>
      <c r="O133" s="18"/>
      <c r="P133" s="293"/>
      <c r="Q133" s="295"/>
      <c r="R133" s="294"/>
      <c r="S133" s="18"/>
      <c r="T133" s="293"/>
      <c r="U133" s="295"/>
      <c r="V133" s="294"/>
      <c r="W133" s="18"/>
      <c r="X133" s="18"/>
      <c r="Y133" s="18"/>
      <c r="Z133" s="18"/>
    </row>
    <row r="134" spans="1:26" ht="16.5" customHeight="1" x14ac:dyDescent="0.35">
      <c r="A134" s="236"/>
      <c r="B134" s="230"/>
      <c r="C134" s="271"/>
      <c r="D134" s="219"/>
      <c r="E134" s="219"/>
      <c r="F134" s="219"/>
      <c r="G134" s="219"/>
      <c r="H134" s="38" t="s">
        <v>48</v>
      </c>
      <c r="I134" s="21" t="s">
        <v>40</v>
      </c>
      <c r="J134" s="57" t="s">
        <v>160</v>
      </c>
      <c r="K134" s="219"/>
      <c r="L134" s="46"/>
      <c r="M134" s="56"/>
      <c r="N134" s="56"/>
      <c r="O134" s="56"/>
      <c r="P134" s="284"/>
      <c r="Q134" s="284"/>
      <c r="R134" s="284"/>
      <c r="S134" s="18"/>
      <c r="T134" s="284"/>
      <c r="U134" s="284"/>
      <c r="V134" s="284"/>
      <c r="W134" s="18"/>
      <c r="X134" s="18"/>
      <c r="Y134" s="18"/>
      <c r="Z134" s="18"/>
    </row>
    <row r="135" spans="1:26" ht="16.5" customHeight="1" x14ac:dyDescent="0.35">
      <c r="A135" s="236"/>
      <c r="B135" s="230"/>
      <c r="C135" s="267" t="s">
        <v>161</v>
      </c>
      <c r="D135" s="262">
        <v>2</v>
      </c>
      <c r="E135" s="261">
        <v>2</v>
      </c>
      <c r="F135" s="262" t="s">
        <v>75</v>
      </c>
      <c r="G135" s="262" t="s">
        <v>162</v>
      </c>
      <c r="H135" s="21" t="s">
        <v>46</v>
      </c>
      <c r="I135" s="21" t="s">
        <v>52</v>
      </c>
      <c r="J135" s="21" t="s">
        <v>163</v>
      </c>
      <c r="K135" s="262" t="s">
        <v>54</v>
      </c>
      <c r="L135" s="17"/>
      <c r="M135" s="18"/>
      <c r="N135" s="18"/>
      <c r="O135" s="18"/>
      <c r="P135" s="293"/>
      <c r="Q135" s="295"/>
      <c r="R135" s="294"/>
      <c r="S135" s="18"/>
      <c r="T135" s="293"/>
      <c r="U135" s="295"/>
      <c r="V135" s="294"/>
      <c r="W135" s="18"/>
      <c r="X135" s="18"/>
      <c r="Y135" s="18"/>
      <c r="Z135" s="18"/>
    </row>
    <row r="136" spans="1:26" ht="16.5" customHeight="1" x14ac:dyDescent="0.35">
      <c r="A136" s="236"/>
      <c r="B136" s="230"/>
      <c r="C136" s="250"/>
      <c r="D136" s="217"/>
      <c r="E136" s="217"/>
      <c r="F136" s="217"/>
      <c r="G136" s="217"/>
      <c r="H136" s="21" t="s">
        <v>39</v>
      </c>
      <c r="I136" s="21" t="s">
        <v>59</v>
      </c>
      <c r="J136" s="21" t="s">
        <v>163</v>
      </c>
      <c r="K136" s="217"/>
      <c r="L136" s="17"/>
      <c r="M136" s="18"/>
      <c r="N136" s="18"/>
      <c r="O136" s="18"/>
      <c r="P136" s="284"/>
      <c r="Q136" s="284"/>
      <c r="R136" s="284"/>
      <c r="S136" s="18"/>
      <c r="T136" s="284"/>
      <c r="U136" s="284"/>
      <c r="V136" s="284"/>
      <c r="W136" s="18"/>
      <c r="X136" s="18"/>
      <c r="Y136" s="18"/>
      <c r="Z136" s="18"/>
    </row>
    <row r="137" spans="1:26" ht="16.5" customHeight="1" x14ac:dyDescent="0.35">
      <c r="A137" s="236"/>
      <c r="B137" s="230"/>
      <c r="C137" s="267" t="s">
        <v>161</v>
      </c>
      <c r="D137" s="262">
        <v>2</v>
      </c>
      <c r="E137" s="261">
        <v>2</v>
      </c>
      <c r="F137" s="262" t="s">
        <v>75</v>
      </c>
      <c r="G137" s="262" t="s">
        <v>164</v>
      </c>
      <c r="H137" s="21" t="s">
        <v>35</v>
      </c>
      <c r="I137" s="21" t="s">
        <v>56</v>
      </c>
      <c r="J137" s="21" t="s">
        <v>165</v>
      </c>
      <c r="K137" s="262" t="s">
        <v>54</v>
      </c>
      <c r="L137" s="17"/>
      <c r="M137" s="18"/>
      <c r="N137" s="18"/>
      <c r="O137" s="18"/>
      <c r="P137" s="293"/>
      <c r="Q137" s="295"/>
      <c r="R137" s="294"/>
      <c r="S137" s="18"/>
      <c r="T137" s="293"/>
      <c r="U137" s="295"/>
      <c r="V137" s="294"/>
      <c r="W137" s="18"/>
      <c r="X137" s="18"/>
      <c r="Y137" s="18"/>
      <c r="Z137" s="18"/>
    </row>
    <row r="138" spans="1:26" ht="16.5" customHeight="1" x14ac:dyDescent="0.35">
      <c r="A138" s="236"/>
      <c r="B138" s="230"/>
      <c r="C138" s="250"/>
      <c r="D138" s="217"/>
      <c r="E138" s="217"/>
      <c r="F138" s="217"/>
      <c r="G138" s="217"/>
      <c r="H138" s="21" t="s">
        <v>55</v>
      </c>
      <c r="I138" s="21" t="s">
        <v>52</v>
      </c>
      <c r="J138" s="21" t="s">
        <v>163</v>
      </c>
      <c r="K138" s="217"/>
      <c r="L138" s="17"/>
      <c r="M138" s="18"/>
      <c r="N138" s="18"/>
      <c r="O138" s="18"/>
      <c r="P138" s="284"/>
      <c r="Q138" s="284"/>
      <c r="R138" s="284"/>
      <c r="S138" s="18"/>
      <c r="T138" s="284"/>
      <c r="U138" s="284"/>
      <c r="V138" s="284"/>
      <c r="W138" s="18"/>
      <c r="X138" s="18"/>
      <c r="Y138" s="18"/>
      <c r="Z138" s="18"/>
    </row>
    <row r="139" spans="1:26" ht="16.5" customHeight="1" x14ac:dyDescent="0.35">
      <c r="A139" s="236"/>
      <c r="B139" s="230"/>
      <c r="C139" s="264" t="s">
        <v>166</v>
      </c>
      <c r="D139" s="265">
        <v>3</v>
      </c>
      <c r="E139" s="266">
        <v>1.5</v>
      </c>
      <c r="F139" s="262" t="s">
        <v>63</v>
      </c>
      <c r="G139" s="265" t="s">
        <v>64</v>
      </c>
      <c r="H139" s="50" t="s">
        <v>48</v>
      </c>
      <c r="I139" s="50" t="s">
        <v>36</v>
      </c>
      <c r="J139" s="50" t="s">
        <v>78</v>
      </c>
      <c r="K139" s="265" t="s">
        <v>54</v>
      </c>
      <c r="L139" s="17"/>
      <c r="M139" s="18"/>
      <c r="N139" s="18"/>
      <c r="O139" s="18"/>
      <c r="P139" s="293"/>
      <c r="Q139" s="295"/>
      <c r="R139" s="294"/>
      <c r="S139" s="18"/>
      <c r="T139" s="293"/>
      <c r="U139" s="295"/>
      <c r="V139" s="294"/>
      <c r="W139" s="18"/>
      <c r="X139" s="18"/>
      <c r="Y139" s="18"/>
      <c r="Z139" s="18"/>
    </row>
    <row r="140" spans="1:26" ht="16.5" customHeight="1" x14ac:dyDescent="0.35">
      <c r="A140" s="237"/>
      <c r="B140" s="219"/>
      <c r="C140" s="219"/>
      <c r="D140" s="219"/>
      <c r="E140" s="217"/>
      <c r="F140" s="217"/>
      <c r="G140" s="217"/>
      <c r="H140" s="21" t="s">
        <v>55</v>
      </c>
      <c r="I140" s="50" t="s">
        <v>36</v>
      </c>
      <c r="J140" s="21" t="s">
        <v>65</v>
      </c>
      <c r="K140" s="217"/>
      <c r="L140" s="17"/>
      <c r="M140" s="18"/>
      <c r="N140" s="18"/>
      <c r="O140" s="18"/>
      <c r="P140" s="284"/>
      <c r="Q140" s="284"/>
      <c r="R140" s="284"/>
      <c r="S140" s="18"/>
      <c r="T140" s="284"/>
      <c r="U140" s="284"/>
      <c r="V140" s="284"/>
      <c r="W140" s="18"/>
      <c r="X140" s="18"/>
      <c r="Y140" s="18"/>
      <c r="Z140" s="18"/>
    </row>
    <row r="141" spans="1:26" ht="16.5" customHeight="1" x14ac:dyDescent="0.35">
      <c r="A141" s="263" t="s">
        <v>72</v>
      </c>
      <c r="B141" s="221"/>
      <c r="C141" s="221"/>
      <c r="D141" s="222"/>
      <c r="E141" s="58">
        <f>SUM(E129:E140)</f>
        <v>14.5</v>
      </c>
      <c r="F141" s="286"/>
      <c r="G141" s="221"/>
      <c r="H141" s="221"/>
      <c r="I141" s="221"/>
      <c r="J141" s="221"/>
      <c r="K141" s="222"/>
      <c r="L141" s="17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6.5" customHeight="1" x14ac:dyDescent="0.35">
      <c r="A142" s="246">
        <v>9</v>
      </c>
      <c r="B142" s="247" t="s">
        <v>167</v>
      </c>
      <c r="C142" s="264" t="s">
        <v>168</v>
      </c>
      <c r="D142" s="265">
        <v>3</v>
      </c>
      <c r="E142" s="261">
        <v>1.5</v>
      </c>
      <c r="F142" s="262" t="s">
        <v>75</v>
      </c>
      <c r="G142" s="262" t="s">
        <v>136</v>
      </c>
      <c r="H142" s="21" t="s">
        <v>46</v>
      </c>
      <c r="I142" s="21" t="s">
        <v>91</v>
      </c>
      <c r="J142" s="21" t="s">
        <v>65</v>
      </c>
      <c r="K142" s="262" t="s">
        <v>54</v>
      </c>
      <c r="L142" s="17"/>
      <c r="M142" s="18"/>
      <c r="N142" s="18"/>
      <c r="O142" s="18"/>
      <c r="P142" s="293"/>
      <c r="Q142" s="295"/>
      <c r="R142" s="294"/>
      <c r="S142" s="18"/>
      <c r="T142" s="293"/>
      <c r="U142" s="295"/>
      <c r="V142" s="294"/>
      <c r="W142" s="18"/>
      <c r="X142" s="18"/>
      <c r="Y142" s="18"/>
      <c r="Z142" s="18"/>
    </row>
    <row r="143" spans="1:26" ht="16.5" customHeight="1" x14ac:dyDescent="0.35">
      <c r="A143" s="230"/>
      <c r="B143" s="230"/>
      <c r="C143" s="217"/>
      <c r="D143" s="217"/>
      <c r="E143" s="217"/>
      <c r="F143" s="217"/>
      <c r="G143" s="217"/>
      <c r="H143" s="21" t="s">
        <v>55</v>
      </c>
      <c r="I143" s="21" t="s">
        <v>36</v>
      </c>
      <c r="J143" s="21" t="s">
        <v>152</v>
      </c>
      <c r="K143" s="217"/>
      <c r="L143" s="17"/>
      <c r="M143" s="18"/>
      <c r="N143" s="18"/>
      <c r="O143" s="18"/>
      <c r="P143" s="284"/>
      <c r="Q143" s="284"/>
      <c r="R143" s="284"/>
      <c r="S143" s="18"/>
      <c r="T143" s="284"/>
      <c r="U143" s="284"/>
      <c r="V143" s="284"/>
      <c r="W143" s="18"/>
      <c r="X143" s="18"/>
      <c r="Y143" s="18"/>
      <c r="Z143" s="18"/>
    </row>
    <row r="144" spans="1:26" ht="16.5" customHeight="1" x14ac:dyDescent="0.35">
      <c r="A144" s="230"/>
      <c r="B144" s="230"/>
      <c r="C144" s="251" t="s">
        <v>168</v>
      </c>
      <c r="D144" s="262">
        <v>3</v>
      </c>
      <c r="E144" s="261">
        <v>1.5</v>
      </c>
      <c r="F144" s="262" t="s">
        <v>75</v>
      </c>
      <c r="G144" s="262" t="s">
        <v>76</v>
      </c>
      <c r="H144" s="21" t="s">
        <v>39</v>
      </c>
      <c r="I144" s="21" t="s">
        <v>66</v>
      </c>
      <c r="J144" s="21" t="s">
        <v>132</v>
      </c>
      <c r="K144" s="262" t="s">
        <v>54</v>
      </c>
      <c r="L144" s="17"/>
      <c r="M144" s="18"/>
      <c r="N144" s="18"/>
      <c r="O144" s="18"/>
      <c r="P144" s="293"/>
      <c r="Q144" s="295"/>
      <c r="R144" s="294"/>
      <c r="S144" s="18"/>
      <c r="T144" s="293"/>
      <c r="U144" s="295"/>
      <c r="V144" s="294"/>
      <c r="W144" s="18"/>
      <c r="X144" s="18"/>
      <c r="Y144" s="18"/>
      <c r="Z144" s="18"/>
    </row>
    <row r="145" spans="1:26" ht="16.5" customHeight="1" x14ac:dyDescent="0.35">
      <c r="A145" s="230"/>
      <c r="B145" s="230"/>
      <c r="C145" s="217"/>
      <c r="D145" s="217"/>
      <c r="E145" s="217"/>
      <c r="F145" s="217"/>
      <c r="G145" s="217"/>
      <c r="H145" s="21" t="s">
        <v>48</v>
      </c>
      <c r="I145" s="21" t="s">
        <v>40</v>
      </c>
      <c r="J145" s="21" t="s">
        <v>169</v>
      </c>
      <c r="K145" s="217"/>
      <c r="L145" s="17"/>
      <c r="M145" s="18"/>
      <c r="N145" s="18"/>
      <c r="O145" s="18"/>
      <c r="P145" s="284"/>
      <c r="Q145" s="284"/>
      <c r="R145" s="284"/>
      <c r="S145" s="18"/>
      <c r="T145" s="284"/>
      <c r="U145" s="284"/>
      <c r="V145" s="284"/>
      <c r="W145" s="18"/>
      <c r="X145" s="18"/>
      <c r="Y145" s="18"/>
      <c r="Z145" s="18"/>
    </row>
    <row r="146" spans="1:26" ht="16.5" customHeight="1" x14ac:dyDescent="0.35">
      <c r="A146" s="230"/>
      <c r="B146" s="230"/>
      <c r="C146" s="251" t="s">
        <v>168</v>
      </c>
      <c r="D146" s="262">
        <v>3</v>
      </c>
      <c r="E146" s="261">
        <v>1.5</v>
      </c>
      <c r="F146" s="262" t="s">
        <v>75</v>
      </c>
      <c r="G146" s="262" t="s">
        <v>79</v>
      </c>
      <c r="H146" s="21" t="s">
        <v>46</v>
      </c>
      <c r="I146" s="21" t="s">
        <v>36</v>
      </c>
      <c r="J146" s="21" t="s">
        <v>170</v>
      </c>
      <c r="K146" s="262" t="s">
        <v>54</v>
      </c>
      <c r="L146" s="17"/>
      <c r="M146" s="18"/>
      <c r="N146" s="18"/>
      <c r="O146" s="18"/>
      <c r="P146" s="293"/>
      <c r="Q146" s="295"/>
      <c r="R146" s="294"/>
      <c r="S146" s="18"/>
      <c r="T146" s="293"/>
      <c r="U146" s="295"/>
      <c r="V146" s="294"/>
      <c r="W146" s="18"/>
      <c r="X146" s="18"/>
      <c r="Y146" s="18"/>
      <c r="Z146" s="18"/>
    </row>
    <row r="147" spans="1:26" ht="16.5" customHeight="1" x14ac:dyDescent="0.35">
      <c r="A147" s="230"/>
      <c r="B147" s="230"/>
      <c r="C147" s="217"/>
      <c r="D147" s="217"/>
      <c r="E147" s="217"/>
      <c r="F147" s="217"/>
      <c r="G147" s="217"/>
      <c r="H147" s="21" t="s">
        <v>55</v>
      </c>
      <c r="I147" s="21" t="s">
        <v>44</v>
      </c>
      <c r="J147" s="21" t="s">
        <v>169</v>
      </c>
      <c r="K147" s="217"/>
      <c r="L147" s="46"/>
      <c r="M147" s="56"/>
      <c r="N147" s="56"/>
      <c r="O147" s="56"/>
      <c r="P147" s="284"/>
      <c r="Q147" s="284"/>
      <c r="R147" s="284"/>
      <c r="S147" s="18"/>
      <c r="T147" s="284"/>
      <c r="U147" s="284"/>
      <c r="V147" s="284"/>
      <c r="W147" s="18"/>
      <c r="X147" s="18"/>
      <c r="Y147" s="18"/>
      <c r="Z147" s="18"/>
    </row>
    <row r="148" spans="1:26" ht="16.5" customHeight="1" x14ac:dyDescent="0.35">
      <c r="A148" s="230"/>
      <c r="B148" s="230"/>
      <c r="C148" s="251" t="s">
        <v>171</v>
      </c>
      <c r="D148" s="262">
        <v>2</v>
      </c>
      <c r="E148" s="261">
        <v>1</v>
      </c>
      <c r="F148" s="262" t="s">
        <v>75</v>
      </c>
      <c r="G148" s="262" t="s">
        <v>90</v>
      </c>
      <c r="H148" s="21" t="s">
        <v>35</v>
      </c>
      <c r="I148" s="21" t="s">
        <v>82</v>
      </c>
      <c r="J148" s="35" t="s">
        <v>149</v>
      </c>
      <c r="K148" s="262" t="s">
        <v>38</v>
      </c>
      <c r="L148" s="17"/>
      <c r="M148" s="18"/>
      <c r="N148" s="18"/>
      <c r="O148" s="18"/>
      <c r="P148" s="293"/>
      <c r="Q148" s="295"/>
      <c r="R148" s="294"/>
      <c r="S148" s="18"/>
      <c r="T148" s="293"/>
      <c r="U148" s="295"/>
      <c r="V148" s="294"/>
      <c r="W148" s="18"/>
      <c r="X148" s="18"/>
      <c r="Y148" s="18"/>
      <c r="Z148" s="18"/>
    </row>
    <row r="149" spans="1:26" ht="16.5" customHeight="1" x14ac:dyDescent="0.35">
      <c r="A149" s="217"/>
      <c r="B149" s="217"/>
      <c r="C149" s="219"/>
      <c r="D149" s="219"/>
      <c r="E149" s="219"/>
      <c r="F149" s="219"/>
      <c r="G149" s="219"/>
      <c r="H149" s="38" t="s">
        <v>48</v>
      </c>
      <c r="I149" s="38" t="s">
        <v>56</v>
      </c>
      <c r="J149" s="57" t="s">
        <v>172</v>
      </c>
      <c r="K149" s="219"/>
      <c r="L149" s="17"/>
      <c r="M149" s="18"/>
      <c r="N149" s="18"/>
      <c r="O149" s="18"/>
      <c r="P149" s="284"/>
      <c r="Q149" s="284"/>
      <c r="R149" s="284"/>
      <c r="S149" s="18"/>
      <c r="T149" s="284"/>
      <c r="U149" s="284"/>
      <c r="V149" s="284"/>
      <c r="W149" s="18"/>
      <c r="X149" s="18"/>
      <c r="Y149" s="18"/>
      <c r="Z149" s="18"/>
    </row>
    <row r="150" spans="1:26" ht="16.5" customHeight="1" x14ac:dyDescent="0.35">
      <c r="A150" s="59"/>
      <c r="B150" s="59"/>
      <c r="C150" s="60"/>
      <c r="D150" s="61"/>
      <c r="E150" s="62"/>
      <c r="F150" s="61"/>
      <c r="G150" s="61"/>
      <c r="H150" s="63"/>
      <c r="I150" s="63"/>
      <c r="J150" s="64"/>
      <c r="K150" s="61"/>
      <c r="L150" s="17"/>
      <c r="M150" s="18"/>
      <c r="N150" s="18"/>
      <c r="O150" s="18"/>
      <c r="P150" s="7"/>
      <c r="Q150" s="7"/>
      <c r="R150" s="7"/>
      <c r="S150" s="18"/>
      <c r="T150" s="7"/>
      <c r="U150" s="7"/>
      <c r="V150" s="7"/>
      <c r="W150" s="18"/>
      <c r="X150" s="18"/>
      <c r="Y150" s="18"/>
      <c r="Z150" s="18"/>
    </row>
    <row r="151" spans="1:26" ht="16.5" customHeight="1" x14ac:dyDescent="0.35">
      <c r="A151" s="65"/>
      <c r="B151" s="65"/>
      <c r="C151" s="66"/>
      <c r="D151" s="67"/>
      <c r="E151" s="68"/>
      <c r="F151" s="67"/>
      <c r="G151" s="67"/>
      <c r="H151" s="52"/>
      <c r="I151" s="52"/>
      <c r="J151" s="69"/>
      <c r="K151" s="67"/>
      <c r="L151" s="17"/>
      <c r="M151" s="18"/>
      <c r="N151" s="18"/>
      <c r="O151" s="18"/>
      <c r="P151" s="7"/>
      <c r="Q151" s="7"/>
      <c r="R151" s="7"/>
      <c r="S151" s="18"/>
      <c r="T151" s="7"/>
      <c r="U151" s="7"/>
      <c r="V151" s="7"/>
      <c r="W151" s="18"/>
      <c r="X151" s="18"/>
      <c r="Y151" s="18"/>
      <c r="Z151" s="18"/>
    </row>
    <row r="152" spans="1:26" ht="16.5" customHeight="1" x14ac:dyDescent="0.35">
      <c r="A152" s="65"/>
      <c r="B152" s="65"/>
      <c r="C152" s="66"/>
      <c r="D152" s="67"/>
      <c r="E152" s="68"/>
      <c r="F152" s="67"/>
      <c r="G152" s="67"/>
      <c r="H152" s="52"/>
      <c r="I152" s="52"/>
      <c r="J152" s="69"/>
      <c r="K152" s="67"/>
      <c r="L152" s="17"/>
      <c r="M152" s="18"/>
      <c r="N152" s="18"/>
      <c r="O152" s="18"/>
      <c r="P152" s="7"/>
      <c r="Q152" s="7"/>
      <c r="R152" s="7"/>
      <c r="S152" s="18"/>
      <c r="T152" s="7"/>
      <c r="U152" s="7"/>
      <c r="V152" s="7"/>
      <c r="W152" s="18"/>
      <c r="X152" s="18"/>
      <c r="Y152" s="18"/>
      <c r="Z152" s="18"/>
    </row>
    <row r="153" spans="1:26" ht="16.5" customHeight="1" x14ac:dyDescent="0.35">
      <c r="A153" s="65"/>
      <c r="B153" s="65"/>
      <c r="C153" s="66"/>
      <c r="D153" s="67"/>
      <c r="E153" s="68"/>
      <c r="F153" s="67"/>
      <c r="G153" s="67"/>
      <c r="H153" s="52"/>
      <c r="I153" s="52"/>
      <c r="J153" s="69"/>
      <c r="K153" s="67"/>
      <c r="L153" s="17"/>
      <c r="M153" s="18"/>
      <c r="N153" s="18"/>
      <c r="O153" s="18"/>
      <c r="P153" s="7"/>
      <c r="Q153" s="7"/>
      <c r="R153" s="7"/>
      <c r="S153" s="18"/>
      <c r="T153" s="7"/>
      <c r="U153" s="7"/>
      <c r="V153" s="7"/>
      <c r="W153" s="18"/>
      <c r="X153" s="18"/>
      <c r="Y153" s="18"/>
      <c r="Z153" s="18"/>
    </row>
    <row r="154" spans="1:26" ht="16.5" customHeight="1" x14ac:dyDescent="0.35">
      <c r="A154" s="65"/>
      <c r="B154" s="65"/>
      <c r="C154" s="66"/>
      <c r="D154" s="67"/>
      <c r="E154" s="68"/>
      <c r="F154" s="67"/>
      <c r="G154" s="67"/>
      <c r="H154" s="52"/>
      <c r="I154" s="52"/>
      <c r="J154" s="69"/>
      <c r="K154" s="67"/>
      <c r="L154" s="17"/>
      <c r="M154" s="18"/>
      <c r="N154" s="18"/>
      <c r="O154" s="18"/>
      <c r="P154" s="7"/>
      <c r="Q154" s="7"/>
      <c r="R154" s="7"/>
      <c r="S154" s="18"/>
      <c r="T154" s="7"/>
      <c r="U154" s="7"/>
      <c r="V154" s="7"/>
      <c r="W154" s="18"/>
      <c r="X154" s="18"/>
      <c r="Y154" s="18"/>
      <c r="Z154" s="18"/>
    </row>
    <row r="155" spans="1:26" ht="16.5" customHeight="1" x14ac:dyDescent="0.35">
      <c r="A155" s="223" t="s">
        <v>7</v>
      </c>
      <c r="B155" s="223" t="s">
        <v>8</v>
      </c>
      <c r="C155" s="223" t="s">
        <v>9</v>
      </c>
      <c r="D155" s="220" t="s">
        <v>10</v>
      </c>
      <c r="E155" s="222"/>
      <c r="F155" s="223" t="s">
        <v>11</v>
      </c>
      <c r="G155" s="223" t="s">
        <v>12</v>
      </c>
      <c r="H155" s="226" t="s">
        <v>13</v>
      </c>
      <c r="I155" s="221"/>
      <c r="J155" s="221"/>
      <c r="K155" s="222"/>
      <c r="L155" s="66"/>
      <c r="M155" s="18"/>
      <c r="N155" s="18"/>
      <c r="O155" s="18"/>
      <c r="P155" s="7"/>
      <c r="Q155" s="7"/>
      <c r="R155" s="7"/>
      <c r="S155" s="18"/>
      <c r="T155" s="7"/>
      <c r="U155" s="7"/>
      <c r="V155" s="7"/>
      <c r="W155" s="18"/>
      <c r="X155" s="18"/>
      <c r="Y155" s="18"/>
      <c r="Z155" s="18"/>
    </row>
    <row r="156" spans="1:26" ht="16.5" customHeight="1" x14ac:dyDescent="0.35">
      <c r="A156" s="217"/>
      <c r="B156" s="217"/>
      <c r="C156" s="217"/>
      <c r="D156" s="70" t="s">
        <v>14</v>
      </c>
      <c r="E156" s="71" t="s">
        <v>15</v>
      </c>
      <c r="F156" s="217"/>
      <c r="G156" s="217"/>
      <c r="H156" s="70" t="s">
        <v>16</v>
      </c>
      <c r="I156" s="70" t="s">
        <v>17</v>
      </c>
      <c r="J156" s="70" t="s">
        <v>18</v>
      </c>
      <c r="K156" s="70" t="s">
        <v>19</v>
      </c>
      <c r="L156" s="66"/>
      <c r="M156" s="18"/>
      <c r="N156" s="18"/>
      <c r="O156" s="18"/>
      <c r="P156" s="7"/>
      <c r="Q156" s="7"/>
      <c r="R156" s="7"/>
      <c r="S156" s="18"/>
      <c r="T156" s="7"/>
      <c r="U156" s="7"/>
      <c r="V156" s="7"/>
      <c r="W156" s="18"/>
      <c r="X156" s="18"/>
      <c r="Y156" s="18"/>
      <c r="Z156" s="18"/>
    </row>
    <row r="157" spans="1:26" ht="16.5" customHeight="1" x14ac:dyDescent="0.35">
      <c r="A157" s="72" t="s">
        <v>20</v>
      </c>
      <c r="B157" s="73" t="s">
        <v>21</v>
      </c>
      <c r="C157" s="73" t="s">
        <v>22</v>
      </c>
      <c r="D157" s="70" t="s">
        <v>23</v>
      </c>
      <c r="E157" s="71" t="s">
        <v>24</v>
      </c>
      <c r="F157" s="70" t="s">
        <v>25</v>
      </c>
      <c r="G157" s="70" t="s">
        <v>26</v>
      </c>
      <c r="H157" s="70" t="s">
        <v>27</v>
      </c>
      <c r="I157" s="70" t="s">
        <v>28</v>
      </c>
      <c r="J157" s="70" t="s">
        <v>29</v>
      </c>
      <c r="K157" s="70" t="s">
        <v>30</v>
      </c>
      <c r="L157" s="66"/>
      <c r="M157" s="18"/>
      <c r="N157" s="18"/>
      <c r="O157" s="18"/>
      <c r="P157" s="7"/>
      <c r="Q157" s="7"/>
      <c r="R157" s="7"/>
      <c r="S157" s="18"/>
      <c r="T157" s="7"/>
      <c r="U157" s="7"/>
      <c r="V157" s="7"/>
      <c r="W157" s="18"/>
      <c r="X157" s="18"/>
      <c r="Y157" s="18"/>
      <c r="Z157" s="18"/>
    </row>
    <row r="158" spans="1:26" ht="16.5" customHeight="1" x14ac:dyDescent="0.35">
      <c r="A158" s="229">
        <v>9</v>
      </c>
      <c r="B158" s="238" t="s">
        <v>167</v>
      </c>
      <c r="C158" s="227" t="s">
        <v>171</v>
      </c>
      <c r="D158" s="218">
        <v>2</v>
      </c>
      <c r="E158" s="216">
        <v>1</v>
      </c>
      <c r="F158" s="218" t="s">
        <v>75</v>
      </c>
      <c r="G158" s="218" t="s">
        <v>173</v>
      </c>
      <c r="H158" s="74" t="s">
        <v>46</v>
      </c>
      <c r="I158" s="74" t="s">
        <v>123</v>
      </c>
      <c r="J158" s="75" t="s">
        <v>152</v>
      </c>
      <c r="K158" s="218" t="s">
        <v>38</v>
      </c>
      <c r="L158" s="66"/>
      <c r="M158" s="18"/>
      <c r="N158" s="18"/>
      <c r="O158" s="18"/>
      <c r="P158" s="293"/>
      <c r="Q158" s="295"/>
      <c r="R158" s="294"/>
      <c r="S158" s="18"/>
      <c r="T158" s="293"/>
      <c r="U158" s="295"/>
      <c r="V158" s="294"/>
      <c r="W158" s="18"/>
      <c r="X158" s="18"/>
      <c r="Y158" s="18"/>
      <c r="Z158" s="18"/>
    </row>
    <row r="159" spans="1:26" ht="16.5" customHeight="1" x14ac:dyDescent="0.35">
      <c r="A159" s="230"/>
      <c r="B159" s="230"/>
      <c r="C159" s="217"/>
      <c r="D159" s="217"/>
      <c r="E159" s="217"/>
      <c r="F159" s="217"/>
      <c r="G159" s="217"/>
      <c r="H159" s="74" t="s">
        <v>48</v>
      </c>
      <c r="I159" s="74" t="s">
        <v>61</v>
      </c>
      <c r="J159" s="75" t="s">
        <v>174</v>
      </c>
      <c r="K159" s="217"/>
      <c r="L159" s="66"/>
      <c r="M159" s="18"/>
      <c r="N159" s="18"/>
      <c r="O159" s="18"/>
      <c r="P159" s="284"/>
      <c r="Q159" s="284"/>
      <c r="R159" s="284"/>
      <c r="S159" s="18"/>
      <c r="T159" s="284"/>
      <c r="U159" s="284"/>
      <c r="V159" s="284"/>
      <c r="W159" s="18"/>
      <c r="X159" s="18"/>
      <c r="Y159" s="18"/>
      <c r="Z159" s="18"/>
    </row>
    <row r="160" spans="1:26" ht="16.5" customHeight="1" x14ac:dyDescent="0.35">
      <c r="A160" s="230"/>
      <c r="B160" s="230"/>
      <c r="C160" s="227" t="s">
        <v>171</v>
      </c>
      <c r="D160" s="218">
        <v>2</v>
      </c>
      <c r="E160" s="216">
        <v>1</v>
      </c>
      <c r="F160" s="218" t="s">
        <v>75</v>
      </c>
      <c r="G160" s="218" t="s">
        <v>175</v>
      </c>
      <c r="H160" s="74" t="s">
        <v>46</v>
      </c>
      <c r="I160" s="74" t="s">
        <v>123</v>
      </c>
      <c r="J160" s="75" t="s">
        <v>176</v>
      </c>
      <c r="K160" s="218" t="s">
        <v>38</v>
      </c>
      <c r="L160" s="66"/>
      <c r="M160" s="18"/>
      <c r="N160" s="18"/>
      <c r="O160" s="18"/>
      <c r="P160" s="293"/>
      <c r="Q160" s="295"/>
      <c r="R160" s="294"/>
      <c r="S160" s="18"/>
      <c r="T160" s="293"/>
      <c r="U160" s="295"/>
      <c r="V160" s="294"/>
      <c r="W160" s="18"/>
      <c r="X160" s="18"/>
      <c r="Y160" s="18"/>
      <c r="Z160" s="18"/>
    </row>
    <row r="161" spans="1:26" ht="16.5" customHeight="1" x14ac:dyDescent="0.35">
      <c r="A161" s="230"/>
      <c r="B161" s="230"/>
      <c r="C161" s="217"/>
      <c r="D161" s="217"/>
      <c r="E161" s="217"/>
      <c r="F161" s="217"/>
      <c r="G161" s="217"/>
      <c r="H161" s="74" t="s">
        <v>55</v>
      </c>
      <c r="I161" s="74" t="s">
        <v>56</v>
      </c>
      <c r="J161" s="75" t="s">
        <v>41</v>
      </c>
      <c r="K161" s="217"/>
      <c r="L161" s="66"/>
      <c r="M161" s="18"/>
      <c r="N161" s="18"/>
      <c r="O161" s="18"/>
      <c r="P161" s="284"/>
      <c r="Q161" s="284"/>
      <c r="R161" s="284"/>
      <c r="S161" s="18"/>
      <c r="T161" s="284"/>
      <c r="U161" s="284"/>
      <c r="V161" s="284"/>
      <c r="W161" s="18"/>
      <c r="X161" s="18"/>
      <c r="Y161" s="18"/>
      <c r="Z161" s="18"/>
    </row>
    <row r="162" spans="1:26" ht="16.5" customHeight="1" x14ac:dyDescent="0.35">
      <c r="A162" s="230"/>
      <c r="B162" s="230"/>
      <c r="C162" s="227" t="s">
        <v>171</v>
      </c>
      <c r="D162" s="218">
        <v>2</v>
      </c>
      <c r="E162" s="216">
        <v>1</v>
      </c>
      <c r="F162" s="218" t="s">
        <v>75</v>
      </c>
      <c r="G162" s="218" t="s">
        <v>177</v>
      </c>
      <c r="H162" s="74" t="s">
        <v>46</v>
      </c>
      <c r="I162" s="74" t="s">
        <v>56</v>
      </c>
      <c r="J162" s="74" t="s">
        <v>78</v>
      </c>
      <c r="K162" s="218" t="s">
        <v>38</v>
      </c>
      <c r="L162" s="66"/>
      <c r="M162" s="18"/>
      <c r="N162" s="18"/>
      <c r="O162" s="18"/>
      <c r="P162" s="293"/>
      <c r="Q162" s="295"/>
      <c r="R162" s="294"/>
      <c r="S162" s="18"/>
      <c r="T162" s="293"/>
      <c r="U162" s="295"/>
      <c r="V162" s="294"/>
      <c r="W162" s="18"/>
      <c r="X162" s="18"/>
      <c r="Y162" s="18"/>
      <c r="Z162" s="18"/>
    </row>
    <row r="163" spans="1:26" ht="16.5" customHeight="1" x14ac:dyDescent="0.35">
      <c r="A163" s="230"/>
      <c r="B163" s="230"/>
      <c r="C163" s="217"/>
      <c r="D163" s="217"/>
      <c r="E163" s="217"/>
      <c r="F163" s="217"/>
      <c r="G163" s="217"/>
      <c r="H163" s="74" t="s">
        <v>55</v>
      </c>
      <c r="I163" s="74" t="s">
        <v>131</v>
      </c>
      <c r="J163" s="75" t="s">
        <v>47</v>
      </c>
      <c r="K163" s="217"/>
      <c r="L163" s="66"/>
      <c r="M163" s="18"/>
      <c r="N163" s="18"/>
      <c r="O163" s="18"/>
      <c r="P163" s="284"/>
      <c r="Q163" s="284"/>
      <c r="R163" s="284"/>
      <c r="S163" s="18"/>
      <c r="T163" s="284"/>
      <c r="U163" s="284"/>
      <c r="V163" s="284"/>
      <c r="W163" s="18"/>
      <c r="X163" s="18"/>
      <c r="Y163" s="18"/>
      <c r="Z163" s="18"/>
    </row>
    <row r="164" spans="1:26" ht="16.5" customHeight="1" x14ac:dyDescent="0.35">
      <c r="A164" s="230"/>
      <c r="B164" s="230"/>
      <c r="C164" s="227" t="s">
        <v>171</v>
      </c>
      <c r="D164" s="218">
        <v>2</v>
      </c>
      <c r="E164" s="216">
        <v>1</v>
      </c>
      <c r="F164" s="218" t="s">
        <v>75</v>
      </c>
      <c r="G164" s="218" t="s">
        <v>178</v>
      </c>
      <c r="H164" s="74" t="s">
        <v>35</v>
      </c>
      <c r="I164" s="74" t="s">
        <v>123</v>
      </c>
      <c r="J164" s="74" t="s">
        <v>53</v>
      </c>
      <c r="K164" s="218" t="s">
        <v>54</v>
      </c>
      <c r="L164" s="66"/>
      <c r="M164" s="18"/>
      <c r="N164" s="18"/>
      <c r="O164" s="18"/>
      <c r="P164" s="293"/>
      <c r="Q164" s="295"/>
      <c r="R164" s="294"/>
      <c r="S164" s="18"/>
      <c r="T164" s="293"/>
      <c r="U164" s="295"/>
      <c r="V164" s="294"/>
      <c r="W164" s="18"/>
      <c r="X164" s="18"/>
      <c r="Y164" s="18"/>
      <c r="Z164" s="18"/>
    </row>
    <row r="165" spans="1:26" ht="16.5" customHeight="1" x14ac:dyDescent="0.35">
      <c r="A165" s="230"/>
      <c r="B165" s="230"/>
      <c r="C165" s="217"/>
      <c r="D165" s="217"/>
      <c r="E165" s="217"/>
      <c r="F165" s="217"/>
      <c r="G165" s="217"/>
      <c r="H165" s="74" t="s">
        <v>55</v>
      </c>
      <c r="I165" s="74" t="s">
        <v>179</v>
      </c>
      <c r="J165" s="74" t="s">
        <v>110</v>
      </c>
      <c r="K165" s="217"/>
      <c r="L165" s="66"/>
      <c r="M165" s="18"/>
      <c r="N165" s="18"/>
      <c r="O165" s="18"/>
      <c r="P165" s="284"/>
      <c r="Q165" s="284"/>
      <c r="R165" s="284"/>
      <c r="S165" s="18"/>
      <c r="T165" s="284"/>
      <c r="U165" s="284"/>
      <c r="V165" s="284"/>
      <c r="W165" s="18"/>
      <c r="X165" s="18"/>
      <c r="Y165" s="18"/>
      <c r="Z165" s="18"/>
    </row>
    <row r="166" spans="1:26" ht="16.5" customHeight="1" x14ac:dyDescent="0.35">
      <c r="A166" s="230"/>
      <c r="B166" s="230"/>
      <c r="C166" s="227" t="s">
        <v>180</v>
      </c>
      <c r="D166" s="218">
        <v>3</v>
      </c>
      <c r="E166" s="216">
        <v>1</v>
      </c>
      <c r="F166" s="218" t="s">
        <v>63</v>
      </c>
      <c r="G166" s="218" t="s">
        <v>34</v>
      </c>
      <c r="H166" s="74" t="s">
        <v>35</v>
      </c>
      <c r="I166" s="74" t="s">
        <v>91</v>
      </c>
      <c r="J166" s="74" t="s">
        <v>53</v>
      </c>
      <c r="K166" s="218" t="s">
        <v>54</v>
      </c>
      <c r="L166" s="66"/>
      <c r="M166" s="18"/>
      <c r="N166" s="18"/>
      <c r="O166" s="18"/>
      <c r="P166" s="293"/>
      <c r="Q166" s="295"/>
      <c r="R166" s="294"/>
      <c r="S166" s="18"/>
      <c r="T166" s="293"/>
      <c r="U166" s="295"/>
      <c r="V166" s="294"/>
      <c r="W166" s="18"/>
      <c r="X166" s="18"/>
      <c r="Y166" s="18"/>
      <c r="Z166" s="18"/>
    </row>
    <row r="167" spans="1:26" ht="16.5" customHeight="1" x14ac:dyDescent="0.35">
      <c r="A167" s="230"/>
      <c r="B167" s="230"/>
      <c r="C167" s="217"/>
      <c r="D167" s="217"/>
      <c r="E167" s="217"/>
      <c r="F167" s="217"/>
      <c r="G167" s="217"/>
      <c r="H167" s="74" t="s">
        <v>39</v>
      </c>
      <c r="I167" s="74" t="s">
        <v>44</v>
      </c>
      <c r="J167" s="74" t="s">
        <v>53</v>
      </c>
      <c r="K167" s="217"/>
      <c r="L167" s="66"/>
      <c r="M167" s="18"/>
      <c r="N167" s="18"/>
      <c r="O167" s="18"/>
      <c r="P167" s="284"/>
      <c r="Q167" s="284"/>
      <c r="R167" s="284"/>
      <c r="S167" s="18"/>
      <c r="T167" s="284"/>
      <c r="U167" s="284"/>
      <c r="V167" s="284"/>
      <c r="W167" s="18"/>
      <c r="X167" s="18"/>
      <c r="Y167" s="18"/>
      <c r="Z167" s="18"/>
    </row>
    <row r="168" spans="1:26" ht="16.5" customHeight="1" x14ac:dyDescent="0.35">
      <c r="A168" s="230"/>
      <c r="B168" s="230"/>
      <c r="C168" s="227" t="s">
        <v>181</v>
      </c>
      <c r="D168" s="218">
        <v>2</v>
      </c>
      <c r="E168" s="216">
        <v>1</v>
      </c>
      <c r="F168" s="218" t="s">
        <v>63</v>
      </c>
      <c r="G168" s="218" t="s">
        <v>101</v>
      </c>
      <c r="H168" s="74" t="s">
        <v>35</v>
      </c>
      <c r="I168" s="74" t="s">
        <v>40</v>
      </c>
      <c r="J168" s="74" t="s">
        <v>169</v>
      </c>
      <c r="K168" s="218" t="s">
        <v>54</v>
      </c>
      <c r="L168" s="66"/>
      <c r="M168" s="18"/>
      <c r="N168" s="18"/>
      <c r="O168" s="18"/>
      <c r="P168" s="293"/>
      <c r="Q168" s="295"/>
      <c r="R168" s="294"/>
      <c r="S168" s="18"/>
      <c r="T168" s="293"/>
      <c r="U168" s="295"/>
      <c r="V168" s="294"/>
      <c r="W168" s="18"/>
      <c r="X168" s="18"/>
      <c r="Y168" s="18"/>
      <c r="Z168" s="18"/>
    </row>
    <row r="169" spans="1:26" ht="16.5" customHeight="1" x14ac:dyDescent="0.35">
      <c r="A169" s="230"/>
      <c r="B169" s="230"/>
      <c r="C169" s="217"/>
      <c r="D169" s="217"/>
      <c r="E169" s="217"/>
      <c r="F169" s="217"/>
      <c r="G169" s="217"/>
      <c r="H169" s="74" t="s">
        <v>46</v>
      </c>
      <c r="I169" s="74" t="s">
        <v>40</v>
      </c>
      <c r="J169" s="74" t="s">
        <v>149</v>
      </c>
      <c r="K169" s="217"/>
      <c r="L169" s="66"/>
      <c r="M169" s="18"/>
      <c r="N169" s="18"/>
      <c r="O169" s="18"/>
      <c r="P169" s="284"/>
      <c r="Q169" s="284"/>
      <c r="R169" s="284"/>
      <c r="S169" s="18"/>
      <c r="T169" s="284"/>
      <c r="U169" s="284"/>
      <c r="V169" s="284"/>
      <c r="W169" s="18"/>
      <c r="X169" s="18"/>
      <c r="Y169" s="18"/>
      <c r="Z169" s="18"/>
    </row>
    <row r="170" spans="1:26" ht="16.5" customHeight="1" x14ac:dyDescent="0.35">
      <c r="A170" s="230"/>
      <c r="B170" s="230"/>
      <c r="C170" s="227" t="s">
        <v>182</v>
      </c>
      <c r="D170" s="218">
        <v>3</v>
      </c>
      <c r="E170" s="216">
        <v>1.5</v>
      </c>
      <c r="F170" s="218" t="s">
        <v>68</v>
      </c>
      <c r="G170" s="218" t="s">
        <v>42</v>
      </c>
      <c r="H170" s="74" t="s">
        <v>35</v>
      </c>
      <c r="I170" s="76" t="s">
        <v>36</v>
      </c>
      <c r="J170" s="77" t="s">
        <v>110</v>
      </c>
      <c r="K170" s="218" t="s">
        <v>54</v>
      </c>
      <c r="L170" s="66"/>
      <c r="M170" s="18"/>
      <c r="N170" s="18"/>
      <c r="O170" s="18"/>
      <c r="P170" s="293"/>
      <c r="Q170" s="295"/>
      <c r="R170" s="294"/>
      <c r="S170" s="18"/>
      <c r="T170" s="293"/>
      <c r="U170" s="295"/>
      <c r="V170" s="294"/>
      <c r="W170" s="18"/>
      <c r="X170" s="18"/>
      <c r="Y170" s="18"/>
      <c r="Z170" s="18"/>
    </row>
    <row r="171" spans="1:26" ht="16.5" customHeight="1" x14ac:dyDescent="0.35">
      <c r="A171" s="230"/>
      <c r="B171" s="230"/>
      <c r="C171" s="217"/>
      <c r="D171" s="217"/>
      <c r="E171" s="217"/>
      <c r="F171" s="217"/>
      <c r="G171" s="217"/>
      <c r="H171" s="74" t="s">
        <v>48</v>
      </c>
      <c r="I171" s="76" t="s">
        <v>36</v>
      </c>
      <c r="J171" s="77" t="s">
        <v>110</v>
      </c>
      <c r="K171" s="217"/>
      <c r="L171" s="66"/>
      <c r="M171" s="18"/>
      <c r="N171" s="18"/>
      <c r="O171" s="18"/>
      <c r="P171" s="284"/>
      <c r="Q171" s="284"/>
      <c r="R171" s="284"/>
      <c r="S171" s="18"/>
      <c r="T171" s="284"/>
      <c r="U171" s="284"/>
      <c r="V171" s="284"/>
      <c r="W171" s="18"/>
      <c r="X171" s="18"/>
      <c r="Y171" s="18"/>
      <c r="Z171" s="18"/>
    </row>
    <row r="172" spans="1:26" ht="23.25" customHeight="1" x14ac:dyDescent="0.35">
      <c r="A172" s="230"/>
      <c r="B172" s="230"/>
      <c r="C172" s="227" t="s">
        <v>183</v>
      </c>
      <c r="D172" s="218">
        <v>3</v>
      </c>
      <c r="E172" s="216">
        <v>1.5</v>
      </c>
      <c r="F172" s="218" t="s">
        <v>68</v>
      </c>
      <c r="G172" s="218" t="s">
        <v>42</v>
      </c>
      <c r="H172" s="74" t="s">
        <v>35</v>
      </c>
      <c r="I172" s="76" t="s">
        <v>44</v>
      </c>
      <c r="J172" s="77" t="s">
        <v>110</v>
      </c>
      <c r="K172" s="218" t="s">
        <v>38</v>
      </c>
      <c r="L172" s="66"/>
      <c r="M172" s="18"/>
      <c r="N172" s="18"/>
      <c r="O172" s="18"/>
      <c r="P172" s="293"/>
      <c r="Q172" s="295"/>
      <c r="R172" s="294"/>
      <c r="S172" s="18"/>
      <c r="T172" s="293"/>
      <c r="U172" s="295"/>
      <c r="V172" s="294"/>
      <c r="W172" s="18"/>
      <c r="X172" s="18"/>
      <c r="Y172" s="18"/>
      <c r="Z172" s="18"/>
    </row>
    <row r="173" spans="1:26" ht="23.25" customHeight="1" x14ac:dyDescent="0.35">
      <c r="A173" s="230"/>
      <c r="B173" s="217"/>
      <c r="C173" s="217"/>
      <c r="D173" s="217"/>
      <c r="E173" s="217"/>
      <c r="F173" s="217"/>
      <c r="G173" s="217"/>
      <c r="H173" s="74" t="s">
        <v>48</v>
      </c>
      <c r="I173" s="76" t="s">
        <v>44</v>
      </c>
      <c r="J173" s="77" t="s">
        <v>110</v>
      </c>
      <c r="K173" s="217"/>
      <c r="L173" s="66"/>
      <c r="M173" s="18"/>
      <c r="N173" s="18"/>
      <c r="O173" s="18"/>
      <c r="P173" s="284"/>
      <c r="Q173" s="284"/>
      <c r="R173" s="284"/>
      <c r="S173" s="18"/>
      <c r="T173" s="284"/>
      <c r="U173" s="284"/>
      <c r="V173" s="284"/>
      <c r="W173" s="18"/>
      <c r="X173" s="18"/>
      <c r="Y173" s="18"/>
      <c r="Z173" s="18"/>
    </row>
    <row r="174" spans="1:26" ht="16.5" customHeight="1" x14ac:dyDescent="0.35">
      <c r="A174" s="217"/>
      <c r="B174" s="228" t="s">
        <v>72</v>
      </c>
      <c r="C174" s="221"/>
      <c r="D174" s="222"/>
      <c r="E174" s="71">
        <f>SUM(E142:E173)</f>
        <v>14.5</v>
      </c>
      <c r="F174" s="220"/>
      <c r="G174" s="221"/>
      <c r="H174" s="221"/>
      <c r="I174" s="221"/>
      <c r="J174" s="221"/>
      <c r="K174" s="222"/>
      <c r="L174" s="66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6.5" customHeight="1" x14ac:dyDescent="0.35">
      <c r="A175" s="229">
        <v>10</v>
      </c>
      <c r="B175" s="235" t="s">
        <v>184</v>
      </c>
      <c r="C175" s="227" t="s">
        <v>185</v>
      </c>
      <c r="D175" s="218">
        <v>3</v>
      </c>
      <c r="E175" s="216">
        <v>3</v>
      </c>
      <c r="F175" s="218" t="s">
        <v>75</v>
      </c>
      <c r="G175" s="218" t="s">
        <v>153</v>
      </c>
      <c r="H175" s="74" t="s">
        <v>35</v>
      </c>
      <c r="I175" s="74" t="s">
        <v>40</v>
      </c>
      <c r="J175" s="74" t="s">
        <v>160</v>
      </c>
      <c r="K175" s="218" t="s">
        <v>38</v>
      </c>
      <c r="L175" s="78" t="s">
        <v>475</v>
      </c>
      <c r="M175" s="46"/>
      <c r="N175" s="46" t="s">
        <v>80</v>
      </c>
      <c r="O175" s="46"/>
      <c r="P175" s="293"/>
      <c r="Q175" s="295"/>
      <c r="R175" s="294"/>
      <c r="S175" s="17"/>
      <c r="T175" s="293"/>
      <c r="U175" s="295"/>
      <c r="V175" s="294"/>
      <c r="W175" s="18"/>
      <c r="X175" s="18"/>
      <c r="Y175" s="18"/>
      <c r="Z175" s="18"/>
    </row>
    <row r="176" spans="1:26" ht="16.5" customHeight="1" x14ac:dyDescent="0.35">
      <c r="A176" s="230"/>
      <c r="B176" s="236"/>
      <c r="C176" s="217"/>
      <c r="D176" s="217"/>
      <c r="E176" s="217"/>
      <c r="F176" s="217"/>
      <c r="G176" s="217"/>
      <c r="H176" s="74" t="s">
        <v>55</v>
      </c>
      <c r="I176" s="74" t="s">
        <v>36</v>
      </c>
      <c r="J176" s="74" t="s">
        <v>169</v>
      </c>
      <c r="K176" s="217"/>
      <c r="L176" s="66"/>
      <c r="M176" s="17"/>
      <c r="N176" s="17"/>
      <c r="O176" s="17"/>
      <c r="P176" s="284"/>
      <c r="Q176" s="284"/>
      <c r="R176" s="284"/>
      <c r="S176" s="17"/>
      <c r="T176" s="284"/>
      <c r="U176" s="284"/>
      <c r="V176" s="284"/>
      <c r="W176" s="18"/>
      <c r="X176" s="18"/>
      <c r="Y176" s="18"/>
      <c r="Z176" s="18"/>
    </row>
    <row r="177" spans="1:26" ht="16.5" customHeight="1" x14ac:dyDescent="0.35">
      <c r="A177" s="230"/>
      <c r="B177" s="236"/>
      <c r="C177" s="227" t="s">
        <v>186</v>
      </c>
      <c r="D177" s="218">
        <v>3</v>
      </c>
      <c r="E177" s="216">
        <v>3</v>
      </c>
      <c r="F177" s="218" t="s">
        <v>158</v>
      </c>
      <c r="G177" s="218" t="s">
        <v>136</v>
      </c>
      <c r="H177" s="74" t="s">
        <v>46</v>
      </c>
      <c r="I177" s="74" t="s">
        <v>40</v>
      </c>
      <c r="J177" s="74" t="s">
        <v>78</v>
      </c>
      <c r="K177" s="218" t="s">
        <v>54</v>
      </c>
      <c r="L177" s="78"/>
      <c r="M177" s="56"/>
      <c r="N177" s="56"/>
      <c r="O177" s="56"/>
      <c r="P177" s="293"/>
      <c r="Q177" s="295"/>
      <c r="R177" s="294"/>
      <c r="S177" s="18"/>
      <c r="T177" s="293"/>
      <c r="U177" s="295"/>
      <c r="V177" s="294"/>
      <c r="W177" s="18"/>
      <c r="X177" s="18"/>
      <c r="Y177" s="18"/>
      <c r="Z177" s="18"/>
    </row>
    <row r="178" spans="1:26" ht="16.5" customHeight="1" x14ac:dyDescent="0.35">
      <c r="A178" s="230"/>
      <c r="B178" s="236"/>
      <c r="C178" s="217"/>
      <c r="D178" s="217"/>
      <c r="E178" s="217"/>
      <c r="F178" s="217"/>
      <c r="G178" s="217"/>
      <c r="H178" s="74" t="s">
        <v>48</v>
      </c>
      <c r="I178" s="74" t="s">
        <v>108</v>
      </c>
      <c r="J178" s="74" t="s">
        <v>155</v>
      </c>
      <c r="K178" s="217"/>
      <c r="L178" s="66"/>
      <c r="M178" s="18"/>
      <c r="N178" s="18"/>
      <c r="O178" s="18"/>
      <c r="P178" s="284"/>
      <c r="Q178" s="284"/>
      <c r="R178" s="284"/>
      <c r="S178" s="18"/>
      <c r="T178" s="284"/>
      <c r="U178" s="284"/>
      <c r="V178" s="284"/>
      <c r="W178" s="18"/>
      <c r="X178" s="18"/>
      <c r="Y178" s="18"/>
      <c r="Z178" s="18"/>
    </row>
    <row r="179" spans="1:26" ht="16.5" customHeight="1" x14ac:dyDescent="0.35">
      <c r="A179" s="230"/>
      <c r="B179" s="236"/>
      <c r="C179" s="227" t="s">
        <v>187</v>
      </c>
      <c r="D179" s="218">
        <v>3</v>
      </c>
      <c r="E179" s="216">
        <v>3</v>
      </c>
      <c r="F179" s="218" t="s">
        <v>75</v>
      </c>
      <c r="G179" s="218" t="s">
        <v>136</v>
      </c>
      <c r="H179" s="74" t="s">
        <v>35</v>
      </c>
      <c r="I179" s="74" t="s">
        <v>36</v>
      </c>
      <c r="J179" s="74" t="s">
        <v>155</v>
      </c>
      <c r="K179" s="218" t="s">
        <v>54</v>
      </c>
      <c r="L179" s="78"/>
      <c r="M179" s="56"/>
      <c r="N179" s="56"/>
      <c r="O179" s="56"/>
      <c r="P179" s="293"/>
      <c r="Q179" s="295"/>
      <c r="R179" s="294"/>
      <c r="S179" s="18"/>
      <c r="T179" s="293"/>
      <c r="U179" s="295"/>
      <c r="V179" s="294"/>
      <c r="W179" s="18"/>
      <c r="X179" s="18"/>
      <c r="Y179" s="18"/>
      <c r="Z179" s="18"/>
    </row>
    <row r="180" spans="1:26" ht="16.5" customHeight="1" x14ac:dyDescent="0.35">
      <c r="A180" s="230"/>
      <c r="B180" s="236"/>
      <c r="C180" s="219"/>
      <c r="D180" s="217"/>
      <c r="E180" s="217"/>
      <c r="F180" s="217"/>
      <c r="G180" s="217"/>
      <c r="H180" s="74" t="s">
        <v>48</v>
      </c>
      <c r="I180" s="74" t="s">
        <v>36</v>
      </c>
      <c r="J180" s="74" t="s">
        <v>169</v>
      </c>
      <c r="K180" s="217"/>
      <c r="L180" s="78"/>
      <c r="M180" s="79"/>
      <c r="N180" s="79"/>
      <c r="O180" s="79"/>
      <c r="P180" s="284"/>
      <c r="Q180" s="284"/>
      <c r="R180" s="284"/>
      <c r="S180" s="18"/>
      <c r="T180" s="284"/>
      <c r="U180" s="284"/>
      <c r="V180" s="284"/>
      <c r="W180" s="18"/>
      <c r="X180" s="18"/>
      <c r="Y180" s="18"/>
      <c r="Z180" s="18"/>
    </row>
    <row r="181" spans="1:26" ht="16.5" customHeight="1" x14ac:dyDescent="0.35">
      <c r="A181" s="230"/>
      <c r="B181" s="236"/>
      <c r="C181" s="227" t="s">
        <v>188</v>
      </c>
      <c r="D181" s="249">
        <v>2</v>
      </c>
      <c r="E181" s="216">
        <v>2</v>
      </c>
      <c r="F181" s="218" t="s">
        <v>33</v>
      </c>
      <c r="G181" s="218" t="s">
        <v>34</v>
      </c>
      <c r="H181" s="74" t="s">
        <v>35</v>
      </c>
      <c r="I181" s="74" t="s">
        <v>56</v>
      </c>
      <c r="J181" s="74" t="s">
        <v>77</v>
      </c>
      <c r="K181" s="218" t="s">
        <v>38</v>
      </c>
      <c r="L181" s="78"/>
      <c r="M181" s="56"/>
      <c r="N181" s="56"/>
      <c r="O181" s="56"/>
      <c r="P181" s="293"/>
      <c r="Q181" s="295"/>
      <c r="R181" s="294"/>
      <c r="S181" s="18"/>
      <c r="T181" s="293"/>
      <c r="U181" s="295"/>
      <c r="V181" s="294"/>
      <c r="W181" s="18"/>
      <c r="X181" s="18"/>
      <c r="Y181" s="18"/>
      <c r="Z181" s="18"/>
    </row>
    <row r="182" spans="1:26" ht="16.5" customHeight="1" x14ac:dyDescent="0.35">
      <c r="A182" s="230"/>
      <c r="B182" s="236"/>
      <c r="C182" s="217"/>
      <c r="D182" s="250"/>
      <c r="E182" s="217"/>
      <c r="F182" s="217"/>
      <c r="G182" s="217"/>
      <c r="H182" s="74" t="s">
        <v>39</v>
      </c>
      <c r="I182" s="74" t="s">
        <v>123</v>
      </c>
      <c r="J182" s="74" t="s">
        <v>77</v>
      </c>
      <c r="K182" s="217"/>
      <c r="L182" s="66"/>
      <c r="M182" s="18"/>
      <c r="N182" s="18"/>
      <c r="O182" s="18"/>
      <c r="P182" s="284"/>
      <c r="Q182" s="284"/>
      <c r="R182" s="284"/>
      <c r="S182" s="18"/>
      <c r="T182" s="284"/>
      <c r="U182" s="284"/>
      <c r="V182" s="284"/>
      <c r="W182" s="18"/>
      <c r="X182" s="18"/>
      <c r="Y182" s="18"/>
      <c r="Z182" s="18"/>
    </row>
    <row r="183" spans="1:26" ht="16.5" customHeight="1" x14ac:dyDescent="0.35">
      <c r="A183" s="230"/>
      <c r="B183" s="236"/>
      <c r="C183" s="227" t="s">
        <v>161</v>
      </c>
      <c r="D183" s="218">
        <v>2</v>
      </c>
      <c r="E183" s="216">
        <v>2</v>
      </c>
      <c r="F183" s="218" t="s">
        <v>75</v>
      </c>
      <c r="G183" s="218" t="s">
        <v>189</v>
      </c>
      <c r="H183" s="74" t="s">
        <v>35</v>
      </c>
      <c r="I183" s="74" t="s">
        <v>123</v>
      </c>
      <c r="J183" s="74" t="s">
        <v>190</v>
      </c>
      <c r="K183" s="218" t="s">
        <v>54</v>
      </c>
      <c r="L183" s="66" t="s">
        <v>102</v>
      </c>
      <c r="M183" s="18"/>
      <c r="N183" s="18"/>
      <c r="O183" s="18"/>
      <c r="P183" s="293"/>
      <c r="Q183" s="295"/>
      <c r="R183" s="294"/>
      <c r="S183" s="18"/>
      <c r="T183" s="293"/>
      <c r="U183" s="295"/>
      <c r="V183" s="294"/>
      <c r="W183" s="18"/>
      <c r="X183" s="18"/>
      <c r="Y183" s="18"/>
      <c r="Z183" s="18"/>
    </row>
    <row r="184" spans="1:26" ht="16.5" customHeight="1" x14ac:dyDescent="0.35">
      <c r="A184" s="230"/>
      <c r="B184" s="236"/>
      <c r="C184" s="217"/>
      <c r="D184" s="217"/>
      <c r="E184" s="217"/>
      <c r="F184" s="217"/>
      <c r="G184" s="217"/>
      <c r="H184" s="74" t="s">
        <v>48</v>
      </c>
      <c r="I184" s="74" t="s">
        <v>52</v>
      </c>
      <c r="J184" s="74" t="s">
        <v>190</v>
      </c>
      <c r="K184" s="217"/>
      <c r="L184" s="66"/>
      <c r="M184" s="18"/>
      <c r="N184" s="18"/>
      <c r="O184" s="18"/>
      <c r="P184" s="284"/>
      <c r="Q184" s="284"/>
      <c r="R184" s="284"/>
      <c r="S184" s="18"/>
      <c r="T184" s="284"/>
      <c r="U184" s="284"/>
      <c r="V184" s="284"/>
      <c r="W184" s="18"/>
      <c r="X184" s="18"/>
      <c r="Y184" s="18"/>
      <c r="Z184" s="18"/>
    </row>
    <row r="185" spans="1:26" ht="16.5" customHeight="1" x14ac:dyDescent="0.35">
      <c r="A185" s="230"/>
      <c r="B185" s="240"/>
      <c r="C185" s="80" t="s">
        <v>191</v>
      </c>
      <c r="D185" s="74">
        <v>3</v>
      </c>
      <c r="E185" s="81">
        <v>3</v>
      </c>
      <c r="F185" s="74" t="s">
        <v>75</v>
      </c>
      <c r="G185" s="74" t="s">
        <v>192</v>
      </c>
      <c r="H185" s="74" t="s">
        <v>119</v>
      </c>
      <c r="I185" s="74" t="s">
        <v>82</v>
      </c>
      <c r="J185" s="74" t="s">
        <v>114</v>
      </c>
      <c r="K185" s="74" t="s">
        <v>93</v>
      </c>
      <c r="L185" s="66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6.5" customHeight="1" x14ac:dyDescent="0.35">
      <c r="A186" s="217"/>
      <c r="B186" s="228" t="s">
        <v>72</v>
      </c>
      <c r="C186" s="221"/>
      <c r="D186" s="222"/>
      <c r="E186" s="71">
        <f>SUM(E175:E185)</f>
        <v>16</v>
      </c>
      <c r="F186" s="220"/>
      <c r="G186" s="221"/>
      <c r="H186" s="221"/>
      <c r="I186" s="221"/>
      <c r="J186" s="221"/>
      <c r="K186" s="222"/>
      <c r="L186" s="66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6.5" customHeight="1" x14ac:dyDescent="0.35">
      <c r="A187" s="229">
        <v>11</v>
      </c>
      <c r="B187" s="235" t="s">
        <v>193</v>
      </c>
      <c r="C187" s="227" t="s">
        <v>194</v>
      </c>
      <c r="D187" s="218">
        <v>3</v>
      </c>
      <c r="E187" s="216">
        <v>3</v>
      </c>
      <c r="F187" s="218" t="s">
        <v>51</v>
      </c>
      <c r="G187" s="218" t="s">
        <v>136</v>
      </c>
      <c r="H187" s="74" t="s">
        <v>46</v>
      </c>
      <c r="I187" s="74" t="s">
        <v>44</v>
      </c>
      <c r="J187" s="74" t="s">
        <v>132</v>
      </c>
      <c r="K187" s="218" t="s">
        <v>54</v>
      </c>
      <c r="L187" s="66"/>
      <c r="M187" s="18"/>
      <c r="N187" s="18"/>
      <c r="O187" s="18"/>
      <c r="P187" s="293"/>
      <c r="Q187" s="295"/>
      <c r="R187" s="294"/>
      <c r="S187" s="18"/>
      <c r="T187" s="293"/>
      <c r="U187" s="295"/>
      <c r="V187" s="294"/>
      <c r="W187" s="18"/>
      <c r="X187" s="18"/>
      <c r="Y187" s="18"/>
      <c r="Z187" s="18"/>
    </row>
    <row r="188" spans="1:26" ht="16.5" customHeight="1" x14ac:dyDescent="0.35">
      <c r="A188" s="230"/>
      <c r="B188" s="236"/>
      <c r="C188" s="217"/>
      <c r="D188" s="217"/>
      <c r="E188" s="217"/>
      <c r="F188" s="217"/>
      <c r="G188" s="217"/>
      <c r="H188" s="74" t="s">
        <v>48</v>
      </c>
      <c r="I188" s="74" t="s">
        <v>36</v>
      </c>
      <c r="J188" s="74" t="s">
        <v>133</v>
      </c>
      <c r="K188" s="217"/>
      <c r="L188" s="66"/>
      <c r="M188" s="18"/>
      <c r="N188" s="18"/>
      <c r="O188" s="18"/>
      <c r="P188" s="284"/>
      <c r="Q188" s="284"/>
      <c r="R188" s="284"/>
      <c r="S188" s="18"/>
      <c r="T188" s="284"/>
      <c r="U188" s="284"/>
      <c r="V188" s="284"/>
      <c r="W188" s="18"/>
      <c r="X188" s="18"/>
      <c r="Y188" s="18"/>
      <c r="Z188" s="18"/>
    </row>
    <row r="189" spans="1:26" ht="16.5" customHeight="1" x14ac:dyDescent="0.35">
      <c r="A189" s="230"/>
      <c r="B189" s="236"/>
      <c r="C189" s="227" t="s">
        <v>194</v>
      </c>
      <c r="D189" s="218">
        <v>3</v>
      </c>
      <c r="E189" s="216">
        <v>3</v>
      </c>
      <c r="F189" s="218" t="s">
        <v>51</v>
      </c>
      <c r="G189" s="218" t="s">
        <v>76</v>
      </c>
      <c r="H189" s="74" t="s">
        <v>46</v>
      </c>
      <c r="I189" s="74" t="s">
        <v>36</v>
      </c>
      <c r="J189" s="74" t="s">
        <v>133</v>
      </c>
      <c r="K189" s="218" t="s">
        <v>54</v>
      </c>
      <c r="L189" s="66"/>
      <c r="M189" s="18"/>
      <c r="N189" s="18"/>
      <c r="O189" s="18"/>
      <c r="P189" s="293"/>
      <c r="Q189" s="295"/>
      <c r="R189" s="294"/>
      <c r="S189" s="18"/>
      <c r="T189" s="293"/>
      <c r="U189" s="295"/>
      <c r="V189" s="294"/>
      <c r="W189" s="18"/>
      <c r="X189" s="18"/>
      <c r="Y189" s="18"/>
      <c r="Z189" s="18"/>
    </row>
    <row r="190" spans="1:26" ht="16.5" customHeight="1" x14ac:dyDescent="0.35">
      <c r="A190" s="230"/>
      <c r="B190" s="236"/>
      <c r="C190" s="217"/>
      <c r="D190" s="217"/>
      <c r="E190" s="217"/>
      <c r="F190" s="217"/>
      <c r="G190" s="217"/>
      <c r="H190" s="74" t="s">
        <v>48</v>
      </c>
      <c r="I190" s="74" t="s">
        <v>40</v>
      </c>
      <c r="J190" s="74" t="s">
        <v>65</v>
      </c>
      <c r="K190" s="217"/>
      <c r="L190" s="66"/>
      <c r="M190" s="18"/>
      <c r="N190" s="18"/>
      <c r="O190" s="18"/>
      <c r="P190" s="284"/>
      <c r="Q190" s="284"/>
      <c r="R190" s="284"/>
      <c r="S190" s="18"/>
      <c r="T190" s="284"/>
      <c r="U190" s="284"/>
      <c r="V190" s="284"/>
      <c r="W190" s="18"/>
      <c r="X190" s="18"/>
      <c r="Y190" s="18"/>
      <c r="Z190" s="18"/>
    </row>
    <row r="191" spans="1:26" ht="16.5" customHeight="1" x14ac:dyDescent="0.35">
      <c r="A191" s="230"/>
      <c r="B191" s="236"/>
      <c r="C191" s="227" t="s">
        <v>195</v>
      </c>
      <c r="D191" s="218">
        <v>3</v>
      </c>
      <c r="E191" s="216">
        <v>3</v>
      </c>
      <c r="F191" s="218" t="s">
        <v>51</v>
      </c>
      <c r="G191" s="218" t="s">
        <v>90</v>
      </c>
      <c r="H191" s="74" t="s">
        <v>35</v>
      </c>
      <c r="I191" s="74" t="s">
        <v>40</v>
      </c>
      <c r="J191" s="74" t="s">
        <v>143</v>
      </c>
      <c r="K191" s="218" t="s">
        <v>38</v>
      </c>
      <c r="L191" s="66"/>
      <c r="M191" s="18"/>
      <c r="N191" s="18"/>
      <c r="O191" s="18"/>
      <c r="P191" s="293"/>
      <c r="Q191" s="295"/>
      <c r="R191" s="294"/>
      <c r="S191" s="18"/>
      <c r="T191" s="293"/>
      <c r="U191" s="295"/>
      <c r="V191" s="294"/>
      <c r="W191" s="18"/>
      <c r="X191" s="18"/>
      <c r="Y191" s="18"/>
      <c r="Z191" s="18"/>
    </row>
    <row r="192" spans="1:26" ht="16.5" customHeight="1" x14ac:dyDescent="0.35">
      <c r="A192" s="230"/>
      <c r="B192" s="236"/>
      <c r="C192" s="217"/>
      <c r="D192" s="217"/>
      <c r="E192" s="217"/>
      <c r="F192" s="217"/>
      <c r="G192" s="217"/>
      <c r="H192" s="74" t="s">
        <v>55</v>
      </c>
      <c r="I192" s="74" t="s">
        <v>36</v>
      </c>
      <c r="J192" s="74" t="s">
        <v>196</v>
      </c>
      <c r="K192" s="217"/>
      <c r="L192" s="66"/>
      <c r="M192" s="18"/>
      <c r="N192" s="18"/>
      <c r="O192" s="18"/>
      <c r="P192" s="284"/>
      <c r="Q192" s="284"/>
      <c r="R192" s="284"/>
      <c r="S192" s="18"/>
      <c r="T192" s="284"/>
      <c r="U192" s="284"/>
      <c r="V192" s="284"/>
      <c r="W192" s="18"/>
      <c r="X192" s="18"/>
      <c r="Y192" s="18"/>
      <c r="Z192" s="18"/>
    </row>
    <row r="193" spans="1:26" ht="16.5" customHeight="1" x14ac:dyDescent="0.35">
      <c r="A193" s="230"/>
      <c r="B193" s="236"/>
      <c r="C193" s="227" t="s">
        <v>195</v>
      </c>
      <c r="D193" s="218">
        <v>3</v>
      </c>
      <c r="E193" s="216">
        <v>3</v>
      </c>
      <c r="F193" s="218" t="s">
        <v>51</v>
      </c>
      <c r="G193" s="218" t="s">
        <v>173</v>
      </c>
      <c r="H193" s="74" t="s">
        <v>35</v>
      </c>
      <c r="I193" s="74" t="s">
        <v>44</v>
      </c>
      <c r="J193" s="74" t="s">
        <v>78</v>
      </c>
      <c r="K193" s="218" t="s">
        <v>38</v>
      </c>
      <c r="L193" s="66"/>
      <c r="M193" s="18"/>
      <c r="N193" s="18"/>
      <c r="O193" s="18"/>
      <c r="P193" s="293"/>
      <c r="Q193" s="295"/>
      <c r="R193" s="294"/>
      <c r="S193" s="18"/>
      <c r="T193" s="293"/>
      <c r="U193" s="295"/>
      <c r="V193" s="294"/>
      <c r="W193" s="18"/>
      <c r="X193" s="18"/>
      <c r="Y193" s="18"/>
      <c r="Z193" s="18"/>
    </row>
    <row r="194" spans="1:26" ht="16.5" customHeight="1" x14ac:dyDescent="0.35">
      <c r="A194" s="230"/>
      <c r="B194" s="236"/>
      <c r="C194" s="219"/>
      <c r="D194" s="217"/>
      <c r="E194" s="217"/>
      <c r="F194" s="217"/>
      <c r="G194" s="217"/>
      <c r="H194" s="74" t="s">
        <v>39</v>
      </c>
      <c r="I194" s="74" t="s">
        <v>44</v>
      </c>
      <c r="J194" s="74" t="s">
        <v>80</v>
      </c>
      <c r="K194" s="217"/>
      <c r="L194" s="66"/>
      <c r="M194" s="18"/>
      <c r="N194" s="18"/>
      <c r="O194" s="18"/>
      <c r="P194" s="284"/>
      <c r="Q194" s="284"/>
      <c r="R194" s="284"/>
      <c r="S194" s="18"/>
      <c r="T194" s="284"/>
      <c r="U194" s="284"/>
      <c r="V194" s="284"/>
      <c r="W194" s="18"/>
      <c r="X194" s="18"/>
      <c r="Y194" s="18"/>
      <c r="Z194" s="18"/>
    </row>
    <row r="195" spans="1:26" ht="16.5" customHeight="1" x14ac:dyDescent="0.35">
      <c r="A195" s="230"/>
      <c r="B195" s="236"/>
      <c r="C195" s="227" t="s">
        <v>188</v>
      </c>
      <c r="D195" s="249">
        <v>2</v>
      </c>
      <c r="E195" s="216">
        <v>2</v>
      </c>
      <c r="F195" s="218" t="s">
        <v>33</v>
      </c>
      <c r="G195" s="218" t="s">
        <v>49</v>
      </c>
      <c r="H195" s="74" t="s">
        <v>46</v>
      </c>
      <c r="I195" s="74" t="s">
        <v>131</v>
      </c>
      <c r="J195" s="74" t="s">
        <v>197</v>
      </c>
      <c r="K195" s="218" t="s">
        <v>38</v>
      </c>
      <c r="L195" s="66"/>
      <c r="M195" s="18"/>
      <c r="N195" s="18"/>
      <c r="O195" s="18"/>
      <c r="P195" s="293"/>
      <c r="Q195" s="295"/>
      <c r="R195" s="294"/>
      <c r="S195" s="18"/>
      <c r="T195" s="293"/>
      <c r="U195" s="295"/>
      <c r="V195" s="294"/>
      <c r="W195" s="18"/>
      <c r="X195" s="18"/>
      <c r="Y195" s="18"/>
      <c r="Z195" s="18"/>
    </row>
    <row r="196" spans="1:26" ht="16.5" customHeight="1" x14ac:dyDescent="0.35">
      <c r="A196" s="230"/>
      <c r="B196" s="240"/>
      <c r="C196" s="217"/>
      <c r="D196" s="250"/>
      <c r="E196" s="217"/>
      <c r="F196" s="217"/>
      <c r="G196" s="217"/>
      <c r="H196" s="74" t="s">
        <v>48</v>
      </c>
      <c r="I196" s="74" t="s">
        <v>131</v>
      </c>
      <c r="J196" s="74" t="s">
        <v>77</v>
      </c>
      <c r="K196" s="217"/>
      <c r="L196" s="66"/>
      <c r="M196" s="18"/>
      <c r="N196" s="18"/>
      <c r="O196" s="18"/>
      <c r="P196" s="284"/>
      <c r="Q196" s="284"/>
      <c r="R196" s="284"/>
      <c r="S196" s="18"/>
      <c r="T196" s="284"/>
      <c r="U196" s="284"/>
      <c r="V196" s="284"/>
      <c r="W196" s="18"/>
      <c r="X196" s="18"/>
      <c r="Y196" s="18"/>
      <c r="Z196" s="18"/>
    </row>
    <row r="197" spans="1:26" ht="16.5" customHeight="1" x14ac:dyDescent="0.35">
      <c r="A197" s="217"/>
      <c r="B197" s="228" t="s">
        <v>72</v>
      </c>
      <c r="C197" s="221"/>
      <c r="D197" s="222"/>
      <c r="E197" s="71">
        <f>SUM(E187:E195)</f>
        <v>14</v>
      </c>
      <c r="F197" s="220"/>
      <c r="G197" s="221"/>
      <c r="H197" s="221"/>
      <c r="I197" s="221"/>
      <c r="J197" s="221"/>
      <c r="K197" s="222"/>
      <c r="L197" s="66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6.5" customHeight="1" x14ac:dyDescent="0.35">
      <c r="A198" s="248">
        <v>12</v>
      </c>
      <c r="B198" s="238" t="s">
        <v>198</v>
      </c>
      <c r="C198" s="227" t="s">
        <v>199</v>
      </c>
      <c r="D198" s="218">
        <v>3</v>
      </c>
      <c r="E198" s="216">
        <v>3</v>
      </c>
      <c r="F198" s="218" t="s">
        <v>33</v>
      </c>
      <c r="G198" s="218" t="s">
        <v>101</v>
      </c>
      <c r="H198" s="74" t="s">
        <v>35</v>
      </c>
      <c r="I198" s="74" t="s">
        <v>40</v>
      </c>
      <c r="J198" s="74" t="s">
        <v>200</v>
      </c>
      <c r="K198" s="218" t="s">
        <v>54</v>
      </c>
      <c r="L198" s="66"/>
      <c r="M198" s="18"/>
      <c r="N198" s="18"/>
      <c r="O198" s="18"/>
      <c r="P198" s="293"/>
      <c r="Q198" s="295"/>
      <c r="R198" s="294"/>
      <c r="S198" s="18"/>
      <c r="T198" s="293"/>
      <c r="U198" s="295"/>
      <c r="V198" s="294"/>
      <c r="W198" s="18"/>
      <c r="X198" s="18"/>
      <c r="Y198" s="18"/>
      <c r="Z198" s="18"/>
    </row>
    <row r="199" spans="1:26" ht="16.5" customHeight="1" x14ac:dyDescent="0.35">
      <c r="A199" s="230"/>
      <c r="B199" s="230"/>
      <c r="C199" s="217"/>
      <c r="D199" s="217"/>
      <c r="E199" s="217"/>
      <c r="F199" s="217"/>
      <c r="G199" s="217"/>
      <c r="H199" s="74" t="s">
        <v>39</v>
      </c>
      <c r="I199" s="74" t="s">
        <v>40</v>
      </c>
      <c r="J199" s="74" t="s">
        <v>200</v>
      </c>
      <c r="K199" s="217"/>
      <c r="L199" s="66"/>
      <c r="M199" s="18"/>
      <c r="N199" s="18"/>
      <c r="O199" s="18"/>
      <c r="P199" s="284"/>
      <c r="Q199" s="284"/>
      <c r="R199" s="284"/>
      <c r="S199" s="18"/>
      <c r="T199" s="284"/>
      <c r="U199" s="284"/>
      <c r="V199" s="284"/>
      <c r="W199" s="18"/>
      <c r="X199" s="18"/>
      <c r="Y199" s="18"/>
      <c r="Z199" s="18"/>
    </row>
    <row r="200" spans="1:26" ht="16.5" customHeight="1" x14ac:dyDescent="0.35">
      <c r="A200" s="230"/>
      <c r="B200" s="230"/>
      <c r="C200" s="227" t="s">
        <v>199</v>
      </c>
      <c r="D200" s="218">
        <v>3</v>
      </c>
      <c r="E200" s="216">
        <v>3</v>
      </c>
      <c r="F200" s="218" t="s">
        <v>33</v>
      </c>
      <c r="G200" s="218" t="s">
        <v>64</v>
      </c>
      <c r="H200" s="74" t="s">
        <v>46</v>
      </c>
      <c r="I200" s="74" t="s">
        <v>36</v>
      </c>
      <c r="J200" s="74" t="s">
        <v>77</v>
      </c>
      <c r="K200" s="218" t="s">
        <v>54</v>
      </c>
      <c r="L200" s="66"/>
      <c r="M200" s="18"/>
      <c r="N200" s="18"/>
      <c r="O200" s="18"/>
      <c r="P200" s="293"/>
      <c r="Q200" s="295"/>
      <c r="R200" s="294"/>
      <c r="S200" s="18"/>
      <c r="T200" s="293"/>
      <c r="U200" s="295"/>
      <c r="V200" s="294"/>
      <c r="W200" s="18"/>
      <c r="X200" s="18"/>
      <c r="Y200" s="18"/>
      <c r="Z200" s="18"/>
    </row>
    <row r="201" spans="1:26" ht="16.5" customHeight="1" x14ac:dyDescent="0.35">
      <c r="A201" s="230"/>
      <c r="B201" s="230"/>
      <c r="C201" s="217"/>
      <c r="D201" s="217"/>
      <c r="E201" s="217"/>
      <c r="F201" s="217"/>
      <c r="G201" s="217"/>
      <c r="H201" s="74" t="s">
        <v>48</v>
      </c>
      <c r="I201" s="74" t="s">
        <v>40</v>
      </c>
      <c r="J201" s="74" t="s">
        <v>77</v>
      </c>
      <c r="K201" s="217"/>
      <c r="L201" s="66"/>
      <c r="M201" s="18"/>
      <c r="N201" s="18"/>
      <c r="O201" s="18"/>
      <c r="P201" s="284"/>
      <c r="Q201" s="284"/>
      <c r="R201" s="284"/>
      <c r="S201" s="18"/>
      <c r="T201" s="284"/>
      <c r="U201" s="284"/>
      <c r="V201" s="284"/>
      <c r="W201" s="18"/>
      <c r="X201" s="18"/>
      <c r="Y201" s="18"/>
      <c r="Z201" s="18"/>
    </row>
    <row r="202" spans="1:26" ht="16.5" customHeight="1" x14ac:dyDescent="0.35">
      <c r="A202" s="230"/>
      <c r="B202" s="230"/>
      <c r="C202" s="227" t="s">
        <v>199</v>
      </c>
      <c r="D202" s="218">
        <v>3</v>
      </c>
      <c r="E202" s="216">
        <v>3</v>
      </c>
      <c r="F202" s="218" t="s">
        <v>33</v>
      </c>
      <c r="G202" s="218" t="s">
        <v>103</v>
      </c>
      <c r="H202" s="74" t="s">
        <v>46</v>
      </c>
      <c r="I202" s="74" t="s">
        <v>40</v>
      </c>
      <c r="J202" s="74" t="s">
        <v>77</v>
      </c>
      <c r="K202" s="218" t="s">
        <v>54</v>
      </c>
      <c r="L202" s="66"/>
      <c r="M202" s="18"/>
      <c r="N202" s="18"/>
      <c r="O202" s="18"/>
      <c r="P202" s="293"/>
      <c r="Q202" s="295"/>
      <c r="R202" s="294"/>
      <c r="S202" s="18"/>
      <c r="T202" s="293"/>
      <c r="U202" s="295"/>
      <c r="V202" s="294"/>
      <c r="W202" s="18"/>
      <c r="X202" s="18"/>
      <c r="Y202" s="18"/>
      <c r="Z202" s="18"/>
    </row>
    <row r="203" spans="1:26" ht="16.5" customHeight="1" x14ac:dyDescent="0.35">
      <c r="A203" s="230"/>
      <c r="B203" s="230"/>
      <c r="C203" s="217"/>
      <c r="D203" s="217"/>
      <c r="E203" s="217"/>
      <c r="F203" s="217"/>
      <c r="G203" s="217"/>
      <c r="H203" s="74" t="s">
        <v>48</v>
      </c>
      <c r="I203" s="74" t="s">
        <v>108</v>
      </c>
      <c r="J203" s="74" t="s">
        <v>77</v>
      </c>
      <c r="K203" s="217"/>
      <c r="L203" s="66"/>
      <c r="M203" s="18"/>
      <c r="N203" s="18"/>
      <c r="O203" s="18"/>
      <c r="P203" s="284"/>
      <c r="Q203" s="284"/>
      <c r="R203" s="284"/>
      <c r="S203" s="18"/>
      <c r="T203" s="284"/>
      <c r="U203" s="284"/>
      <c r="V203" s="284"/>
      <c r="W203" s="18"/>
      <c r="X203" s="18"/>
      <c r="Y203" s="18"/>
      <c r="Z203" s="18"/>
    </row>
    <row r="204" spans="1:26" ht="16.5" customHeight="1" x14ac:dyDescent="0.35">
      <c r="A204" s="230"/>
      <c r="B204" s="230"/>
      <c r="C204" s="227" t="s">
        <v>199</v>
      </c>
      <c r="D204" s="218">
        <v>3</v>
      </c>
      <c r="E204" s="216">
        <v>3</v>
      </c>
      <c r="F204" s="218" t="s">
        <v>33</v>
      </c>
      <c r="G204" s="218" t="s">
        <v>104</v>
      </c>
      <c r="H204" s="74" t="s">
        <v>46</v>
      </c>
      <c r="I204" s="74" t="s">
        <v>108</v>
      </c>
      <c r="J204" s="74" t="s">
        <v>43</v>
      </c>
      <c r="K204" s="218" t="s">
        <v>54</v>
      </c>
      <c r="L204" s="66"/>
      <c r="M204" s="18"/>
      <c r="N204" s="18"/>
      <c r="O204" s="18"/>
      <c r="P204" s="293"/>
      <c r="Q204" s="295"/>
      <c r="R204" s="294"/>
      <c r="S204" s="18"/>
      <c r="T204" s="293"/>
      <c r="U204" s="295"/>
      <c r="V204" s="294"/>
      <c r="W204" s="18"/>
      <c r="X204" s="18"/>
      <c r="Y204" s="18"/>
      <c r="Z204" s="18"/>
    </row>
    <row r="205" spans="1:26" ht="16.5" customHeight="1" x14ac:dyDescent="0.35">
      <c r="A205" s="230"/>
      <c r="B205" s="230"/>
      <c r="C205" s="217"/>
      <c r="D205" s="219"/>
      <c r="E205" s="219"/>
      <c r="F205" s="219"/>
      <c r="G205" s="219"/>
      <c r="H205" s="74" t="s">
        <v>55</v>
      </c>
      <c r="I205" s="74" t="s">
        <v>36</v>
      </c>
      <c r="J205" s="74" t="s">
        <v>43</v>
      </c>
      <c r="K205" s="219"/>
      <c r="L205" s="66"/>
      <c r="M205" s="18"/>
      <c r="N205" s="18"/>
      <c r="O205" s="18"/>
      <c r="P205" s="284"/>
      <c r="Q205" s="284"/>
      <c r="R205" s="284"/>
      <c r="S205" s="18"/>
      <c r="T205" s="284"/>
      <c r="U205" s="284"/>
      <c r="V205" s="284"/>
      <c r="W205" s="18"/>
      <c r="X205" s="18"/>
      <c r="Y205" s="18"/>
      <c r="Z205" s="18"/>
    </row>
    <row r="206" spans="1:26" ht="16.5" customHeight="1" x14ac:dyDescent="0.35">
      <c r="A206" s="230"/>
      <c r="B206" s="230"/>
      <c r="C206" s="227" t="s">
        <v>201</v>
      </c>
      <c r="D206" s="218">
        <v>3</v>
      </c>
      <c r="E206" s="216">
        <v>3</v>
      </c>
      <c r="F206" s="218" t="s">
        <v>33</v>
      </c>
      <c r="G206" s="218" t="s">
        <v>64</v>
      </c>
      <c r="H206" s="82" t="s">
        <v>39</v>
      </c>
      <c r="I206" s="74" t="s">
        <v>44</v>
      </c>
      <c r="J206" s="83" t="s">
        <v>92</v>
      </c>
      <c r="K206" s="218" t="s">
        <v>38</v>
      </c>
      <c r="L206" s="66"/>
      <c r="M206" s="18"/>
      <c r="N206" s="18"/>
      <c r="O206" s="18"/>
      <c r="P206" s="293"/>
      <c r="Q206" s="295"/>
      <c r="R206" s="294"/>
      <c r="S206" s="18"/>
      <c r="T206" s="293"/>
      <c r="U206" s="295"/>
      <c r="V206" s="294"/>
      <c r="W206" s="18"/>
      <c r="X206" s="18"/>
      <c r="Y206" s="18"/>
      <c r="Z206" s="18"/>
    </row>
    <row r="207" spans="1:26" ht="16.5" customHeight="1" x14ac:dyDescent="0.35">
      <c r="A207" s="230"/>
      <c r="B207" s="230"/>
      <c r="C207" s="217"/>
      <c r="D207" s="217"/>
      <c r="E207" s="217"/>
      <c r="F207" s="217"/>
      <c r="G207" s="217"/>
      <c r="H207" s="82" t="s">
        <v>55</v>
      </c>
      <c r="I207" s="74" t="s">
        <v>36</v>
      </c>
      <c r="J207" s="83" t="s">
        <v>92</v>
      </c>
      <c r="K207" s="217"/>
      <c r="L207" s="66"/>
      <c r="M207" s="18"/>
      <c r="N207" s="18"/>
      <c r="O207" s="18"/>
      <c r="P207" s="284"/>
      <c r="Q207" s="284"/>
      <c r="R207" s="284"/>
      <c r="S207" s="18"/>
      <c r="T207" s="284"/>
      <c r="U207" s="284"/>
      <c r="V207" s="284"/>
      <c r="W207" s="18"/>
      <c r="X207" s="18"/>
      <c r="Y207" s="18"/>
      <c r="Z207" s="18"/>
    </row>
    <row r="208" spans="1:26" ht="16.5" customHeight="1" x14ac:dyDescent="0.35">
      <c r="A208" s="230"/>
      <c r="B208" s="230"/>
      <c r="C208" s="227" t="s">
        <v>202</v>
      </c>
      <c r="D208" s="218">
        <v>3</v>
      </c>
      <c r="E208" s="216">
        <v>1.5</v>
      </c>
      <c r="F208" s="218" t="s">
        <v>33</v>
      </c>
      <c r="G208" s="218" t="s">
        <v>79</v>
      </c>
      <c r="H208" s="74" t="s">
        <v>35</v>
      </c>
      <c r="I208" s="74" t="s">
        <v>40</v>
      </c>
      <c r="J208" s="74" t="s">
        <v>98</v>
      </c>
      <c r="K208" s="218" t="s">
        <v>38</v>
      </c>
      <c r="L208" s="66"/>
      <c r="M208" s="18"/>
      <c r="N208" s="18"/>
      <c r="O208" s="18"/>
      <c r="P208" s="293"/>
      <c r="Q208" s="295"/>
      <c r="R208" s="294"/>
      <c r="S208" s="18"/>
      <c r="T208" s="293"/>
      <c r="U208" s="295"/>
      <c r="V208" s="294"/>
      <c r="W208" s="18"/>
      <c r="X208" s="18"/>
      <c r="Y208" s="18"/>
      <c r="Z208" s="18"/>
    </row>
    <row r="209" spans="1:26" ht="16.5" customHeight="1" x14ac:dyDescent="0.35">
      <c r="A209" s="230"/>
      <c r="B209" s="217"/>
      <c r="C209" s="217"/>
      <c r="D209" s="217"/>
      <c r="E209" s="217"/>
      <c r="F209" s="217"/>
      <c r="G209" s="217"/>
      <c r="H209" s="74" t="s">
        <v>48</v>
      </c>
      <c r="I209" s="74" t="s">
        <v>36</v>
      </c>
      <c r="J209" s="74" t="s">
        <v>128</v>
      </c>
      <c r="K209" s="217"/>
      <c r="L209" s="66"/>
      <c r="M209" s="18"/>
      <c r="N209" s="18"/>
      <c r="O209" s="18"/>
      <c r="P209" s="284"/>
      <c r="Q209" s="284"/>
      <c r="R209" s="284"/>
      <c r="S209" s="18"/>
      <c r="T209" s="284"/>
      <c r="U209" s="284"/>
      <c r="V209" s="284"/>
      <c r="W209" s="18"/>
      <c r="X209" s="18"/>
      <c r="Y209" s="18"/>
      <c r="Z209" s="18"/>
    </row>
    <row r="210" spans="1:26" ht="16.5" customHeight="1" x14ac:dyDescent="0.35">
      <c r="A210" s="217"/>
      <c r="B210" s="228" t="s">
        <v>72</v>
      </c>
      <c r="C210" s="221"/>
      <c r="D210" s="222"/>
      <c r="E210" s="71">
        <f>SUM(E198:E209)</f>
        <v>16.5</v>
      </c>
      <c r="F210" s="220"/>
      <c r="G210" s="221"/>
      <c r="H210" s="221"/>
      <c r="I210" s="221"/>
      <c r="J210" s="221"/>
      <c r="K210" s="222"/>
      <c r="L210" s="66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6.5" customHeight="1" x14ac:dyDescent="0.35">
      <c r="A211" s="229">
        <v>13</v>
      </c>
      <c r="B211" s="238" t="s">
        <v>203</v>
      </c>
      <c r="C211" s="227" t="s">
        <v>204</v>
      </c>
      <c r="D211" s="218">
        <v>3</v>
      </c>
      <c r="E211" s="216">
        <v>3</v>
      </c>
      <c r="F211" s="218" t="s">
        <v>33</v>
      </c>
      <c r="G211" s="239" t="s">
        <v>136</v>
      </c>
      <c r="H211" s="84" t="s">
        <v>39</v>
      </c>
      <c r="I211" s="74" t="s">
        <v>36</v>
      </c>
      <c r="J211" s="74" t="s">
        <v>96</v>
      </c>
      <c r="K211" s="218" t="s">
        <v>54</v>
      </c>
      <c r="L211" s="66"/>
      <c r="M211" s="18"/>
      <c r="N211" s="18"/>
      <c r="O211" s="18"/>
      <c r="P211" s="293"/>
      <c r="Q211" s="295"/>
      <c r="R211" s="294"/>
      <c r="S211" s="18"/>
      <c r="T211" s="293"/>
      <c r="U211" s="295"/>
      <c r="V211" s="294"/>
      <c r="W211" s="18"/>
      <c r="X211" s="18"/>
      <c r="Y211" s="18"/>
      <c r="Z211" s="18"/>
    </row>
    <row r="212" spans="1:26" ht="16.5" customHeight="1" x14ac:dyDescent="0.35">
      <c r="A212" s="230"/>
      <c r="B212" s="230"/>
      <c r="C212" s="217"/>
      <c r="D212" s="217"/>
      <c r="E212" s="217"/>
      <c r="F212" s="217"/>
      <c r="G212" s="240"/>
      <c r="H212" s="74" t="s">
        <v>55</v>
      </c>
      <c r="I212" s="74" t="s">
        <v>36</v>
      </c>
      <c r="J212" s="74" t="s">
        <v>96</v>
      </c>
      <c r="K212" s="217"/>
      <c r="L212" s="66"/>
      <c r="M212" s="18"/>
      <c r="N212" s="18"/>
      <c r="O212" s="18"/>
      <c r="P212" s="284"/>
      <c r="Q212" s="284"/>
      <c r="R212" s="284"/>
      <c r="S212" s="18"/>
      <c r="T212" s="284"/>
      <c r="U212" s="284"/>
      <c r="V212" s="284"/>
      <c r="W212" s="18"/>
      <c r="X212" s="18"/>
      <c r="Y212" s="18"/>
      <c r="Z212" s="18"/>
    </row>
    <row r="213" spans="1:26" ht="16.5" customHeight="1" x14ac:dyDescent="0.35">
      <c r="A213" s="230"/>
      <c r="B213" s="230"/>
      <c r="C213" s="227" t="s">
        <v>204</v>
      </c>
      <c r="D213" s="218">
        <v>3</v>
      </c>
      <c r="E213" s="216">
        <v>3</v>
      </c>
      <c r="F213" s="218" t="s">
        <v>33</v>
      </c>
      <c r="G213" s="218" t="s">
        <v>76</v>
      </c>
      <c r="H213" s="74" t="s">
        <v>35</v>
      </c>
      <c r="I213" s="74" t="s">
        <v>36</v>
      </c>
      <c r="J213" s="74" t="s">
        <v>96</v>
      </c>
      <c r="K213" s="249" t="s">
        <v>54</v>
      </c>
      <c r="L213" s="66"/>
      <c r="M213" s="18"/>
      <c r="N213" s="18"/>
      <c r="O213" s="18"/>
      <c r="P213" s="293"/>
      <c r="Q213" s="295"/>
      <c r="R213" s="294"/>
      <c r="S213" s="18"/>
      <c r="T213" s="293"/>
      <c r="U213" s="295"/>
      <c r="V213" s="294"/>
      <c r="W213" s="18"/>
      <c r="X213" s="18"/>
      <c r="Y213" s="18"/>
      <c r="Z213" s="18"/>
    </row>
    <row r="214" spans="1:26" ht="16.5" customHeight="1" x14ac:dyDescent="0.35">
      <c r="A214" s="230"/>
      <c r="B214" s="230"/>
      <c r="C214" s="217"/>
      <c r="D214" s="217"/>
      <c r="E214" s="217"/>
      <c r="F214" s="217"/>
      <c r="G214" s="217"/>
      <c r="H214" s="85" t="s">
        <v>39</v>
      </c>
      <c r="I214" s="85" t="s">
        <v>40</v>
      </c>
      <c r="J214" s="74" t="s">
        <v>96</v>
      </c>
      <c r="K214" s="250"/>
      <c r="L214" s="66"/>
      <c r="M214" s="18"/>
      <c r="N214" s="18"/>
      <c r="O214" s="18"/>
      <c r="P214" s="284"/>
      <c r="Q214" s="284"/>
      <c r="R214" s="284"/>
      <c r="S214" s="18"/>
      <c r="T214" s="284"/>
      <c r="U214" s="284"/>
      <c r="V214" s="284"/>
      <c r="W214" s="18"/>
      <c r="X214" s="18"/>
      <c r="Y214" s="18"/>
      <c r="Z214" s="18"/>
    </row>
    <row r="215" spans="1:26" ht="16.5" customHeight="1" x14ac:dyDescent="0.35">
      <c r="A215" s="230"/>
      <c r="B215" s="230"/>
      <c r="C215" s="227" t="s">
        <v>204</v>
      </c>
      <c r="D215" s="218">
        <v>3</v>
      </c>
      <c r="E215" s="216">
        <v>3</v>
      </c>
      <c r="F215" s="218" t="s">
        <v>33</v>
      </c>
      <c r="G215" s="218" t="s">
        <v>79</v>
      </c>
      <c r="H215" s="74" t="s">
        <v>46</v>
      </c>
      <c r="I215" s="74" t="s">
        <v>36</v>
      </c>
      <c r="J215" s="74" t="s">
        <v>98</v>
      </c>
      <c r="K215" s="218" t="s">
        <v>54</v>
      </c>
      <c r="L215" s="66"/>
      <c r="M215" s="18"/>
      <c r="N215" s="18"/>
      <c r="O215" s="18"/>
      <c r="P215" s="293"/>
      <c r="Q215" s="295"/>
      <c r="R215" s="294"/>
      <c r="S215" s="18"/>
      <c r="T215" s="293"/>
      <c r="U215" s="295"/>
      <c r="V215" s="294"/>
      <c r="W215" s="18"/>
      <c r="X215" s="18"/>
      <c r="Y215" s="18"/>
      <c r="Z215" s="18"/>
    </row>
    <row r="216" spans="1:26" ht="16.5" customHeight="1" x14ac:dyDescent="0.35">
      <c r="A216" s="230"/>
      <c r="B216" s="230"/>
      <c r="C216" s="217"/>
      <c r="D216" s="217"/>
      <c r="E216" s="217"/>
      <c r="F216" s="217"/>
      <c r="G216" s="217"/>
      <c r="H216" s="74" t="s">
        <v>48</v>
      </c>
      <c r="I216" s="74" t="s">
        <v>36</v>
      </c>
      <c r="J216" s="74" t="s">
        <v>98</v>
      </c>
      <c r="K216" s="217"/>
      <c r="L216" s="66"/>
      <c r="M216" s="18"/>
      <c r="N216" s="18"/>
      <c r="O216" s="18"/>
      <c r="P216" s="284"/>
      <c r="Q216" s="284"/>
      <c r="R216" s="284"/>
      <c r="S216" s="18"/>
      <c r="T216" s="284"/>
      <c r="U216" s="284"/>
      <c r="V216" s="284"/>
      <c r="W216" s="18"/>
      <c r="X216" s="18"/>
      <c r="Y216" s="18"/>
      <c r="Z216" s="18"/>
    </row>
    <row r="217" spans="1:26" ht="16.5" customHeight="1" x14ac:dyDescent="0.35">
      <c r="A217" s="230"/>
      <c r="B217" s="230"/>
      <c r="C217" s="227" t="s">
        <v>204</v>
      </c>
      <c r="D217" s="218">
        <v>3</v>
      </c>
      <c r="E217" s="216">
        <v>3</v>
      </c>
      <c r="F217" s="218" t="s">
        <v>33</v>
      </c>
      <c r="G217" s="218" t="s">
        <v>97</v>
      </c>
      <c r="H217" s="74" t="s">
        <v>35</v>
      </c>
      <c r="I217" s="85" t="s">
        <v>40</v>
      </c>
      <c r="J217" s="74" t="s">
        <v>128</v>
      </c>
      <c r="K217" s="218" t="s">
        <v>54</v>
      </c>
      <c r="L217" s="66"/>
      <c r="M217" s="18"/>
      <c r="N217" s="18"/>
      <c r="O217" s="18"/>
      <c r="P217" s="293"/>
      <c r="Q217" s="295"/>
      <c r="R217" s="294"/>
      <c r="S217" s="18"/>
      <c r="T217" s="293"/>
      <c r="U217" s="295"/>
      <c r="V217" s="294"/>
      <c r="W217" s="18"/>
      <c r="X217" s="18"/>
      <c r="Y217" s="18"/>
      <c r="Z217" s="18"/>
    </row>
    <row r="218" spans="1:26" ht="16.5" customHeight="1" x14ac:dyDescent="0.35">
      <c r="A218" s="230"/>
      <c r="B218" s="230"/>
      <c r="C218" s="217"/>
      <c r="D218" s="217"/>
      <c r="E218" s="217"/>
      <c r="F218" s="217"/>
      <c r="G218" s="217"/>
      <c r="H218" s="74" t="s">
        <v>39</v>
      </c>
      <c r="I218" s="74" t="s">
        <v>108</v>
      </c>
      <c r="J218" s="74" t="s">
        <v>128</v>
      </c>
      <c r="K218" s="217"/>
      <c r="L218" s="66"/>
      <c r="M218" s="18"/>
      <c r="N218" s="18"/>
      <c r="O218" s="18"/>
      <c r="P218" s="284"/>
      <c r="Q218" s="284"/>
      <c r="R218" s="284"/>
      <c r="S218" s="18"/>
      <c r="T218" s="284"/>
      <c r="U218" s="284"/>
      <c r="V218" s="284"/>
      <c r="W218" s="18"/>
      <c r="X218" s="18"/>
      <c r="Y218" s="18"/>
      <c r="Z218" s="18"/>
    </row>
    <row r="219" spans="1:26" ht="16.5" customHeight="1" x14ac:dyDescent="0.35">
      <c r="A219" s="230"/>
      <c r="B219" s="230"/>
      <c r="C219" s="227" t="s">
        <v>202</v>
      </c>
      <c r="D219" s="218">
        <v>3</v>
      </c>
      <c r="E219" s="216">
        <v>1.5</v>
      </c>
      <c r="F219" s="218" t="s">
        <v>33</v>
      </c>
      <c r="G219" s="218" t="s">
        <v>79</v>
      </c>
      <c r="H219" s="74" t="s">
        <v>35</v>
      </c>
      <c r="I219" s="74" t="s">
        <v>40</v>
      </c>
      <c r="J219" s="74" t="s">
        <v>98</v>
      </c>
      <c r="K219" s="218" t="s">
        <v>38</v>
      </c>
      <c r="L219" s="66"/>
      <c r="M219" s="18"/>
      <c r="N219" s="18"/>
      <c r="O219" s="18"/>
      <c r="P219" s="293"/>
      <c r="Q219" s="295"/>
      <c r="R219" s="294"/>
      <c r="S219" s="18"/>
      <c r="T219" s="293"/>
      <c r="U219" s="295"/>
      <c r="V219" s="294"/>
      <c r="W219" s="18"/>
      <c r="X219" s="18"/>
      <c r="Y219" s="18"/>
      <c r="Z219" s="18"/>
    </row>
    <row r="220" spans="1:26" ht="16.5" customHeight="1" x14ac:dyDescent="0.35">
      <c r="A220" s="230"/>
      <c r="B220" s="230"/>
      <c r="C220" s="217"/>
      <c r="D220" s="217"/>
      <c r="E220" s="217"/>
      <c r="F220" s="217"/>
      <c r="G220" s="217"/>
      <c r="H220" s="74" t="s">
        <v>48</v>
      </c>
      <c r="I220" s="74" t="s">
        <v>36</v>
      </c>
      <c r="J220" s="74" t="s">
        <v>128</v>
      </c>
      <c r="K220" s="217"/>
      <c r="L220" s="66"/>
      <c r="M220" s="18"/>
      <c r="N220" s="18"/>
      <c r="O220" s="18"/>
      <c r="P220" s="284"/>
      <c r="Q220" s="284"/>
      <c r="R220" s="284"/>
      <c r="S220" s="18"/>
      <c r="T220" s="284"/>
      <c r="U220" s="284"/>
      <c r="V220" s="284"/>
      <c r="W220" s="18"/>
      <c r="X220" s="18"/>
      <c r="Y220" s="18"/>
      <c r="Z220" s="18"/>
    </row>
    <row r="221" spans="1:26" ht="16.5" customHeight="1" x14ac:dyDescent="0.35">
      <c r="A221" s="230"/>
      <c r="B221" s="230"/>
      <c r="C221" s="227" t="s">
        <v>202</v>
      </c>
      <c r="D221" s="218">
        <v>3</v>
      </c>
      <c r="E221" s="216">
        <v>3</v>
      </c>
      <c r="F221" s="218" t="s">
        <v>33</v>
      </c>
      <c r="G221" s="218" t="s">
        <v>97</v>
      </c>
      <c r="H221" s="74" t="s">
        <v>39</v>
      </c>
      <c r="I221" s="74" t="s">
        <v>36</v>
      </c>
      <c r="J221" s="74" t="s">
        <v>128</v>
      </c>
      <c r="K221" s="218" t="s">
        <v>38</v>
      </c>
      <c r="L221" s="66"/>
      <c r="M221" s="18"/>
      <c r="N221" s="18"/>
      <c r="O221" s="18"/>
      <c r="P221" s="293"/>
      <c r="Q221" s="295"/>
      <c r="R221" s="294"/>
      <c r="S221" s="18"/>
      <c r="T221" s="293"/>
      <c r="U221" s="295"/>
      <c r="V221" s="294"/>
      <c r="W221" s="18"/>
      <c r="X221" s="18"/>
      <c r="Y221" s="18"/>
      <c r="Z221" s="18"/>
    </row>
    <row r="222" spans="1:26" ht="16.5" customHeight="1" x14ac:dyDescent="0.35">
      <c r="A222" s="230"/>
      <c r="B222" s="219"/>
      <c r="C222" s="217"/>
      <c r="D222" s="217"/>
      <c r="E222" s="217"/>
      <c r="F222" s="217"/>
      <c r="G222" s="217"/>
      <c r="H222" s="74" t="s">
        <v>48</v>
      </c>
      <c r="I222" s="74" t="s">
        <v>44</v>
      </c>
      <c r="J222" s="74" t="s">
        <v>128</v>
      </c>
      <c r="K222" s="217"/>
      <c r="L222" s="66"/>
      <c r="M222" s="18"/>
      <c r="N222" s="18"/>
      <c r="O222" s="18"/>
      <c r="P222" s="284"/>
      <c r="Q222" s="284"/>
      <c r="R222" s="284"/>
      <c r="S222" s="18"/>
      <c r="T222" s="284"/>
      <c r="U222" s="284"/>
      <c r="V222" s="284"/>
      <c r="W222" s="18"/>
      <c r="X222" s="18"/>
      <c r="Y222" s="18"/>
      <c r="Z222" s="18"/>
    </row>
    <row r="223" spans="1:26" ht="16.5" customHeight="1" x14ac:dyDescent="0.35">
      <c r="A223" s="217"/>
      <c r="B223" s="228" t="s">
        <v>72</v>
      </c>
      <c r="C223" s="221"/>
      <c r="D223" s="222"/>
      <c r="E223" s="71">
        <f>SUM(E211:E222)</f>
        <v>16.5</v>
      </c>
      <c r="F223" s="220"/>
      <c r="G223" s="221"/>
      <c r="H223" s="221"/>
      <c r="I223" s="221"/>
      <c r="J223" s="221"/>
      <c r="K223" s="222"/>
      <c r="L223" s="66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6.5" customHeight="1" x14ac:dyDescent="0.35">
      <c r="A224" s="86"/>
      <c r="B224" s="87"/>
      <c r="C224" s="87"/>
      <c r="D224" s="88"/>
      <c r="E224" s="89"/>
      <c r="F224" s="88"/>
      <c r="G224" s="88"/>
      <c r="H224" s="88"/>
      <c r="I224" s="88"/>
      <c r="J224" s="88"/>
      <c r="K224" s="88"/>
      <c r="L224" s="66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6.5" customHeight="1" x14ac:dyDescent="0.35">
      <c r="A225" s="90"/>
      <c r="B225" s="91"/>
      <c r="C225" s="91"/>
      <c r="D225" s="4"/>
      <c r="E225" s="5"/>
      <c r="F225" s="4"/>
      <c r="G225" s="4"/>
      <c r="H225" s="4"/>
      <c r="I225" s="4"/>
      <c r="J225" s="4"/>
      <c r="K225" s="4"/>
      <c r="L225" s="66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6.5" customHeight="1" x14ac:dyDescent="0.35">
      <c r="A226" s="90"/>
      <c r="B226" s="91"/>
      <c r="C226" s="91"/>
      <c r="D226" s="4"/>
      <c r="E226" s="5"/>
      <c r="F226" s="4"/>
      <c r="G226" s="4"/>
      <c r="H226" s="4"/>
      <c r="I226" s="4"/>
      <c r="J226" s="4"/>
      <c r="K226" s="4"/>
      <c r="L226" s="66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6.5" customHeight="1" x14ac:dyDescent="0.35">
      <c r="A227" s="90"/>
      <c r="B227" s="91"/>
      <c r="C227" s="91"/>
      <c r="D227" s="4"/>
      <c r="E227" s="5"/>
      <c r="F227" s="4"/>
      <c r="G227" s="4"/>
      <c r="H227" s="4"/>
      <c r="I227" s="4"/>
      <c r="J227" s="4"/>
      <c r="K227" s="4"/>
      <c r="L227" s="66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6.5" customHeight="1" x14ac:dyDescent="0.35">
      <c r="A228" s="90"/>
      <c r="B228" s="91"/>
      <c r="C228" s="91"/>
      <c r="D228" s="4"/>
      <c r="E228" s="5"/>
      <c r="F228" s="4"/>
      <c r="G228" s="4"/>
      <c r="H228" s="4"/>
      <c r="I228" s="4"/>
      <c r="J228" s="4"/>
      <c r="K228" s="4"/>
      <c r="L228" s="66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6.5" customHeight="1" x14ac:dyDescent="0.35">
      <c r="A229" s="90"/>
      <c r="B229" s="91"/>
      <c r="C229" s="91"/>
      <c r="D229" s="4"/>
      <c r="E229" s="5"/>
      <c r="F229" s="4"/>
      <c r="G229" s="4"/>
      <c r="H229" s="4"/>
      <c r="I229" s="4"/>
      <c r="J229" s="4"/>
      <c r="K229" s="4"/>
      <c r="L229" s="66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6.5" customHeight="1" x14ac:dyDescent="0.35">
      <c r="A230" s="90"/>
      <c r="B230" s="91"/>
      <c r="C230" s="91"/>
      <c r="D230" s="4"/>
      <c r="E230" s="5"/>
      <c r="F230" s="4"/>
      <c r="G230" s="4"/>
      <c r="H230" s="4"/>
      <c r="I230" s="4"/>
      <c r="J230" s="4"/>
      <c r="K230" s="4"/>
      <c r="L230" s="66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6.5" customHeight="1" x14ac:dyDescent="0.35">
      <c r="A231" s="223" t="s">
        <v>7</v>
      </c>
      <c r="B231" s="223" t="s">
        <v>8</v>
      </c>
      <c r="C231" s="223" t="s">
        <v>9</v>
      </c>
      <c r="D231" s="220" t="s">
        <v>10</v>
      </c>
      <c r="E231" s="222"/>
      <c r="F231" s="223" t="s">
        <v>11</v>
      </c>
      <c r="G231" s="223" t="s">
        <v>12</v>
      </c>
      <c r="H231" s="226" t="s">
        <v>13</v>
      </c>
      <c r="I231" s="221"/>
      <c r="J231" s="221"/>
      <c r="K231" s="222"/>
      <c r="L231" s="66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6.5" customHeight="1" x14ac:dyDescent="0.35">
      <c r="A232" s="217"/>
      <c r="B232" s="217"/>
      <c r="C232" s="217"/>
      <c r="D232" s="70" t="s">
        <v>14</v>
      </c>
      <c r="E232" s="71" t="s">
        <v>15</v>
      </c>
      <c r="F232" s="217"/>
      <c r="G232" s="217"/>
      <c r="H232" s="70" t="s">
        <v>16</v>
      </c>
      <c r="I232" s="70" t="s">
        <v>17</v>
      </c>
      <c r="J232" s="70" t="s">
        <v>18</v>
      </c>
      <c r="K232" s="70" t="s">
        <v>19</v>
      </c>
      <c r="L232" s="66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6.5" customHeight="1" x14ac:dyDescent="0.35">
      <c r="A233" s="72" t="s">
        <v>20</v>
      </c>
      <c r="B233" s="73" t="s">
        <v>21</v>
      </c>
      <c r="C233" s="73" t="s">
        <v>22</v>
      </c>
      <c r="D233" s="70" t="s">
        <v>23</v>
      </c>
      <c r="E233" s="71" t="s">
        <v>24</v>
      </c>
      <c r="F233" s="70" t="s">
        <v>25</v>
      </c>
      <c r="G233" s="70" t="s">
        <v>26</v>
      </c>
      <c r="H233" s="70" t="s">
        <v>27</v>
      </c>
      <c r="I233" s="70" t="s">
        <v>28</v>
      </c>
      <c r="J233" s="70" t="s">
        <v>29</v>
      </c>
      <c r="K233" s="70" t="s">
        <v>30</v>
      </c>
      <c r="L233" s="66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6.5" customHeight="1" x14ac:dyDescent="0.35">
      <c r="A234" s="229">
        <v>14</v>
      </c>
      <c r="B234" s="235" t="s">
        <v>205</v>
      </c>
      <c r="C234" s="227" t="s">
        <v>186</v>
      </c>
      <c r="D234" s="218">
        <v>3</v>
      </c>
      <c r="E234" s="216">
        <v>3</v>
      </c>
      <c r="F234" s="218" t="s">
        <v>75</v>
      </c>
      <c r="G234" s="218" t="s">
        <v>136</v>
      </c>
      <c r="H234" s="74" t="s">
        <v>35</v>
      </c>
      <c r="I234" s="74" t="s">
        <v>40</v>
      </c>
      <c r="J234" s="74" t="s">
        <v>98</v>
      </c>
      <c r="K234" s="218" t="s">
        <v>54</v>
      </c>
      <c r="L234" s="66"/>
      <c r="M234" s="18"/>
      <c r="N234" s="18"/>
      <c r="O234" s="18"/>
      <c r="P234" s="293"/>
      <c r="Q234" s="295"/>
      <c r="R234" s="294"/>
      <c r="S234" s="18"/>
      <c r="T234" s="293"/>
      <c r="U234" s="295"/>
      <c r="V234" s="294"/>
      <c r="W234" s="18"/>
      <c r="X234" s="18"/>
      <c r="Y234" s="18"/>
      <c r="Z234" s="18"/>
    </row>
    <row r="235" spans="1:26" ht="16.5" customHeight="1" x14ac:dyDescent="0.35">
      <c r="A235" s="230"/>
      <c r="B235" s="236"/>
      <c r="C235" s="217"/>
      <c r="D235" s="217"/>
      <c r="E235" s="217"/>
      <c r="F235" s="217"/>
      <c r="G235" s="217"/>
      <c r="H235" s="74" t="s">
        <v>48</v>
      </c>
      <c r="I235" s="74" t="s">
        <v>108</v>
      </c>
      <c r="J235" s="74" t="s">
        <v>206</v>
      </c>
      <c r="K235" s="217"/>
      <c r="L235" s="66"/>
      <c r="M235" s="18"/>
      <c r="N235" s="18"/>
      <c r="O235" s="18"/>
      <c r="P235" s="284"/>
      <c r="Q235" s="284"/>
      <c r="R235" s="284"/>
      <c r="S235" s="18"/>
      <c r="T235" s="284"/>
      <c r="U235" s="284"/>
      <c r="V235" s="284"/>
      <c r="W235" s="18"/>
      <c r="X235" s="18"/>
      <c r="Y235" s="18"/>
      <c r="Z235" s="18"/>
    </row>
    <row r="236" spans="1:26" ht="16.5" customHeight="1" x14ac:dyDescent="0.35">
      <c r="A236" s="230"/>
      <c r="B236" s="236"/>
      <c r="C236" s="227" t="s">
        <v>186</v>
      </c>
      <c r="D236" s="218">
        <v>3</v>
      </c>
      <c r="E236" s="216">
        <v>3</v>
      </c>
      <c r="F236" s="218" t="s">
        <v>75</v>
      </c>
      <c r="G236" s="218" t="s">
        <v>76</v>
      </c>
      <c r="H236" s="74" t="s">
        <v>46</v>
      </c>
      <c r="I236" s="74" t="s">
        <v>108</v>
      </c>
      <c r="J236" s="74" t="s">
        <v>96</v>
      </c>
      <c r="K236" s="218" t="s">
        <v>54</v>
      </c>
      <c r="L236" s="66"/>
      <c r="M236" s="18"/>
      <c r="N236" s="18"/>
      <c r="O236" s="18"/>
      <c r="P236" s="293"/>
      <c r="Q236" s="295"/>
      <c r="R236" s="294"/>
      <c r="S236" s="18"/>
      <c r="T236" s="293"/>
      <c r="U236" s="295"/>
      <c r="V236" s="294"/>
      <c r="W236" s="18"/>
      <c r="X236" s="18"/>
      <c r="Y236" s="18"/>
      <c r="Z236" s="18"/>
    </row>
    <row r="237" spans="1:26" ht="16.5" customHeight="1" x14ac:dyDescent="0.35">
      <c r="A237" s="230"/>
      <c r="B237" s="236"/>
      <c r="C237" s="217"/>
      <c r="D237" s="217"/>
      <c r="E237" s="217"/>
      <c r="F237" s="217"/>
      <c r="G237" s="217"/>
      <c r="H237" s="74" t="s">
        <v>55</v>
      </c>
      <c r="I237" s="74" t="s">
        <v>36</v>
      </c>
      <c r="J237" s="74" t="s">
        <v>71</v>
      </c>
      <c r="K237" s="217"/>
      <c r="L237" s="66"/>
      <c r="M237" s="18"/>
      <c r="N237" s="18"/>
      <c r="O237" s="18"/>
      <c r="P237" s="284"/>
      <c r="Q237" s="284"/>
      <c r="R237" s="284"/>
      <c r="S237" s="18"/>
      <c r="T237" s="284"/>
      <c r="U237" s="284"/>
      <c r="V237" s="284"/>
      <c r="W237" s="18"/>
      <c r="X237" s="18"/>
      <c r="Y237" s="18"/>
      <c r="Z237" s="18"/>
    </row>
    <row r="238" spans="1:26" ht="16.5" customHeight="1" x14ac:dyDescent="0.35">
      <c r="A238" s="230"/>
      <c r="B238" s="236"/>
      <c r="C238" s="227" t="s">
        <v>207</v>
      </c>
      <c r="D238" s="218">
        <v>2</v>
      </c>
      <c r="E238" s="216">
        <v>2</v>
      </c>
      <c r="F238" s="218" t="s">
        <v>75</v>
      </c>
      <c r="G238" s="218" t="s">
        <v>97</v>
      </c>
      <c r="H238" s="85" t="s">
        <v>39</v>
      </c>
      <c r="I238" s="74" t="s">
        <v>123</v>
      </c>
      <c r="J238" s="74" t="s">
        <v>208</v>
      </c>
      <c r="K238" s="218" t="s">
        <v>38</v>
      </c>
      <c r="L238" s="66"/>
      <c r="M238" s="22"/>
      <c r="N238" s="22"/>
      <c r="O238" s="22"/>
      <c r="P238" s="293"/>
      <c r="Q238" s="295"/>
      <c r="R238" s="294"/>
      <c r="S238" s="18"/>
      <c r="T238" s="293"/>
      <c r="U238" s="295"/>
      <c r="V238" s="294"/>
      <c r="W238" s="18"/>
      <c r="X238" s="18"/>
      <c r="Y238" s="18"/>
      <c r="Z238" s="18"/>
    </row>
    <row r="239" spans="1:26" ht="16.5" customHeight="1" x14ac:dyDescent="0.35">
      <c r="A239" s="230"/>
      <c r="B239" s="236"/>
      <c r="C239" s="217"/>
      <c r="D239" s="217"/>
      <c r="E239" s="217"/>
      <c r="F239" s="217"/>
      <c r="G239" s="217"/>
      <c r="H239" s="85" t="s">
        <v>55</v>
      </c>
      <c r="I239" s="74" t="s">
        <v>36</v>
      </c>
      <c r="J239" s="74" t="s">
        <v>65</v>
      </c>
      <c r="K239" s="217"/>
      <c r="L239" s="66"/>
      <c r="M239" s="22"/>
      <c r="N239" s="22"/>
      <c r="O239" s="22"/>
      <c r="P239" s="284"/>
      <c r="Q239" s="284"/>
      <c r="R239" s="284"/>
      <c r="S239" s="18"/>
      <c r="T239" s="284"/>
      <c r="U239" s="284"/>
      <c r="V239" s="284"/>
      <c r="W239" s="18"/>
      <c r="X239" s="18"/>
      <c r="Y239" s="18"/>
      <c r="Z239" s="18"/>
    </row>
    <row r="240" spans="1:26" ht="16.5" customHeight="1" x14ac:dyDescent="0.35">
      <c r="A240" s="230"/>
      <c r="B240" s="236"/>
      <c r="C240" s="227" t="s">
        <v>207</v>
      </c>
      <c r="D240" s="218">
        <v>2</v>
      </c>
      <c r="E240" s="216">
        <v>2</v>
      </c>
      <c r="F240" s="218" t="s">
        <v>158</v>
      </c>
      <c r="G240" s="218" t="s">
        <v>136</v>
      </c>
      <c r="H240" s="74" t="s">
        <v>35</v>
      </c>
      <c r="I240" s="74" t="s">
        <v>56</v>
      </c>
      <c r="J240" s="74" t="s">
        <v>53</v>
      </c>
      <c r="K240" s="218" t="s">
        <v>38</v>
      </c>
      <c r="L240" s="66"/>
      <c r="M240" s="22"/>
      <c r="N240" s="22"/>
      <c r="O240" s="22"/>
      <c r="P240" s="293"/>
      <c r="Q240" s="295"/>
      <c r="R240" s="294"/>
      <c r="S240" s="18"/>
      <c r="T240" s="293"/>
      <c r="U240" s="295"/>
      <c r="V240" s="294"/>
      <c r="W240" s="18"/>
      <c r="X240" s="18"/>
      <c r="Y240" s="18"/>
      <c r="Z240" s="18"/>
    </row>
    <row r="241" spans="1:26" ht="16.5" customHeight="1" x14ac:dyDescent="0.35">
      <c r="A241" s="230"/>
      <c r="B241" s="236"/>
      <c r="C241" s="217"/>
      <c r="D241" s="217"/>
      <c r="E241" s="217"/>
      <c r="F241" s="217"/>
      <c r="G241" s="217"/>
      <c r="H241" s="74" t="s">
        <v>55</v>
      </c>
      <c r="I241" s="74" t="s">
        <v>179</v>
      </c>
      <c r="J241" s="74" t="s">
        <v>149</v>
      </c>
      <c r="K241" s="217"/>
      <c r="L241" s="66"/>
      <c r="M241" s="22"/>
      <c r="N241" s="22"/>
      <c r="O241" s="22"/>
      <c r="P241" s="284"/>
      <c r="Q241" s="284"/>
      <c r="R241" s="284"/>
      <c r="S241" s="18"/>
      <c r="T241" s="284"/>
      <c r="U241" s="284"/>
      <c r="V241" s="284"/>
      <c r="W241" s="18"/>
      <c r="X241" s="18"/>
      <c r="Y241" s="18"/>
      <c r="Z241" s="18"/>
    </row>
    <row r="242" spans="1:26" ht="16.5" customHeight="1" x14ac:dyDescent="0.35">
      <c r="A242" s="230"/>
      <c r="B242" s="236"/>
      <c r="C242" s="227" t="s">
        <v>161</v>
      </c>
      <c r="D242" s="218">
        <v>2</v>
      </c>
      <c r="E242" s="216">
        <v>2</v>
      </c>
      <c r="F242" s="218" t="s">
        <v>75</v>
      </c>
      <c r="G242" s="218" t="s">
        <v>209</v>
      </c>
      <c r="H242" s="74" t="s">
        <v>46</v>
      </c>
      <c r="I242" s="74" t="s">
        <v>52</v>
      </c>
      <c r="J242" s="74" t="s">
        <v>190</v>
      </c>
      <c r="K242" s="218" t="s">
        <v>54</v>
      </c>
      <c r="L242" s="66"/>
      <c r="M242" s="18"/>
      <c r="N242" s="18"/>
      <c r="O242" s="18"/>
      <c r="P242" s="293"/>
      <c r="Q242" s="295"/>
      <c r="R242" s="294"/>
      <c r="S242" s="18"/>
      <c r="T242" s="293"/>
      <c r="U242" s="295"/>
      <c r="V242" s="294"/>
      <c r="W242" s="18"/>
      <c r="X242" s="18"/>
      <c r="Y242" s="18"/>
      <c r="Z242" s="18"/>
    </row>
    <row r="243" spans="1:26" ht="16.5" customHeight="1" x14ac:dyDescent="0.35">
      <c r="A243" s="230"/>
      <c r="B243" s="236"/>
      <c r="C243" s="217"/>
      <c r="D243" s="217"/>
      <c r="E243" s="217"/>
      <c r="F243" s="217"/>
      <c r="G243" s="217"/>
      <c r="H243" s="74" t="s">
        <v>48</v>
      </c>
      <c r="I243" s="74" t="s">
        <v>56</v>
      </c>
      <c r="J243" s="74" t="s">
        <v>163</v>
      </c>
      <c r="K243" s="217"/>
      <c r="L243" s="66"/>
      <c r="M243" s="18"/>
      <c r="N243" s="18"/>
      <c r="O243" s="18"/>
      <c r="P243" s="284"/>
      <c r="Q243" s="284"/>
      <c r="R243" s="284"/>
      <c r="S243" s="18"/>
      <c r="T243" s="284"/>
      <c r="U243" s="284"/>
      <c r="V243" s="284"/>
      <c r="W243" s="18"/>
      <c r="X243" s="18"/>
      <c r="Y243" s="18"/>
      <c r="Z243" s="18"/>
    </row>
    <row r="244" spans="1:26" ht="16.5" customHeight="1" x14ac:dyDescent="0.35">
      <c r="A244" s="230"/>
      <c r="B244" s="236"/>
      <c r="C244" s="227" t="s">
        <v>161</v>
      </c>
      <c r="D244" s="218">
        <v>2</v>
      </c>
      <c r="E244" s="216">
        <v>2</v>
      </c>
      <c r="F244" s="218" t="s">
        <v>75</v>
      </c>
      <c r="G244" s="218" t="s">
        <v>210</v>
      </c>
      <c r="H244" s="74" t="s">
        <v>46</v>
      </c>
      <c r="I244" s="74" t="s">
        <v>56</v>
      </c>
      <c r="J244" s="74" t="s">
        <v>163</v>
      </c>
      <c r="K244" s="218" t="s">
        <v>54</v>
      </c>
      <c r="L244" s="66"/>
      <c r="M244" s="18"/>
      <c r="N244" s="18"/>
      <c r="O244" s="18"/>
      <c r="P244" s="293"/>
      <c r="Q244" s="295"/>
      <c r="R244" s="294"/>
      <c r="S244" s="18"/>
      <c r="T244" s="293"/>
      <c r="U244" s="295"/>
      <c r="V244" s="294"/>
      <c r="W244" s="18"/>
      <c r="X244" s="18"/>
      <c r="Y244" s="18"/>
      <c r="Z244" s="18"/>
    </row>
    <row r="245" spans="1:26" ht="16.5" customHeight="1" x14ac:dyDescent="0.35">
      <c r="A245" s="230"/>
      <c r="B245" s="237"/>
      <c r="C245" s="217"/>
      <c r="D245" s="217"/>
      <c r="E245" s="217"/>
      <c r="F245" s="217"/>
      <c r="G245" s="217"/>
      <c r="H245" s="74" t="s">
        <v>48</v>
      </c>
      <c r="I245" s="74" t="s">
        <v>52</v>
      </c>
      <c r="J245" s="74" t="s">
        <v>163</v>
      </c>
      <c r="K245" s="217"/>
      <c r="L245" s="66" t="s">
        <v>102</v>
      </c>
      <c r="M245" s="18"/>
      <c r="N245" s="18"/>
      <c r="O245" s="18"/>
      <c r="P245" s="284"/>
      <c r="Q245" s="284"/>
      <c r="R245" s="284"/>
      <c r="S245" s="18"/>
      <c r="T245" s="284"/>
      <c r="U245" s="284"/>
      <c r="V245" s="284"/>
      <c r="W245" s="18"/>
      <c r="X245" s="18"/>
      <c r="Y245" s="18"/>
      <c r="Z245" s="18"/>
    </row>
    <row r="246" spans="1:26" ht="16.5" customHeight="1" x14ac:dyDescent="0.35">
      <c r="A246" s="230"/>
      <c r="B246" s="92"/>
      <c r="C246" s="80" t="s">
        <v>191</v>
      </c>
      <c r="D246" s="74">
        <v>3</v>
      </c>
      <c r="E246" s="81">
        <v>3</v>
      </c>
      <c r="F246" s="74" t="s">
        <v>75</v>
      </c>
      <c r="G246" s="74" t="s">
        <v>211</v>
      </c>
      <c r="H246" s="74" t="s">
        <v>119</v>
      </c>
      <c r="I246" s="74" t="s">
        <v>82</v>
      </c>
      <c r="J246" s="74" t="s">
        <v>53</v>
      </c>
      <c r="K246" s="74" t="s">
        <v>93</v>
      </c>
      <c r="L246" s="66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6.5" customHeight="1" x14ac:dyDescent="0.35">
      <c r="A247" s="217"/>
      <c r="B247" s="228" t="s">
        <v>72</v>
      </c>
      <c r="C247" s="221"/>
      <c r="D247" s="222"/>
      <c r="E247" s="71">
        <f>SUM(E234:E245)</f>
        <v>14</v>
      </c>
      <c r="F247" s="220"/>
      <c r="G247" s="221"/>
      <c r="H247" s="221"/>
      <c r="I247" s="221"/>
      <c r="J247" s="221"/>
      <c r="K247" s="222"/>
      <c r="L247" s="66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6.5" customHeight="1" x14ac:dyDescent="0.35">
      <c r="A248" s="229">
        <v>15</v>
      </c>
      <c r="B248" s="235" t="s">
        <v>212</v>
      </c>
      <c r="C248" s="227" t="s">
        <v>148</v>
      </c>
      <c r="D248" s="218">
        <v>3</v>
      </c>
      <c r="E248" s="216">
        <v>3</v>
      </c>
      <c r="F248" s="218" t="s">
        <v>75</v>
      </c>
      <c r="G248" s="218" t="s">
        <v>101</v>
      </c>
      <c r="H248" s="74" t="s">
        <v>35</v>
      </c>
      <c r="I248" s="74" t="s">
        <v>36</v>
      </c>
      <c r="J248" s="74" t="s">
        <v>206</v>
      </c>
      <c r="K248" s="218" t="s">
        <v>38</v>
      </c>
      <c r="L248" s="66"/>
      <c r="M248" s="18"/>
      <c r="N248" s="18"/>
      <c r="O248" s="18"/>
      <c r="P248" s="293"/>
      <c r="Q248" s="295"/>
      <c r="R248" s="294"/>
      <c r="S248" s="18"/>
      <c r="T248" s="293"/>
      <c r="U248" s="295"/>
      <c r="V248" s="294"/>
      <c r="W248" s="18"/>
      <c r="X248" s="18"/>
      <c r="Y248" s="18"/>
      <c r="Z248" s="18"/>
    </row>
    <row r="249" spans="1:26" ht="16.5" customHeight="1" x14ac:dyDescent="0.35">
      <c r="A249" s="230"/>
      <c r="B249" s="236"/>
      <c r="C249" s="217"/>
      <c r="D249" s="217"/>
      <c r="E249" s="217"/>
      <c r="F249" s="217"/>
      <c r="G249" s="217"/>
      <c r="H249" s="74" t="s">
        <v>55</v>
      </c>
      <c r="I249" s="74" t="s">
        <v>36</v>
      </c>
      <c r="J249" s="74" t="s">
        <v>53</v>
      </c>
      <c r="K249" s="217"/>
      <c r="L249" s="66"/>
      <c r="M249" s="18"/>
      <c r="N249" s="18"/>
      <c r="O249" s="18"/>
      <c r="P249" s="284"/>
      <c r="Q249" s="284"/>
      <c r="R249" s="284"/>
      <c r="S249" s="18"/>
      <c r="T249" s="284"/>
      <c r="U249" s="284"/>
      <c r="V249" s="284"/>
      <c r="W249" s="18"/>
      <c r="X249" s="18"/>
      <c r="Y249" s="18"/>
      <c r="Z249" s="18"/>
    </row>
    <row r="250" spans="1:26" ht="16.5" customHeight="1" x14ac:dyDescent="0.35">
      <c r="A250" s="230"/>
      <c r="B250" s="236"/>
      <c r="C250" s="227" t="s">
        <v>148</v>
      </c>
      <c r="D250" s="218">
        <v>3</v>
      </c>
      <c r="E250" s="216">
        <v>3</v>
      </c>
      <c r="F250" s="218" t="s">
        <v>158</v>
      </c>
      <c r="G250" s="218" t="s">
        <v>101</v>
      </c>
      <c r="H250" s="74" t="s">
        <v>35</v>
      </c>
      <c r="I250" s="74" t="s">
        <v>36</v>
      </c>
      <c r="J250" s="74" t="s">
        <v>71</v>
      </c>
      <c r="K250" s="218" t="s">
        <v>38</v>
      </c>
      <c r="L250" s="66"/>
      <c r="M250" s="18"/>
      <c r="N250" s="18"/>
      <c r="O250" s="18"/>
      <c r="P250" s="293"/>
      <c r="Q250" s="295"/>
      <c r="R250" s="294"/>
      <c r="S250" s="18"/>
      <c r="T250" s="293"/>
      <c r="U250" s="295"/>
      <c r="V250" s="294"/>
      <c r="W250" s="18"/>
      <c r="X250" s="18"/>
      <c r="Y250" s="18"/>
      <c r="Z250" s="18"/>
    </row>
    <row r="251" spans="1:26" ht="16.5" customHeight="1" x14ac:dyDescent="0.35">
      <c r="A251" s="230"/>
      <c r="B251" s="236"/>
      <c r="C251" s="217"/>
      <c r="D251" s="217"/>
      <c r="E251" s="217"/>
      <c r="F251" s="217"/>
      <c r="G251" s="217"/>
      <c r="H251" s="74" t="s">
        <v>55</v>
      </c>
      <c r="I251" s="74" t="s">
        <v>44</v>
      </c>
      <c r="J251" s="74" t="s">
        <v>208</v>
      </c>
      <c r="K251" s="217"/>
      <c r="L251" s="66"/>
      <c r="M251" s="18"/>
      <c r="N251" s="18"/>
      <c r="O251" s="18"/>
      <c r="P251" s="284"/>
      <c r="Q251" s="284"/>
      <c r="R251" s="284"/>
      <c r="S251" s="18"/>
      <c r="T251" s="284"/>
      <c r="U251" s="284"/>
      <c r="V251" s="284"/>
      <c r="W251" s="18"/>
      <c r="X251" s="18"/>
      <c r="Y251" s="18"/>
      <c r="Z251" s="18"/>
    </row>
    <row r="252" spans="1:26" ht="16.5" customHeight="1" x14ac:dyDescent="0.35">
      <c r="A252" s="230"/>
      <c r="B252" s="236"/>
      <c r="C252" s="227" t="s">
        <v>213</v>
      </c>
      <c r="D252" s="218">
        <v>3</v>
      </c>
      <c r="E252" s="216">
        <v>1</v>
      </c>
      <c r="F252" s="218" t="s">
        <v>63</v>
      </c>
      <c r="G252" s="218" t="s">
        <v>34</v>
      </c>
      <c r="H252" s="74" t="s">
        <v>35</v>
      </c>
      <c r="I252" s="74" t="s">
        <v>108</v>
      </c>
      <c r="J252" s="74" t="s">
        <v>65</v>
      </c>
      <c r="K252" s="218" t="s">
        <v>54</v>
      </c>
      <c r="L252" s="66"/>
      <c r="M252" s="18"/>
      <c r="N252" s="18"/>
      <c r="O252" s="18"/>
      <c r="P252" s="293"/>
      <c r="Q252" s="295"/>
      <c r="R252" s="294"/>
      <c r="S252" s="18"/>
      <c r="T252" s="293"/>
      <c r="U252" s="295"/>
      <c r="V252" s="294"/>
      <c r="W252" s="18"/>
      <c r="X252" s="18"/>
      <c r="Y252" s="18"/>
      <c r="Z252" s="18"/>
    </row>
    <row r="253" spans="1:26" ht="16.5" customHeight="1" x14ac:dyDescent="0.35">
      <c r="A253" s="230"/>
      <c r="B253" s="236"/>
      <c r="C253" s="217"/>
      <c r="D253" s="217"/>
      <c r="E253" s="217"/>
      <c r="F253" s="217"/>
      <c r="G253" s="217"/>
      <c r="H253" s="74" t="s">
        <v>46</v>
      </c>
      <c r="I253" s="74" t="s">
        <v>108</v>
      </c>
      <c r="J253" s="74" t="s">
        <v>65</v>
      </c>
      <c r="K253" s="217"/>
      <c r="L253" s="66"/>
      <c r="M253" s="18"/>
      <c r="N253" s="18"/>
      <c r="O253" s="18"/>
      <c r="P253" s="284"/>
      <c r="Q253" s="284"/>
      <c r="R253" s="284"/>
      <c r="S253" s="18"/>
      <c r="T253" s="284"/>
      <c r="U253" s="284"/>
      <c r="V253" s="284"/>
      <c r="W253" s="18"/>
      <c r="X253" s="18"/>
      <c r="Y253" s="18"/>
      <c r="Z253" s="18"/>
    </row>
    <row r="254" spans="1:26" ht="16.5" customHeight="1" x14ac:dyDescent="0.35">
      <c r="A254" s="230"/>
      <c r="B254" s="236"/>
      <c r="C254" s="227" t="s">
        <v>67</v>
      </c>
      <c r="D254" s="218">
        <v>4</v>
      </c>
      <c r="E254" s="216">
        <v>2</v>
      </c>
      <c r="F254" s="218" t="s">
        <v>68</v>
      </c>
      <c r="G254" s="218" t="s">
        <v>101</v>
      </c>
      <c r="H254" s="93" t="s">
        <v>35</v>
      </c>
      <c r="I254" s="76" t="s">
        <v>70</v>
      </c>
      <c r="J254" s="76" t="s">
        <v>111</v>
      </c>
      <c r="K254" s="218" t="s">
        <v>54</v>
      </c>
      <c r="L254" s="66"/>
      <c r="M254" s="18"/>
      <c r="N254" s="18"/>
      <c r="O254" s="18"/>
      <c r="P254" s="293"/>
      <c r="Q254" s="295"/>
      <c r="R254" s="294"/>
      <c r="S254" s="18"/>
      <c r="T254" s="293"/>
      <c r="U254" s="295"/>
      <c r="V254" s="294"/>
      <c r="W254" s="18"/>
      <c r="X254" s="18"/>
      <c r="Y254" s="18"/>
      <c r="Z254" s="18"/>
    </row>
    <row r="255" spans="1:26" ht="16.5" customHeight="1" x14ac:dyDescent="0.35">
      <c r="A255" s="230"/>
      <c r="B255" s="240"/>
      <c r="C255" s="217"/>
      <c r="D255" s="217"/>
      <c r="E255" s="217"/>
      <c r="F255" s="217"/>
      <c r="G255" s="217"/>
      <c r="H255" s="93" t="s">
        <v>48</v>
      </c>
      <c r="I255" s="76" t="s">
        <v>70</v>
      </c>
      <c r="J255" s="76" t="s">
        <v>111</v>
      </c>
      <c r="K255" s="217"/>
      <c r="L255" s="66"/>
      <c r="M255" s="18"/>
      <c r="N255" s="18"/>
      <c r="O255" s="18"/>
      <c r="P255" s="284"/>
      <c r="Q255" s="284"/>
      <c r="R255" s="284"/>
      <c r="S255" s="18"/>
      <c r="T255" s="284"/>
      <c r="U255" s="284"/>
      <c r="V255" s="284"/>
      <c r="W255" s="18"/>
      <c r="X255" s="18"/>
      <c r="Y255" s="18"/>
      <c r="Z255" s="18"/>
    </row>
    <row r="256" spans="1:26" ht="16.5" customHeight="1" x14ac:dyDescent="0.35">
      <c r="A256" s="217"/>
      <c r="B256" s="228" t="s">
        <v>72</v>
      </c>
      <c r="C256" s="221"/>
      <c r="D256" s="222"/>
      <c r="E256" s="71">
        <f>SUM(E248:E255)</f>
        <v>9</v>
      </c>
      <c r="F256" s="220"/>
      <c r="G256" s="221"/>
      <c r="H256" s="221"/>
      <c r="I256" s="221"/>
      <c r="J256" s="221"/>
      <c r="K256" s="222"/>
      <c r="L256" s="66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6.5" customHeight="1" x14ac:dyDescent="0.35">
      <c r="A257" s="229">
        <v>16</v>
      </c>
      <c r="B257" s="235" t="s">
        <v>214</v>
      </c>
      <c r="C257" s="227" t="s">
        <v>32</v>
      </c>
      <c r="D257" s="218">
        <v>3</v>
      </c>
      <c r="E257" s="216">
        <v>3</v>
      </c>
      <c r="F257" s="218" t="s">
        <v>106</v>
      </c>
      <c r="G257" s="218" t="s">
        <v>34</v>
      </c>
      <c r="H257" s="74" t="s">
        <v>46</v>
      </c>
      <c r="I257" s="74" t="s">
        <v>59</v>
      </c>
      <c r="J257" s="74" t="s">
        <v>197</v>
      </c>
      <c r="K257" s="218" t="s">
        <v>38</v>
      </c>
      <c r="L257" s="66"/>
      <c r="M257" s="18"/>
      <c r="N257" s="18"/>
      <c r="O257" s="18"/>
      <c r="P257" s="293"/>
      <c r="Q257" s="295"/>
      <c r="R257" s="294"/>
      <c r="S257" s="18"/>
      <c r="T257" s="293"/>
      <c r="U257" s="295"/>
      <c r="V257" s="294"/>
      <c r="W257" s="18"/>
      <c r="X257" s="18"/>
      <c r="Y257" s="18"/>
      <c r="Z257" s="18"/>
    </row>
    <row r="258" spans="1:26" ht="16.5" customHeight="1" x14ac:dyDescent="0.35">
      <c r="A258" s="230"/>
      <c r="B258" s="236"/>
      <c r="C258" s="217"/>
      <c r="D258" s="217"/>
      <c r="E258" s="217"/>
      <c r="F258" s="217"/>
      <c r="G258" s="217"/>
      <c r="H258" s="74" t="s">
        <v>39</v>
      </c>
      <c r="I258" s="74" t="s">
        <v>36</v>
      </c>
      <c r="J258" s="74" t="s">
        <v>143</v>
      </c>
      <c r="K258" s="217"/>
      <c r="L258" s="66"/>
      <c r="M258" s="18"/>
      <c r="N258" s="18"/>
      <c r="O258" s="18"/>
      <c r="P258" s="284"/>
      <c r="Q258" s="284"/>
      <c r="R258" s="284"/>
      <c r="S258" s="18"/>
      <c r="T258" s="284"/>
      <c r="U258" s="284"/>
      <c r="V258" s="284"/>
      <c r="W258" s="18"/>
      <c r="X258" s="18"/>
      <c r="Y258" s="18"/>
      <c r="Z258" s="18"/>
    </row>
    <row r="259" spans="1:26" ht="16.5" customHeight="1" x14ac:dyDescent="0.35">
      <c r="A259" s="230"/>
      <c r="B259" s="236"/>
      <c r="C259" s="227" t="s">
        <v>32</v>
      </c>
      <c r="D259" s="218">
        <v>3</v>
      </c>
      <c r="E259" s="216" t="s">
        <v>215</v>
      </c>
      <c r="F259" s="218" t="s">
        <v>106</v>
      </c>
      <c r="G259" s="218" t="s">
        <v>45</v>
      </c>
      <c r="H259" s="74" t="s">
        <v>35</v>
      </c>
      <c r="I259" s="74" t="s">
        <v>44</v>
      </c>
      <c r="J259" s="74" t="s">
        <v>107</v>
      </c>
      <c r="K259" s="218" t="s">
        <v>54</v>
      </c>
      <c r="L259" s="66"/>
      <c r="M259" s="18"/>
      <c r="N259" s="18"/>
      <c r="O259" s="18"/>
      <c r="P259" s="293"/>
      <c r="Q259" s="295"/>
      <c r="R259" s="294"/>
      <c r="S259" s="18"/>
      <c r="T259" s="293"/>
      <c r="U259" s="295"/>
      <c r="V259" s="294"/>
      <c r="W259" s="18"/>
      <c r="X259" s="18"/>
      <c r="Y259" s="18"/>
      <c r="Z259" s="18"/>
    </row>
    <row r="260" spans="1:26" ht="16.5" customHeight="1" x14ac:dyDescent="0.35">
      <c r="A260" s="230"/>
      <c r="B260" s="236"/>
      <c r="C260" s="217"/>
      <c r="D260" s="217"/>
      <c r="E260" s="217"/>
      <c r="F260" s="217"/>
      <c r="G260" s="217"/>
      <c r="H260" s="74" t="s">
        <v>48</v>
      </c>
      <c r="I260" s="74" t="s">
        <v>108</v>
      </c>
      <c r="J260" s="74" t="s">
        <v>107</v>
      </c>
      <c r="K260" s="217"/>
      <c r="L260" s="66"/>
      <c r="M260" s="18"/>
      <c r="N260" s="18"/>
      <c r="O260" s="18"/>
      <c r="P260" s="284"/>
      <c r="Q260" s="284"/>
      <c r="R260" s="284"/>
      <c r="S260" s="18"/>
      <c r="T260" s="284"/>
      <c r="U260" s="284"/>
      <c r="V260" s="284"/>
      <c r="W260" s="18"/>
      <c r="X260" s="18"/>
      <c r="Y260" s="18"/>
      <c r="Z260" s="18"/>
    </row>
    <row r="261" spans="1:26" ht="16.5" customHeight="1" x14ac:dyDescent="0.35">
      <c r="A261" s="230"/>
      <c r="B261" s="236"/>
      <c r="C261" s="227" t="s">
        <v>138</v>
      </c>
      <c r="D261" s="218">
        <v>3</v>
      </c>
      <c r="E261" s="216">
        <v>3</v>
      </c>
      <c r="F261" s="218" t="s">
        <v>106</v>
      </c>
      <c r="G261" s="218" t="s">
        <v>64</v>
      </c>
      <c r="H261" s="74" t="s">
        <v>35</v>
      </c>
      <c r="I261" s="74" t="s">
        <v>91</v>
      </c>
      <c r="J261" s="74" t="s">
        <v>128</v>
      </c>
      <c r="K261" s="218" t="s">
        <v>54</v>
      </c>
      <c r="L261" s="66"/>
      <c r="M261" s="18"/>
      <c r="N261" s="18"/>
      <c r="O261" s="18"/>
      <c r="P261" s="293"/>
      <c r="Q261" s="295"/>
      <c r="R261" s="294"/>
      <c r="S261" s="18"/>
      <c r="T261" s="293"/>
      <c r="U261" s="295"/>
      <c r="V261" s="294"/>
      <c r="W261" s="18"/>
      <c r="X261" s="18"/>
      <c r="Y261" s="18"/>
      <c r="Z261" s="18"/>
    </row>
    <row r="262" spans="1:26" ht="16.5" customHeight="1" x14ac:dyDescent="0.35">
      <c r="A262" s="230"/>
      <c r="B262" s="236"/>
      <c r="C262" s="217"/>
      <c r="D262" s="217"/>
      <c r="E262" s="217"/>
      <c r="F262" s="217"/>
      <c r="G262" s="217"/>
      <c r="H262" s="74" t="s">
        <v>39</v>
      </c>
      <c r="I262" s="74" t="s">
        <v>108</v>
      </c>
      <c r="J262" s="74" t="s">
        <v>197</v>
      </c>
      <c r="K262" s="217"/>
      <c r="L262" s="66"/>
      <c r="M262" s="18"/>
      <c r="N262" s="18"/>
      <c r="O262" s="18"/>
      <c r="P262" s="284"/>
      <c r="Q262" s="284"/>
      <c r="R262" s="284"/>
      <c r="S262" s="18"/>
      <c r="T262" s="284"/>
      <c r="U262" s="284"/>
      <c r="V262" s="284"/>
      <c r="W262" s="18"/>
      <c r="X262" s="18"/>
      <c r="Y262" s="18"/>
      <c r="Z262" s="18"/>
    </row>
    <row r="263" spans="1:26" ht="16.5" customHeight="1" x14ac:dyDescent="0.35">
      <c r="A263" s="230"/>
      <c r="B263" s="236"/>
      <c r="C263" s="227" t="s">
        <v>216</v>
      </c>
      <c r="D263" s="218">
        <v>2</v>
      </c>
      <c r="E263" s="216">
        <v>2</v>
      </c>
      <c r="F263" s="218" t="s">
        <v>106</v>
      </c>
      <c r="G263" s="218" t="s">
        <v>136</v>
      </c>
      <c r="H263" s="74" t="s">
        <v>46</v>
      </c>
      <c r="I263" s="74" t="s">
        <v>123</v>
      </c>
      <c r="J263" s="74" t="s">
        <v>197</v>
      </c>
      <c r="K263" s="218" t="s">
        <v>54</v>
      </c>
      <c r="L263" s="66"/>
      <c r="M263" s="18"/>
      <c r="N263" s="18"/>
      <c r="O263" s="18"/>
      <c r="P263" s="293"/>
      <c r="Q263" s="295"/>
      <c r="R263" s="294"/>
      <c r="S263" s="18"/>
      <c r="T263" s="293"/>
      <c r="U263" s="295"/>
      <c r="V263" s="294"/>
      <c r="W263" s="18"/>
      <c r="X263" s="18"/>
      <c r="Y263" s="18"/>
      <c r="Z263" s="18"/>
    </row>
    <row r="264" spans="1:26" ht="16.5" customHeight="1" x14ac:dyDescent="0.35">
      <c r="A264" s="230"/>
      <c r="B264" s="236"/>
      <c r="C264" s="219"/>
      <c r="D264" s="217"/>
      <c r="E264" s="217"/>
      <c r="F264" s="217"/>
      <c r="G264" s="217"/>
      <c r="H264" s="74" t="s">
        <v>48</v>
      </c>
      <c r="I264" s="74" t="s">
        <v>61</v>
      </c>
      <c r="J264" s="74" t="s">
        <v>107</v>
      </c>
      <c r="K264" s="217"/>
      <c r="L264" s="66"/>
      <c r="M264" s="18"/>
      <c r="N264" s="18"/>
      <c r="O264" s="18"/>
      <c r="P264" s="284"/>
      <c r="Q264" s="284"/>
      <c r="R264" s="284"/>
      <c r="S264" s="18"/>
      <c r="T264" s="284"/>
      <c r="U264" s="284"/>
      <c r="V264" s="284"/>
      <c r="W264" s="18"/>
      <c r="X264" s="18"/>
      <c r="Y264" s="18"/>
      <c r="Z264" s="18"/>
    </row>
    <row r="265" spans="1:26" ht="16.5" customHeight="1" x14ac:dyDescent="0.35">
      <c r="A265" s="230"/>
      <c r="B265" s="236"/>
      <c r="C265" s="227" t="s">
        <v>217</v>
      </c>
      <c r="D265" s="249">
        <v>2</v>
      </c>
      <c r="E265" s="216">
        <v>2</v>
      </c>
      <c r="F265" s="218" t="s">
        <v>106</v>
      </c>
      <c r="G265" s="218" t="s">
        <v>136</v>
      </c>
      <c r="H265" s="74" t="s">
        <v>46</v>
      </c>
      <c r="I265" s="74" t="s">
        <v>56</v>
      </c>
      <c r="J265" s="74" t="s">
        <v>208</v>
      </c>
      <c r="K265" s="218" t="s">
        <v>38</v>
      </c>
      <c r="L265" s="66"/>
      <c r="M265" s="18"/>
      <c r="N265" s="18"/>
      <c r="O265" s="18"/>
      <c r="P265" s="293"/>
      <c r="Q265" s="295"/>
      <c r="R265" s="294"/>
      <c r="S265" s="18"/>
      <c r="T265" s="293"/>
      <c r="U265" s="295"/>
      <c r="V265" s="294"/>
      <c r="W265" s="18"/>
      <c r="X265" s="18"/>
      <c r="Y265" s="18"/>
      <c r="Z265" s="18"/>
    </row>
    <row r="266" spans="1:26" ht="16.5" customHeight="1" x14ac:dyDescent="0.35">
      <c r="A266" s="230"/>
      <c r="B266" s="240"/>
      <c r="C266" s="217"/>
      <c r="D266" s="250"/>
      <c r="E266" s="217"/>
      <c r="F266" s="217"/>
      <c r="G266" s="217"/>
      <c r="H266" s="74" t="s">
        <v>55</v>
      </c>
      <c r="I266" s="74" t="s">
        <v>52</v>
      </c>
      <c r="J266" s="74" t="s">
        <v>143</v>
      </c>
      <c r="K266" s="217"/>
      <c r="L266" s="66"/>
      <c r="M266" s="18"/>
      <c r="N266" s="18"/>
      <c r="O266" s="18"/>
      <c r="P266" s="284"/>
      <c r="Q266" s="284"/>
      <c r="R266" s="284"/>
      <c r="S266" s="18"/>
      <c r="T266" s="284"/>
      <c r="U266" s="284"/>
      <c r="V266" s="284"/>
      <c r="W266" s="18"/>
      <c r="X266" s="18"/>
      <c r="Y266" s="18"/>
      <c r="Z266" s="18"/>
    </row>
    <row r="267" spans="1:26" ht="16.5" customHeight="1" x14ac:dyDescent="0.35">
      <c r="A267" s="217"/>
      <c r="B267" s="228" t="s">
        <v>72</v>
      </c>
      <c r="C267" s="221"/>
      <c r="D267" s="222"/>
      <c r="E267" s="71">
        <f>SUM(E257:E266)</f>
        <v>10</v>
      </c>
      <c r="F267" s="220"/>
      <c r="G267" s="221"/>
      <c r="H267" s="221"/>
      <c r="I267" s="221"/>
      <c r="J267" s="221"/>
      <c r="K267" s="222"/>
      <c r="L267" s="66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6.5" customHeight="1" x14ac:dyDescent="0.35">
      <c r="A268" s="229">
        <v>17</v>
      </c>
      <c r="B268" s="235" t="s">
        <v>218</v>
      </c>
      <c r="C268" s="227" t="s">
        <v>50</v>
      </c>
      <c r="D268" s="218">
        <v>3</v>
      </c>
      <c r="E268" s="216">
        <v>1.5</v>
      </c>
      <c r="F268" s="218" t="s">
        <v>106</v>
      </c>
      <c r="G268" s="218" t="s">
        <v>34</v>
      </c>
      <c r="H268" s="74" t="s">
        <v>35</v>
      </c>
      <c r="I268" s="74" t="s">
        <v>56</v>
      </c>
      <c r="J268" s="74" t="s">
        <v>197</v>
      </c>
      <c r="K268" s="218" t="s">
        <v>54</v>
      </c>
      <c r="L268" s="66"/>
      <c r="M268" s="18"/>
      <c r="N268" s="18"/>
      <c r="O268" s="18"/>
      <c r="P268" s="293"/>
      <c r="Q268" s="295"/>
      <c r="R268" s="294"/>
      <c r="S268" s="18"/>
      <c r="T268" s="293"/>
      <c r="U268" s="295"/>
      <c r="V268" s="294"/>
      <c r="W268" s="18"/>
      <c r="X268" s="18"/>
      <c r="Y268" s="18"/>
      <c r="Z268" s="18"/>
    </row>
    <row r="269" spans="1:26" ht="16.5" customHeight="1" x14ac:dyDescent="0.35">
      <c r="A269" s="230"/>
      <c r="B269" s="236"/>
      <c r="C269" s="217"/>
      <c r="D269" s="217"/>
      <c r="E269" s="217"/>
      <c r="F269" s="217"/>
      <c r="G269" s="217"/>
      <c r="H269" s="74" t="s">
        <v>39</v>
      </c>
      <c r="I269" s="74" t="s">
        <v>131</v>
      </c>
      <c r="J269" s="74" t="s">
        <v>143</v>
      </c>
      <c r="K269" s="217"/>
      <c r="L269" s="66"/>
      <c r="M269" s="18"/>
      <c r="N269" s="18"/>
      <c r="O269" s="18"/>
      <c r="P269" s="284"/>
      <c r="Q269" s="284"/>
      <c r="R269" s="284"/>
      <c r="S269" s="18" t="s">
        <v>102</v>
      </c>
      <c r="T269" s="284"/>
      <c r="U269" s="284"/>
      <c r="V269" s="284"/>
      <c r="W269" s="18"/>
      <c r="X269" s="18"/>
      <c r="Y269" s="18"/>
      <c r="Z269" s="18"/>
    </row>
    <row r="270" spans="1:26" ht="16.5" customHeight="1" x14ac:dyDescent="0.35">
      <c r="A270" s="230"/>
      <c r="B270" s="236"/>
      <c r="C270" s="227" t="s">
        <v>122</v>
      </c>
      <c r="D270" s="218">
        <v>2</v>
      </c>
      <c r="E270" s="216">
        <v>2</v>
      </c>
      <c r="F270" s="218" t="s">
        <v>51</v>
      </c>
      <c r="G270" s="218" t="s">
        <v>34</v>
      </c>
      <c r="H270" s="74" t="s">
        <v>46</v>
      </c>
      <c r="I270" s="74" t="s">
        <v>56</v>
      </c>
      <c r="J270" s="74" t="s">
        <v>197</v>
      </c>
      <c r="K270" s="218" t="s">
        <v>54</v>
      </c>
      <c r="L270" s="66"/>
      <c r="M270" s="18"/>
      <c r="N270" s="18"/>
      <c r="O270" s="18"/>
      <c r="P270" s="293"/>
      <c r="Q270" s="295"/>
      <c r="R270" s="294"/>
      <c r="S270" s="18"/>
      <c r="T270" s="293"/>
      <c r="U270" s="295"/>
      <c r="V270" s="294"/>
      <c r="W270" s="18"/>
      <c r="X270" s="18"/>
      <c r="Y270" s="18"/>
      <c r="Z270" s="18"/>
    </row>
    <row r="271" spans="1:26" ht="16.5" customHeight="1" x14ac:dyDescent="0.35">
      <c r="A271" s="230"/>
      <c r="B271" s="236"/>
      <c r="C271" s="217"/>
      <c r="D271" s="217"/>
      <c r="E271" s="217"/>
      <c r="F271" s="217"/>
      <c r="G271" s="217"/>
      <c r="H271" s="74" t="s">
        <v>48</v>
      </c>
      <c r="I271" s="74" t="s">
        <v>219</v>
      </c>
      <c r="J271" s="74" t="s">
        <v>114</v>
      </c>
      <c r="K271" s="217"/>
      <c r="L271" s="66"/>
      <c r="M271" s="18"/>
      <c r="N271" s="18"/>
      <c r="O271" s="18"/>
      <c r="P271" s="284"/>
      <c r="Q271" s="284"/>
      <c r="R271" s="284"/>
      <c r="S271" s="18"/>
      <c r="T271" s="284"/>
      <c r="U271" s="284"/>
      <c r="V271" s="284"/>
      <c r="W271" s="18"/>
      <c r="X271" s="18"/>
      <c r="Y271" s="18"/>
      <c r="Z271" s="18"/>
    </row>
    <row r="272" spans="1:26" ht="16.5" customHeight="1" x14ac:dyDescent="0.35">
      <c r="A272" s="230"/>
      <c r="B272" s="236"/>
      <c r="C272" s="227" t="s">
        <v>122</v>
      </c>
      <c r="D272" s="218">
        <v>2</v>
      </c>
      <c r="E272" s="216">
        <v>2</v>
      </c>
      <c r="F272" s="218" t="s">
        <v>106</v>
      </c>
      <c r="G272" s="218" t="s">
        <v>42</v>
      </c>
      <c r="H272" s="74" t="s">
        <v>35</v>
      </c>
      <c r="I272" s="74" t="s">
        <v>59</v>
      </c>
      <c r="J272" s="74" t="s">
        <v>143</v>
      </c>
      <c r="K272" s="218" t="s">
        <v>54</v>
      </c>
      <c r="L272" s="66"/>
      <c r="M272" s="18"/>
      <c r="N272" s="18"/>
      <c r="O272" s="18"/>
      <c r="P272" s="293"/>
      <c r="Q272" s="295"/>
      <c r="R272" s="294"/>
      <c r="S272" s="18"/>
      <c r="T272" s="293"/>
      <c r="U272" s="295"/>
      <c r="V272" s="294"/>
      <c r="W272" s="18"/>
      <c r="X272" s="18"/>
      <c r="Y272" s="18"/>
      <c r="Z272" s="18"/>
    </row>
    <row r="273" spans="1:26" ht="16.5" customHeight="1" x14ac:dyDescent="0.35">
      <c r="A273" s="230"/>
      <c r="B273" s="236"/>
      <c r="C273" s="217"/>
      <c r="D273" s="217"/>
      <c r="E273" s="217"/>
      <c r="F273" s="217"/>
      <c r="G273" s="217"/>
      <c r="H273" s="74" t="s">
        <v>39</v>
      </c>
      <c r="I273" s="74" t="s">
        <v>56</v>
      </c>
      <c r="J273" s="74" t="s">
        <v>143</v>
      </c>
      <c r="K273" s="217"/>
      <c r="L273" s="66"/>
      <c r="M273" s="18"/>
      <c r="N273" s="18"/>
      <c r="O273" s="18"/>
      <c r="P273" s="284"/>
      <c r="Q273" s="284"/>
      <c r="R273" s="284"/>
      <c r="S273" s="18"/>
      <c r="T273" s="284"/>
      <c r="U273" s="284"/>
      <c r="V273" s="284"/>
      <c r="W273" s="18"/>
      <c r="X273" s="18"/>
      <c r="Y273" s="18"/>
      <c r="Z273" s="18"/>
    </row>
    <row r="274" spans="1:26" ht="16.5" customHeight="1" x14ac:dyDescent="0.35">
      <c r="A274" s="230"/>
      <c r="B274" s="236"/>
      <c r="C274" s="227" t="s">
        <v>109</v>
      </c>
      <c r="D274" s="218">
        <v>3</v>
      </c>
      <c r="E274" s="216">
        <v>3</v>
      </c>
      <c r="F274" s="218" t="s">
        <v>106</v>
      </c>
      <c r="G274" s="218" t="s">
        <v>34</v>
      </c>
      <c r="H274" s="74" t="s">
        <v>35</v>
      </c>
      <c r="I274" s="74" t="s">
        <v>44</v>
      </c>
      <c r="J274" s="74" t="s">
        <v>107</v>
      </c>
      <c r="K274" s="218" t="s">
        <v>38</v>
      </c>
      <c r="L274" s="66"/>
      <c r="M274" s="18"/>
      <c r="N274" s="18"/>
      <c r="O274" s="18"/>
      <c r="P274" s="293"/>
      <c r="Q274" s="295"/>
      <c r="R274" s="294"/>
      <c r="S274" s="18"/>
      <c r="T274" s="293"/>
      <c r="U274" s="295"/>
      <c r="V274" s="294"/>
      <c r="W274" s="18"/>
      <c r="X274" s="18"/>
      <c r="Y274" s="18"/>
      <c r="Z274" s="18"/>
    </row>
    <row r="275" spans="1:26" ht="16.5" customHeight="1" x14ac:dyDescent="0.35">
      <c r="A275" s="230"/>
      <c r="B275" s="236"/>
      <c r="C275" s="217"/>
      <c r="D275" s="217"/>
      <c r="E275" s="217"/>
      <c r="F275" s="217"/>
      <c r="G275" s="217"/>
      <c r="H275" s="74" t="s">
        <v>39</v>
      </c>
      <c r="I275" s="74" t="s">
        <v>44</v>
      </c>
      <c r="J275" s="74" t="s">
        <v>197</v>
      </c>
      <c r="K275" s="217"/>
      <c r="L275" s="66"/>
      <c r="M275" s="18"/>
      <c r="N275" s="18"/>
      <c r="O275" s="18"/>
      <c r="P275" s="284"/>
      <c r="Q275" s="284"/>
      <c r="R275" s="284"/>
      <c r="S275" s="18"/>
      <c r="T275" s="284"/>
      <c r="U275" s="284"/>
      <c r="V275" s="284"/>
      <c r="W275" s="18"/>
      <c r="X275" s="18"/>
      <c r="Y275" s="18"/>
      <c r="Z275" s="18"/>
    </row>
    <row r="276" spans="1:26" ht="16.5" customHeight="1" x14ac:dyDescent="0.35">
      <c r="A276" s="230"/>
      <c r="B276" s="236"/>
      <c r="C276" s="227" t="s">
        <v>220</v>
      </c>
      <c r="D276" s="218">
        <v>3</v>
      </c>
      <c r="E276" s="216">
        <v>1.5</v>
      </c>
      <c r="F276" s="218" t="s">
        <v>51</v>
      </c>
      <c r="G276" s="218" t="s">
        <v>34</v>
      </c>
      <c r="H276" s="74" t="s">
        <v>46</v>
      </c>
      <c r="I276" s="74" t="s">
        <v>36</v>
      </c>
      <c r="J276" s="74" t="s">
        <v>110</v>
      </c>
      <c r="K276" s="218" t="s">
        <v>38</v>
      </c>
      <c r="L276" s="66"/>
      <c r="M276" s="18"/>
      <c r="N276" s="18"/>
      <c r="O276" s="18"/>
      <c r="P276" s="293"/>
      <c r="Q276" s="295"/>
      <c r="R276" s="294"/>
      <c r="S276" s="18"/>
      <c r="T276" s="293"/>
      <c r="U276" s="295"/>
      <c r="V276" s="294"/>
      <c r="W276" s="18"/>
      <c r="X276" s="18"/>
      <c r="Y276" s="18"/>
      <c r="Z276" s="18"/>
    </row>
    <row r="277" spans="1:26" ht="16.5" customHeight="1" x14ac:dyDescent="0.35">
      <c r="A277" s="230"/>
      <c r="B277" s="236"/>
      <c r="C277" s="217"/>
      <c r="D277" s="217"/>
      <c r="E277" s="217"/>
      <c r="F277" s="217"/>
      <c r="G277" s="217"/>
      <c r="H277" s="74" t="s">
        <v>55</v>
      </c>
      <c r="I277" s="74" t="s">
        <v>36</v>
      </c>
      <c r="J277" s="74" t="s">
        <v>111</v>
      </c>
      <c r="K277" s="217"/>
      <c r="L277" s="66"/>
      <c r="M277" s="18"/>
      <c r="N277" s="18"/>
      <c r="O277" s="18"/>
      <c r="P277" s="284"/>
      <c r="Q277" s="284"/>
      <c r="R277" s="284"/>
      <c r="S277" s="18"/>
      <c r="T277" s="284"/>
      <c r="U277" s="284"/>
      <c r="V277" s="284"/>
      <c r="W277" s="18"/>
      <c r="X277" s="18"/>
      <c r="Y277" s="18"/>
      <c r="Z277" s="18"/>
    </row>
    <row r="278" spans="1:26" ht="16.5" customHeight="1" x14ac:dyDescent="0.35">
      <c r="A278" s="230"/>
      <c r="B278" s="236"/>
      <c r="C278" s="227" t="s">
        <v>201</v>
      </c>
      <c r="D278" s="218">
        <v>3</v>
      </c>
      <c r="E278" s="216">
        <v>1.5</v>
      </c>
      <c r="F278" s="218" t="s">
        <v>51</v>
      </c>
      <c r="G278" s="218" t="s">
        <v>101</v>
      </c>
      <c r="H278" s="74" t="s">
        <v>35</v>
      </c>
      <c r="I278" s="74" t="s">
        <v>36</v>
      </c>
      <c r="J278" s="74">
        <v>2.0099999999999998</v>
      </c>
      <c r="K278" s="218" t="s">
        <v>38</v>
      </c>
      <c r="L278" s="66"/>
      <c r="M278" s="18"/>
      <c r="N278" s="18"/>
      <c r="O278" s="18"/>
      <c r="P278" s="293"/>
      <c r="Q278" s="295"/>
      <c r="R278" s="294"/>
      <c r="S278" s="18"/>
      <c r="T278" s="293"/>
      <c r="U278" s="295"/>
      <c r="V278" s="294"/>
      <c r="W278" s="18"/>
      <c r="X278" s="18"/>
      <c r="Y278" s="18"/>
      <c r="Z278" s="18"/>
    </row>
    <row r="279" spans="1:26" ht="16.5" customHeight="1" x14ac:dyDescent="0.35">
      <c r="A279" s="230"/>
      <c r="B279" s="236"/>
      <c r="C279" s="217"/>
      <c r="D279" s="217"/>
      <c r="E279" s="217"/>
      <c r="F279" s="217"/>
      <c r="G279" s="217"/>
      <c r="H279" s="74" t="s">
        <v>55</v>
      </c>
      <c r="I279" s="74" t="s">
        <v>44</v>
      </c>
      <c r="J279" s="74" t="s">
        <v>221</v>
      </c>
      <c r="K279" s="217"/>
      <c r="L279" s="66"/>
      <c r="M279" s="18"/>
      <c r="N279" s="18"/>
      <c r="O279" s="18"/>
      <c r="P279" s="284"/>
      <c r="Q279" s="284"/>
      <c r="R279" s="284"/>
      <c r="S279" s="18"/>
      <c r="T279" s="284"/>
      <c r="U279" s="284"/>
      <c r="V279" s="284"/>
      <c r="W279" s="18"/>
      <c r="X279" s="18"/>
      <c r="Y279" s="18"/>
      <c r="Z279" s="18"/>
    </row>
    <row r="280" spans="1:26" ht="16.5" customHeight="1" x14ac:dyDescent="0.35">
      <c r="A280" s="230"/>
      <c r="B280" s="236"/>
      <c r="C280" s="227" t="s">
        <v>222</v>
      </c>
      <c r="D280" s="218">
        <v>3</v>
      </c>
      <c r="E280" s="216">
        <v>3</v>
      </c>
      <c r="F280" s="218" t="s">
        <v>51</v>
      </c>
      <c r="G280" s="218" t="s">
        <v>90</v>
      </c>
      <c r="H280" s="74" t="s">
        <v>46</v>
      </c>
      <c r="I280" s="74" t="s">
        <v>40</v>
      </c>
      <c r="J280" s="74" t="s">
        <v>114</v>
      </c>
      <c r="K280" s="218" t="s">
        <v>38</v>
      </c>
      <c r="L280" s="66"/>
      <c r="M280" s="18"/>
      <c r="N280" s="18"/>
      <c r="O280" s="18"/>
      <c r="P280" s="293"/>
      <c r="Q280" s="295"/>
      <c r="R280" s="294"/>
      <c r="S280" s="18"/>
      <c r="T280" s="293"/>
      <c r="U280" s="295"/>
      <c r="V280" s="294"/>
      <c r="W280" s="18"/>
      <c r="X280" s="18"/>
      <c r="Y280" s="18"/>
      <c r="Z280" s="18"/>
    </row>
    <row r="281" spans="1:26" ht="16.5" customHeight="1" x14ac:dyDescent="0.35">
      <c r="A281" s="230"/>
      <c r="B281" s="236"/>
      <c r="C281" s="219"/>
      <c r="D281" s="217"/>
      <c r="E281" s="217"/>
      <c r="F281" s="217"/>
      <c r="G281" s="217"/>
      <c r="H281" s="74" t="s">
        <v>48</v>
      </c>
      <c r="I281" s="74" t="s">
        <v>40</v>
      </c>
      <c r="J281" s="74" t="s">
        <v>78</v>
      </c>
      <c r="K281" s="217"/>
      <c r="L281" s="66"/>
      <c r="M281" s="18"/>
      <c r="N281" s="18"/>
      <c r="O281" s="18"/>
      <c r="P281" s="284"/>
      <c r="Q281" s="284"/>
      <c r="R281" s="284"/>
      <c r="S281" s="18"/>
      <c r="T281" s="284"/>
      <c r="U281" s="284"/>
      <c r="V281" s="284"/>
      <c r="W281" s="18"/>
      <c r="X281" s="18"/>
      <c r="Y281" s="18"/>
      <c r="Z281" s="18"/>
    </row>
    <row r="282" spans="1:26" ht="16.5" customHeight="1" x14ac:dyDescent="0.35">
      <c r="A282" s="230"/>
      <c r="B282" s="240"/>
      <c r="C282" s="94" t="s">
        <v>89</v>
      </c>
      <c r="D282" s="95">
        <v>3</v>
      </c>
      <c r="E282" s="96">
        <v>3</v>
      </c>
      <c r="F282" s="85" t="s">
        <v>51</v>
      </c>
      <c r="G282" s="85" t="s">
        <v>173</v>
      </c>
      <c r="H282" s="74" t="s">
        <v>35</v>
      </c>
      <c r="I282" s="74" t="s">
        <v>91</v>
      </c>
      <c r="J282" s="74" t="s">
        <v>143</v>
      </c>
      <c r="K282" s="85" t="s">
        <v>93</v>
      </c>
      <c r="L282" s="66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6.5" customHeight="1" x14ac:dyDescent="0.35">
      <c r="A283" s="217"/>
      <c r="B283" s="228" t="s">
        <v>72</v>
      </c>
      <c r="C283" s="221"/>
      <c r="D283" s="222"/>
      <c r="E283" s="71">
        <f>SUM(E268:E282)</f>
        <v>17.5</v>
      </c>
      <c r="F283" s="220"/>
      <c r="G283" s="221"/>
      <c r="H283" s="221"/>
      <c r="I283" s="221"/>
      <c r="J283" s="221"/>
      <c r="K283" s="222"/>
      <c r="L283" s="66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6.5" customHeight="1" x14ac:dyDescent="0.35">
      <c r="A284" s="248">
        <v>18</v>
      </c>
      <c r="B284" s="238" t="s">
        <v>223</v>
      </c>
      <c r="C284" s="227" t="s">
        <v>224</v>
      </c>
      <c r="D284" s="218">
        <v>3</v>
      </c>
      <c r="E284" s="216">
        <v>3</v>
      </c>
      <c r="F284" s="218" t="s">
        <v>51</v>
      </c>
      <c r="G284" s="218" t="s">
        <v>101</v>
      </c>
      <c r="H284" s="74" t="s">
        <v>35</v>
      </c>
      <c r="I284" s="74" t="s">
        <v>36</v>
      </c>
      <c r="J284" s="74" t="s">
        <v>150</v>
      </c>
      <c r="K284" s="218" t="s">
        <v>54</v>
      </c>
      <c r="L284" s="66"/>
      <c r="M284" s="18"/>
      <c r="N284" s="18"/>
      <c r="O284" s="18"/>
      <c r="P284" s="293"/>
      <c r="Q284" s="295"/>
      <c r="R284" s="294"/>
      <c r="S284" s="18"/>
      <c r="T284" s="293"/>
      <c r="U284" s="295"/>
      <c r="V284" s="294"/>
      <c r="W284" s="18"/>
      <c r="X284" s="18"/>
      <c r="Y284" s="18"/>
      <c r="Z284" s="18"/>
    </row>
    <row r="285" spans="1:26" ht="16.5" customHeight="1" x14ac:dyDescent="0.35">
      <c r="A285" s="230"/>
      <c r="B285" s="230"/>
      <c r="C285" s="217"/>
      <c r="D285" s="217"/>
      <c r="E285" s="217"/>
      <c r="F285" s="217"/>
      <c r="G285" s="217"/>
      <c r="H285" s="74" t="s">
        <v>48</v>
      </c>
      <c r="I285" s="74" t="s">
        <v>44</v>
      </c>
      <c r="J285" s="74" t="s">
        <v>78</v>
      </c>
      <c r="K285" s="217"/>
      <c r="L285" s="66"/>
      <c r="M285" s="18"/>
      <c r="N285" s="18"/>
      <c r="O285" s="18"/>
      <c r="P285" s="284"/>
      <c r="Q285" s="284"/>
      <c r="R285" s="284"/>
      <c r="S285" s="18"/>
      <c r="T285" s="284"/>
      <c r="U285" s="284"/>
      <c r="V285" s="284"/>
      <c r="W285" s="18"/>
      <c r="X285" s="18"/>
      <c r="Y285" s="18"/>
      <c r="Z285" s="18"/>
    </row>
    <row r="286" spans="1:26" ht="16.5" customHeight="1" x14ac:dyDescent="0.35">
      <c r="A286" s="230"/>
      <c r="B286" s="230"/>
      <c r="C286" s="227" t="s">
        <v>224</v>
      </c>
      <c r="D286" s="218">
        <v>3</v>
      </c>
      <c r="E286" s="216">
        <v>1.5</v>
      </c>
      <c r="F286" s="218" t="s">
        <v>51</v>
      </c>
      <c r="G286" s="218" t="s">
        <v>64</v>
      </c>
      <c r="H286" s="74" t="s">
        <v>46</v>
      </c>
      <c r="I286" s="74" t="s">
        <v>44</v>
      </c>
      <c r="J286" s="74" t="s">
        <v>133</v>
      </c>
      <c r="K286" s="218" t="s">
        <v>54</v>
      </c>
      <c r="L286" s="66"/>
      <c r="M286" s="18"/>
      <c r="N286" s="18"/>
      <c r="O286" s="18"/>
      <c r="P286" s="293"/>
      <c r="Q286" s="295"/>
      <c r="R286" s="294"/>
      <c r="S286" s="18"/>
      <c r="T286" s="293"/>
      <c r="U286" s="295"/>
      <c r="V286" s="294"/>
      <c r="W286" s="18"/>
      <c r="X286" s="18"/>
      <c r="Y286" s="18"/>
      <c r="Z286" s="18"/>
    </row>
    <row r="287" spans="1:26" ht="16.5" customHeight="1" x14ac:dyDescent="0.35">
      <c r="A287" s="230"/>
      <c r="B287" s="230"/>
      <c r="C287" s="217"/>
      <c r="D287" s="217"/>
      <c r="E287" s="217"/>
      <c r="F287" s="217"/>
      <c r="G287" s="217"/>
      <c r="H287" s="74" t="s">
        <v>55</v>
      </c>
      <c r="I287" s="74" t="s">
        <v>36</v>
      </c>
      <c r="J287" s="74" t="s">
        <v>133</v>
      </c>
      <c r="K287" s="217"/>
      <c r="L287" s="66"/>
      <c r="M287" s="18"/>
      <c r="N287" s="18"/>
      <c r="O287" s="18"/>
      <c r="P287" s="284"/>
      <c r="Q287" s="284"/>
      <c r="R287" s="284"/>
      <c r="S287" s="18"/>
      <c r="T287" s="284"/>
      <c r="U287" s="284"/>
      <c r="V287" s="284"/>
      <c r="W287" s="18"/>
      <c r="X287" s="18"/>
      <c r="Y287" s="18"/>
      <c r="Z287" s="18"/>
    </row>
    <row r="288" spans="1:26" ht="16.5" customHeight="1" x14ac:dyDescent="0.35">
      <c r="A288" s="230"/>
      <c r="B288" s="230"/>
      <c r="C288" s="227" t="s">
        <v>224</v>
      </c>
      <c r="D288" s="218">
        <v>3</v>
      </c>
      <c r="E288" s="216">
        <v>3</v>
      </c>
      <c r="F288" s="218" t="s">
        <v>51</v>
      </c>
      <c r="G288" s="218" t="s">
        <v>103</v>
      </c>
      <c r="H288" s="74" t="s">
        <v>39</v>
      </c>
      <c r="I288" s="74" t="s">
        <v>44</v>
      </c>
      <c r="J288" s="74" t="s">
        <v>208</v>
      </c>
      <c r="K288" s="218" t="s">
        <v>38</v>
      </c>
      <c r="L288" s="66"/>
      <c r="M288" s="18"/>
      <c r="N288" s="18"/>
      <c r="O288" s="18"/>
      <c r="P288" s="293"/>
      <c r="Q288" s="295"/>
      <c r="R288" s="294"/>
      <c r="S288" s="18"/>
      <c r="T288" s="293"/>
      <c r="U288" s="295"/>
      <c r="V288" s="294"/>
      <c r="W288" s="18"/>
      <c r="X288" s="18"/>
      <c r="Y288" s="18"/>
      <c r="Z288" s="18"/>
    </row>
    <row r="289" spans="1:26" ht="16.5" customHeight="1" x14ac:dyDescent="0.35">
      <c r="A289" s="230"/>
      <c r="B289" s="230"/>
      <c r="C289" s="217"/>
      <c r="D289" s="217"/>
      <c r="E289" s="217"/>
      <c r="F289" s="217"/>
      <c r="G289" s="217"/>
      <c r="H289" s="74" t="s">
        <v>55</v>
      </c>
      <c r="I289" s="74" t="s">
        <v>66</v>
      </c>
      <c r="J289" s="74" t="s">
        <v>125</v>
      </c>
      <c r="K289" s="217"/>
      <c r="L289" s="66"/>
      <c r="M289" s="18"/>
      <c r="N289" s="18"/>
      <c r="O289" s="18"/>
      <c r="P289" s="284"/>
      <c r="Q289" s="284"/>
      <c r="R289" s="284"/>
      <c r="S289" s="18"/>
      <c r="T289" s="284"/>
      <c r="U289" s="284"/>
      <c r="V289" s="284"/>
      <c r="W289" s="18"/>
      <c r="X289" s="18"/>
      <c r="Y289" s="18"/>
      <c r="Z289" s="18"/>
    </row>
    <row r="290" spans="1:26" ht="16.5" customHeight="1" x14ac:dyDescent="0.35">
      <c r="A290" s="230"/>
      <c r="B290" s="230"/>
      <c r="C290" s="227" t="s">
        <v>225</v>
      </c>
      <c r="D290" s="218">
        <v>3</v>
      </c>
      <c r="E290" s="216">
        <v>1.5</v>
      </c>
      <c r="F290" s="218" t="s">
        <v>51</v>
      </c>
      <c r="G290" s="218" t="s">
        <v>76</v>
      </c>
      <c r="H290" s="74" t="s">
        <v>46</v>
      </c>
      <c r="I290" s="74" t="s">
        <v>40</v>
      </c>
      <c r="J290" s="74" t="s">
        <v>125</v>
      </c>
      <c r="K290" s="218" t="s">
        <v>38</v>
      </c>
      <c r="L290" s="97"/>
      <c r="M290" s="37"/>
      <c r="N290" s="37"/>
      <c r="O290" s="37"/>
      <c r="P290" s="293"/>
      <c r="Q290" s="295"/>
      <c r="R290" s="294"/>
      <c r="S290" s="18"/>
      <c r="T290" s="293"/>
      <c r="U290" s="295"/>
      <c r="V290" s="294"/>
      <c r="W290" s="18"/>
      <c r="X290" s="18"/>
      <c r="Y290" s="18"/>
      <c r="Z290" s="18"/>
    </row>
    <row r="291" spans="1:26" ht="16.5" customHeight="1" x14ac:dyDescent="0.35">
      <c r="A291" s="230"/>
      <c r="B291" s="230"/>
      <c r="C291" s="217"/>
      <c r="D291" s="217"/>
      <c r="E291" s="217"/>
      <c r="F291" s="217"/>
      <c r="G291" s="217"/>
      <c r="H291" s="74" t="s">
        <v>48</v>
      </c>
      <c r="I291" s="74" t="s">
        <v>40</v>
      </c>
      <c r="J291" s="74" t="s">
        <v>126</v>
      </c>
      <c r="K291" s="217"/>
      <c r="L291" s="66"/>
      <c r="M291" s="18"/>
      <c r="N291" s="18"/>
      <c r="O291" s="18"/>
      <c r="P291" s="284"/>
      <c r="Q291" s="284"/>
      <c r="R291" s="284"/>
      <c r="S291" s="18"/>
      <c r="T291" s="284"/>
      <c r="U291" s="284"/>
      <c r="V291" s="284"/>
      <c r="W291" s="18"/>
      <c r="X291" s="18"/>
      <c r="Y291" s="18"/>
      <c r="Z291" s="18"/>
    </row>
    <row r="292" spans="1:26" ht="16.5" customHeight="1" x14ac:dyDescent="0.35">
      <c r="A292" s="230"/>
      <c r="B292" s="230"/>
      <c r="C292" s="227" t="s">
        <v>225</v>
      </c>
      <c r="D292" s="218">
        <v>3</v>
      </c>
      <c r="E292" s="216">
        <v>1.5</v>
      </c>
      <c r="F292" s="218" t="s">
        <v>51</v>
      </c>
      <c r="G292" s="218" t="s">
        <v>79</v>
      </c>
      <c r="H292" s="74" t="s">
        <v>35</v>
      </c>
      <c r="I292" s="74" t="s">
        <v>44</v>
      </c>
      <c r="J292" s="74" t="s">
        <v>124</v>
      </c>
      <c r="K292" s="218" t="s">
        <v>54</v>
      </c>
      <c r="L292" s="66"/>
      <c r="M292" s="18"/>
      <c r="N292" s="18"/>
      <c r="O292" s="18"/>
      <c r="P292" s="293"/>
      <c r="Q292" s="295"/>
      <c r="R292" s="294"/>
      <c r="S292" s="18"/>
      <c r="T292" s="293"/>
      <c r="U292" s="295"/>
      <c r="V292" s="294"/>
      <c r="W292" s="18"/>
      <c r="X292" s="18"/>
      <c r="Y292" s="18"/>
      <c r="Z292" s="18"/>
    </row>
    <row r="293" spans="1:26" ht="16.5" customHeight="1" x14ac:dyDescent="0.35">
      <c r="A293" s="230"/>
      <c r="B293" s="230"/>
      <c r="C293" s="217"/>
      <c r="D293" s="217"/>
      <c r="E293" s="217"/>
      <c r="F293" s="217"/>
      <c r="G293" s="217"/>
      <c r="H293" s="74" t="s">
        <v>48</v>
      </c>
      <c r="I293" s="74" t="s">
        <v>40</v>
      </c>
      <c r="J293" s="74" t="s">
        <v>126</v>
      </c>
      <c r="K293" s="217"/>
      <c r="L293" s="66"/>
      <c r="M293" s="18"/>
      <c r="N293" s="18"/>
      <c r="O293" s="18"/>
      <c r="P293" s="284"/>
      <c r="Q293" s="284"/>
      <c r="R293" s="284"/>
      <c r="S293" s="18"/>
      <c r="T293" s="284"/>
      <c r="U293" s="284"/>
      <c r="V293" s="284"/>
      <c r="W293" s="18"/>
      <c r="X293" s="18"/>
      <c r="Y293" s="18"/>
      <c r="Z293" s="18"/>
    </row>
    <row r="294" spans="1:26" ht="16.5" customHeight="1" x14ac:dyDescent="0.35">
      <c r="A294" s="230"/>
      <c r="B294" s="230"/>
      <c r="C294" s="274" t="s">
        <v>226</v>
      </c>
      <c r="D294" s="218">
        <v>3</v>
      </c>
      <c r="E294" s="216">
        <v>3</v>
      </c>
      <c r="F294" s="218" t="s">
        <v>51</v>
      </c>
      <c r="G294" s="218" t="s">
        <v>90</v>
      </c>
      <c r="H294" s="74" t="s">
        <v>35</v>
      </c>
      <c r="I294" s="74" t="s">
        <v>66</v>
      </c>
      <c r="J294" s="74" t="s">
        <v>174</v>
      </c>
      <c r="K294" s="218" t="s">
        <v>54</v>
      </c>
      <c r="L294" s="66"/>
      <c r="M294" s="18"/>
      <c r="N294" s="18"/>
      <c r="O294" s="18"/>
      <c r="P294" s="293"/>
      <c r="Q294" s="295"/>
      <c r="R294" s="294"/>
      <c r="S294" s="18"/>
      <c r="T294" s="293"/>
      <c r="U294" s="295"/>
      <c r="V294" s="294"/>
      <c r="W294" s="18"/>
      <c r="X294" s="18"/>
      <c r="Y294" s="18"/>
      <c r="Z294" s="18"/>
    </row>
    <row r="295" spans="1:26" ht="16.5" customHeight="1" x14ac:dyDescent="0.35">
      <c r="A295" s="230"/>
      <c r="B295" s="230"/>
      <c r="C295" s="217"/>
      <c r="D295" s="217"/>
      <c r="E295" s="217"/>
      <c r="F295" s="217"/>
      <c r="G295" s="217"/>
      <c r="H295" s="74" t="s">
        <v>46</v>
      </c>
      <c r="I295" s="74" t="s">
        <v>36</v>
      </c>
      <c r="J295" s="74" t="s">
        <v>160</v>
      </c>
      <c r="K295" s="217"/>
      <c r="L295" s="66"/>
      <c r="M295" s="18"/>
      <c r="N295" s="18"/>
      <c r="O295" s="18"/>
      <c r="P295" s="284"/>
      <c r="Q295" s="284"/>
      <c r="R295" s="284"/>
      <c r="S295" s="18"/>
      <c r="T295" s="284"/>
      <c r="U295" s="284"/>
      <c r="V295" s="284"/>
      <c r="W295" s="18"/>
      <c r="X295" s="18"/>
      <c r="Y295" s="18"/>
      <c r="Z295" s="18"/>
    </row>
    <row r="296" spans="1:26" ht="16.5" customHeight="1" x14ac:dyDescent="0.35">
      <c r="A296" s="230"/>
      <c r="B296" s="217"/>
      <c r="C296" s="94" t="s">
        <v>89</v>
      </c>
      <c r="D296" s="95">
        <v>3</v>
      </c>
      <c r="E296" s="96">
        <v>3</v>
      </c>
      <c r="F296" s="85" t="s">
        <v>51</v>
      </c>
      <c r="G296" s="85" t="s">
        <v>175</v>
      </c>
      <c r="H296" s="74" t="s">
        <v>35</v>
      </c>
      <c r="I296" s="74" t="s">
        <v>91</v>
      </c>
      <c r="J296" s="74" t="s">
        <v>208</v>
      </c>
      <c r="K296" s="85" t="s">
        <v>93</v>
      </c>
      <c r="L296" s="66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6.5" customHeight="1" x14ac:dyDescent="0.35">
      <c r="A297" s="217"/>
      <c r="B297" s="228" t="s">
        <v>72</v>
      </c>
      <c r="C297" s="221"/>
      <c r="D297" s="222"/>
      <c r="E297" s="71">
        <f>SUM(E284:E296)</f>
        <v>16.5</v>
      </c>
      <c r="F297" s="220"/>
      <c r="G297" s="221"/>
      <c r="H297" s="221"/>
      <c r="I297" s="221"/>
      <c r="J297" s="221"/>
      <c r="K297" s="222"/>
      <c r="L297" s="66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6.5" customHeight="1" x14ac:dyDescent="0.35">
      <c r="A298" s="229">
        <v>19</v>
      </c>
      <c r="B298" s="238" t="s">
        <v>227</v>
      </c>
      <c r="C298" s="227" t="s">
        <v>228</v>
      </c>
      <c r="D298" s="218">
        <v>3</v>
      </c>
      <c r="E298" s="216">
        <v>3</v>
      </c>
      <c r="F298" s="218" t="s">
        <v>75</v>
      </c>
      <c r="G298" s="218" t="s">
        <v>153</v>
      </c>
      <c r="H298" s="74" t="s">
        <v>46</v>
      </c>
      <c r="I298" s="74" t="s">
        <v>66</v>
      </c>
      <c r="J298" s="74" t="s">
        <v>53</v>
      </c>
      <c r="K298" s="218" t="s">
        <v>54</v>
      </c>
      <c r="L298" s="66"/>
      <c r="M298" s="18"/>
      <c r="N298" s="18"/>
      <c r="O298" s="18"/>
      <c r="P298" s="293"/>
      <c r="Q298" s="295"/>
      <c r="R298" s="294"/>
      <c r="S298" s="18"/>
      <c r="T298" s="293"/>
      <c r="U298" s="295"/>
      <c r="V298" s="294"/>
      <c r="W298" s="18"/>
      <c r="X298" s="18"/>
      <c r="Y298" s="18"/>
      <c r="Z298" s="18"/>
    </row>
    <row r="299" spans="1:26" ht="16.5" customHeight="1" x14ac:dyDescent="0.35">
      <c r="A299" s="230"/>
      <c r="B299" s="230"/>
      <c r="C299" s="217"/>
      <c r="D299" s="217"/>
      <c r="E299" s="217"/>
      <c r="F299" s="217"/>
      <c r="G299" s="217"/>
      <c r="H299" s="74" t="s">
        <v>55</v>
      </c>
      <c r="I299" s="74" t="s">
        <v>36</v>
      </c>
      <c r="J299" s="74" t="s">
        <v>152</v>
      </c>
      <c r="K299" s="217"/>
      <c r="L299" s="66"/>
      <c r="M299" s="17"/>
      <c r="N299" s="17"/>
      <c r="O299" s="17"/>
      <c r="P299" s="284"/>
      <c r="Q299" s="284"/>
      <c r="R299" s="284"/>
      <c r="S299" s="18"/>
      <c r="T299" s="284"/>
      <c r="U299" s="284"/>
      <c r="V299" s="284"/>
      <c r="W299" s="18"/>
      <c r="X299" s="18"/>
      <c r="Y299" s="18"/>
      <c r="Z299" s="18"/>
    </row>
    <row r="300" spans="1:26" ht="16.5" customHeight="1" x14ac:dyDescent="0.35">
      <c r="A300" s="230"/>
      <c r="B300" s="230"/>
      <c r="C300" s="227" t="s">
        <v>74</v>
      </c>
      <c r="D300" s="218">
        <v>3</v>
      </c>
      <c r="E300" s="216">
        <v>3</v>
      </c>
      <c r="F300" s="218" t="s">
        <v>75</v>
      </c>
      <c r="G300" s="218" t="s">
        <v>136</v>
      </c>
      <c r="H300" s="74" t="s">
        <v>46</v>
      </c>
      <c r="I300" s="74" t="s">
        <v>66</v>
      </c>
      <c r="J300" s="74" t="s">
        <v>53</v>
      </c>
      <c r="K300" s="218" t="s">
        <v>38</v>
      </c>
      <c r="L300" s="66"/>
      <c r="M300" s="17"/>
      <c r="N300" s="17"/>
      <c r="O300" s="17"/>
      <c r="P300" s="293"/>
      <c r="Q300" s="295"/>
      <c r="R300" s="294"/>
      <c r="S300" s="17"/>
      <c r="T300" s="293"/>
      <c r="U300" s="295"/>
      <c r="V300" s="294"/>
      <c r="W300" s="18"/>
      <c r="X300" s="18"/>
      <c r="Y300" s="18"/>
      <c r="Z300" s="18"/>
    </row>
    <row r="301" spans="1:26" ht="16.5" customHeight="1" x14ac:dyDescent="0.35">
      <c r="A301" s="217"/>
      <c r="B301" s="217"/>
      <c r="C301" s="219"/>
      <c r="D301" s="219"/>
      <c r="E301" s="219"/>
      <c r="F301" s="219"/>
      <c r="G301" s="219"/>
      <c r="H301" s="84" t="s">
        <v>55</v>
      </c>
      <c r="I301" s="84" t="s">
        <v>36</v>
      </c>
      <c r="J301" s="84" t="s">
        <v>152</v>
      </c>
      <c r="K301" s="219"/>
      <c r="L301" s="66"/>
      <c r="M301" s="17"/>
      <c r="N301" s="17"/>
      <c r="O301" s="17"/>
      <c r="P301" s="284"/>
      <c r="Q301" s="284"/>
      <c r="R301" s="284"/>
      <c r="S301" s="18"/>
      <c r="T301" s="284"/>
      <c r="U301" s="284"/>
      <c r="V301" s="284"/>
      <c r="W301" s="18"/>
      <c r="X301" s="18"/>
      <c r="Y301" s="18"/>
      <c r="Z301" s="18"/>
    </row>
    <row r="302" spans="1:26" ht="16.5" customHeight="1" x14ac:dyDescent="0.35">
      <c r="A302" s="59"/>
      <c r="B302" s="59"/>
      <c r="C302" s="60"/>
      <c r="D302" s="61"/>
      <c r="E302" s="62"/>
      <c r="F302" s="61"/>
      <c r="G302" s="61"/>
      <c r="H302" s="61"/>
      <c r="I302" s="61"/>
      <c r="J302" s="61"/>
      <c r="K302" s="61"/>
      <c r="L302" s="66"/>
      <c r="M302" s="17"/>
      <c r="N302" s="17"/>
      <c r="O302" s="17"/>
      <c r="P302" s="7"/>
      <c r="Q302" s="7"/>
      <c r="R302" s="7"/>
      <c r="S302" s="18"/>
      <c r="T302" s="7"/>
      <c r="U302" s="7"/>
      <c r="V302" s="7"/>
      <c r="W302" s="18"/>
      <c r="X302" s="18"/>
      <c r="Y302" s="18"/>
      <c r="Z302" s="18"/>
    </row>
    <row r="303" spans="1:26" ht="16.5" customHeight="1" x14ac:dyDescent="0.35">
      <c r="A303" s="65"/>
      <c r="B303" s="65"/>
      <c r="C303" s="66"/>
      <c r="D303" s="67"/>
      <c r="E303" s="68"/>
      <c r="F303" s="67"/>
      <c r="G303" s="67"/>
      <c r="H303" s="67"/>
      <c r="I303" s="67"/>
      <c r="J303" s="67"/>
      <c r="K303" s="67"/>
      <c r="L303" s="66"/>
      <c r="M303" s="17"/>
      <c r="N303" s="17"/>
      <c r="O303" s="17"/>
      <c r="P303" s="7"/>
      <c r="Q303" s="7"/>
      <c r="R303" s="7"/>
      <c r="S303" s="18"/>
      <c r="T303" s="7"/>
      <c r="U303" s="7"/>
      <c r="V303" s="7"/>
      <c r="W303" s="18"/>
      <c r="X303" s="18"/>
      <c r="Y303" s="18"/>
      <c r="Z303" s="18"/>
    </row>
    <row r="304" spans="1:26" ht="16.5" customHeight="1" x14ac:dyDescent="0.35">
      <c r="A304" s="65"/>
      <c r="B304" s="65"/>
      <c r="C304" s="66"/>
      <c r="D304" s="67"/>
      <c r="E304" s="68"/>
      <c r="F304" s="67"/>
      <c r="G304" s="67"/>
      <c r="H304" s="67"/>
      <c r="I304" s="67"/>
      <c r="J304" s="67"/>
      <c r="K304" s="67"/>
      <c r="L304" s="66"/>
      <c r="M304" s="17"/>
      <c r="N304" s="17"/>
      <c r="O304" s="17"/>
      <c r="P304" s="7"/>
      <c r="Q304" s="7"/>
      <c r="R304" s="7"/>
      <c r="S304" s="18"/>
      <c r="T304" s="7"/>
      <c r="U304" s="7"/>
      <c r="V304" s="7"/>
      <c r="W304" s="18"/>
      <c r="X304" s="18"/>
      <c r="Y304" s="18"/>
      <c r="Z304" s="18"/>
    </row>
    <row r="305" spans="1:26" ht="16.5" customHeight="1" x14ac:dyDescent="0.35">
      <c r="A305" s="65"/>
      <c r="B305" s="65"/>
      <c r="C305" s="66"/>
      <c r="D305" s="67"/>
      <c r="E305" s="68"/>
      <c r="F305" s="67"/>
      <c r="G305" s="67"/>
      <c r="H305" s="67"/>
      <c r="I305" s="67"/>
      <c r="J305" s="67"/>
      <c r="K305" s="67"/>
      <c r="L305" s="66"/>
      <c r="M305" s="17"/>
      <c r="N305" s="17"/>
      <c r="O305" s="17"/>
      <c r="P305" s="7"/>
      <c r="Q305" s="7"/>
      <c r="R305" s="7"/>
      <c r="S305" s="18"/>
      <c r="T305" s="7"/>
      <c r="U305" s="7"/>
      <c r="V305" s="7"/>
      <c r="W305" s="18"/>
      <c r="X305" s="18"/>
      <c r="Y305" s="18"/>
      <c r="Z305" s="18"/>
    </row>
    <row r="306" spans="1:26" ht="16.5" customHeight="1" x14ac:dyDescent="0.35">
      <c r="A306" s="65"/>
      <c r="B306" s="65"/>
      <c r="C306" s="66"/>
      <c r="D306" s="67"/>
      <c r="E306" s="68"/>
      <c r="F306" s="67"/>
      <c r="G306" s="67"/>
      <c r="H306" s="67"/>
      <c r="I306" s="67"/>
      <c r="J306" s="67"/>
      <c r="K306" s="67"/>
      <c r="L306" s="66"/>
      <c r="M306" s="17"/>
      <c r="N306" s="17"/>
      <c r="O306" s="17"/>
      <c r="P306" s="7"/>
      <c r="Q306" s="7"/>
      <c r="R306" s="7"/>
      <c r="S306" s="18"/>
      <c r="T306" s="7"/>
      <c r="U306" s="7"/>
      <c r="V306" s="7"/>
      <c r="W306" s="18"/>
      <c r="X306" s="18"/>
      <c r="Y306" s="18"/>
      <c r="Z306" s="18"/>
    </row>
    <row r="307" spans="1:26" ht="16.5" customHeight="1" x14ac:dyDescent="0.35">
      <c r="A307" s="65"/>
      <c r="B307" s="65"/>
      <c r="C307" s="66"/>
      <c r="D307" s="67"/>
      <c r="E307" s="68"/>
      <c r="F307" s="67"/>
      <c r="G307" s="67"/>
      <c r="H307" s="67"/>
      <c r="I307" s="67"/>
      <c r="J307" s="67"/>
      <c r="K307" s="67"/>
      <c r="L307" s="66"/>
      <c r="M307" s="17"/>
      <c r="N307" s="17"/>
      <c r="O307" s="17"/>
      <c r="P307" s="7"/>
      <c r="Q307" s="7"/>
      <c r="R307" s="7"/>
      <c r="S307" s="18"/>
      <c r="T307" s="7"/>
      <c r="U307" s="7"/>
      <c r="V307" s="7"/>
      <c r="W307" s="18"/>
      <c r="X307" s="18"/>
      <c r="Y307" s="18"/>
      <c r="Z307" s="18"/>
    </row>
    <row r="308" spans="1:26" ht="16.5" customHeight="1" x14ac:dyDescent="0.35">
      <c r="A308" s="223" t="s">
        <v>7</v>
      </c>
      <c r="B308" s="223" t="s">
        <v>8</v>
      </c>
      <c r="C308" s="223" t="s">
        <v>9</v>
      </c>
      <c r="D308" s="220" t="s">
        <v>10</v>
      </c>
      <c r="E308" s="222"/>
      <c r="F308" s="223" t="s">
        <v>11</v>
      </c>
      <c r="G308" s="223" t="s">
        <v>12</v>
      </c>
      <c r="H308" s="226" t="s">
        <v>13</v>
      </c>
      <c r="I308" s="221"/>
      <c r="J308" s="221"/>
      <c r="K308" s="222"/>
      <c r="L308" s="66"/>
      <c r="M308" s="17"/>
      <c r="N308" s="17"/>
      <c r="O308" s="17"/>
      <c r="P308" s="7"/>
      <c r="Q308" s="7"/>
      <c r="R308" s="7"/>
      <c r="S308" s="18"/>
      <c r="T308" s="7"/>
      <c r="U308" s="7"/>
      <c r="V308" s="7"/>
      <c r="W308" s="18"/>
      <c r="X308" s="18"/>
      <c r="Y308" s="18"/>
      <c r="Z308" s="18"/>
    </row>
    <row r="309" spans="1:26" ht="16.5" customHeight="1" x14ac:dyDescent="0.35">
      <c r="A309" s="217"/>
      <c r="B309" s="217"/>
      <c r="C309" s="217"/>
      <c r="D309" s="70" t="s">
        <v>14</v>
      </c>
      <c r="E309" s="71" t="s">
        <v>15</v>
      </c>
      <c r="F309" s="217"/>
      <c r="G309" s="217"/>
      <c r="H309" s="70" t="s">
        <v>16</v>
      </c>
      <c r="I309" s="70" t="s">
        <v>17</v>
      </c>
      <c r="J309" s="70" t="s">
        <v>18</v>
      </c>
      <c r="K309" s="70" t="s">
        <v>19</v>
      </c>
      <c r="L309" s="66"/>
      <c r="M309" s="17"/>
      <c r="N309" s="17"/>
      <c r="O309" s="17"/>
      <c r="P309" s="7"/>
      <c r="Q309" s="7"/>
      <c r="R309" s="7"/>
      <c r="S309" s="18"/>
      <c r="T309" s="7"/>
      <c r="U309" s="7"/>
      <c r="V309" s="7"/>
      <c r="W309" s="18"/>
      <c r="X309" s="18"/>
      <c r="Y309" s="18"/>
      <c r="Z309" s="18"/>
    </row>
    <row r="310" spans="1:26" ht="16.5" customHeight="1" x14ac:dyDescent="0.35">
      <c r="A310" s="72" t="s">
        <v>20</v>
      </c>
      <c r="B310" s="73" t="s">
        <v>21</v>
      </c>
      <c r="C310" s="73" t="s">
        <v>22</v>
      </c>
      <c r="D310" s="70" t="s">
        <v>23</v>
      </c>
      <c r="E310" s="71" t="s">
        <v>24</v>
      </c>
      <c r="F310" s="70" t="s">
        <v>25</v>
      </c>
      <c r="G310" s="70" t="s">
        <v>26</v>
      </c>
      <c r="H310" s="70" t="s">
        <v>27</v>
      </c>
      <c r="I310" s="70" t="s">
        <v>28</v>
      </c>
      <c r="J310" s="70" t="s">
        <v>29</v>
      </c>
      <c r="K310" s="70" t="s">
        <v>30</v>
      </c>
      <c r="L310" s="66"/>
      <c r="M310" s="17"/>
      <c r="N310" s="17"/>
      <c r="O310" s="17"/>
      <c r="P310" s="7"/>
      <c r="Q310" s="7"/>
      <c r="R310" s="7"/>
      <c r="S310" s="18"/>
      <c r="T310" s="7"/>
      <c r="U310" s="7"/>
      <c r="V310" s="7"/>
      <c r="W310" s="18"/>
      <c r="X310" s="18"/>
      <c r="Y310" s="18"/>
      <c r="Z310" s="18"/>
    </row>
    <row r="311" spans="1:26" ht="16.5" customHeight="1" x14ac:dyDescent="0.35">
      <c r="A311" s="229">
        <v>19</v>
      </c>
      <c r="B311" s="238" t="s">
        <v>227</v>
      </c>
      <c r="C311" s="227" t="s">
        <v>74</v>
      </c>
      <c r="D311" s="218">
        <v>3</v>
      </c>
      <c r="E311" s="216">
        <v>3</v>
      </c>
      <c r="F311" s="218" t="s">
        <v>158</v>
      </c>
      <c r="G311" s="218" t="s">
        <v>136</v>
      </c>
      <c r="H311" s="74" t="s">
        <v>154</v>
      </c>
      <c r="I311" s="74" t="s">
        <v>40</v>
      </c>
      <c r="J311" s="74" t="s">
        <v>169</v>
      </c>
      <c r="K311" s="218" t="s">
        <v>38</v>
      </c>
      <c r="L311" s="66"/>
      <c r="M311" s="17"/>
      <c r="N311" s="17"/>
      <c r="O311" s="17"/>
      <c r="P311" s="293"/>
      <c r="Q311" s="295"/>
      <c r="R311" s="294"/>
      <c r="S311" s="17"/>
      <c r="T311" s="293"/>
      <c r="U311" s="295"/>
      <c r="V311" s="294"/>
      <c r="W311" s="18"/>
      <c r="X311" s="18"/>
      <c r="Y311" s="18"/>
      <c r="Z311" s="18"/>
    </row>
    <row r="312" spans="1:26" ht="16.5" customHeight="1" x14ac:dyDescent="0.35">
      <c r="A312" s="230"/>
      <c r="B312" s="230"/>
      <c r="C312" s="217"/>
      <c r="D312" s="217"/>
      <c r="E312" s="217"/>
      <c r="F312" s="217"/>
      <c r="G312" s="217"/>
      <c r="H312" s="74" t="s">
        <v>48</v>
      </c>
      <c r="I312" s="74" t="s">
        <v>36</v>
      </c>
      <c r="J312" s="74" t="s">
        <v>65</v>
      </c>
      <c r="K312" s="217"/>
      <c r="L312" s="66"/>
      <c r="M312" s="17"/>
      <c r="N312" s="17"/>
      <c r="O312" s="17"/>
      <c r="P312" s="284"/>
      <c r="Q312" s="284"/>
      <c r="R312" s="284"/>
      <c r="S312" s="17"/>
      <c r="T312" s="284"/>
      <c r="U312" s="284"/>
      <c r="V312" s="284"/>
      <c r="W312" s="18"/>
      <c r="X312" s="18"/>
      <c r="Y312" s="18"/>
      <c r="Z312" s="18"/>
    </row>
    <row r="313" spans="1:26" ht="16.5" customHeight="1" x14ac:dyDescent="0.35">
      <c r="A313" s="230"/>
      <c r="B313" s="230"/>
      <c r="C313" s="227" t="s">
        <v>229</v>
      </c>
      <c r="D313" s="218">
        <v>2</v>
      </c>
      <c r="E313" s="216">
        <v>1</v>
      </c>
      <c r="F313" s="218" t="s">
        <v>63</v>
      </c>
      <c r="G313" s="218" t="s">
        <v>101</v>
      </c>
      <c r="H313" s="74" t="s">
        <v>35</v>
      </c>
      <c r="I313" s="74" t="s">
        <v>56</v>
      </c>
      <c r="J313" s="75" t="s">
        <v>169</v>
      </c>
      <c r="K313" s="218" t="s">
        <v>38</v>
      </c>
      <c r="L313" s="66"/>
      <c r="M313" s="18"/>
      <c r="N313" s="18"/>
      <c r="O313" s="18"/>
      <c r="P313" s="293"/>
      <c r="Q313" s="295"/>
      <c r="R313" s="294"/>
      <c r="S313" s="18"/>
      <c r="T313" s="293"/>
      <c r="U313" s="295"/>
      <c r="V313" s="294"/>
      <c r="W313" s="18"/>
      <c r="X313" s="18"/>
      <c r="Y313" s="18"/>
      <c r="Z313" s="18"/>
    </row>
    <row r="314" spans="1:26" ht="16.5" customHeight="1" x14ac:dyDescent="0.35">
      <c r="A314" s="230"/>
      <c r="B314" s="230"/>
      <c r="C314" s="217"/>
      <c r="D314" s="217"/>
      <c r="E314" s="217"/>
      <c r="F314" s="217"/>
      <c r="G314" s="217"/>
      <c r="H314" s="74" t="s">
        <v>46</v>
      </c>
      <c r="I314" s="74" t="s">
        <v>56</v>
      </c>
      <c r="J314" s="75" t="s">
        <v>169</v>
      </c>
      <c r="K314" s="217"/>
      <c r="L314" s="66"/>
      <c r="M314" s="18"/>
      <c r="N314" s="18"/>
      <c r="O314" s="18"/>
      <c r="P314" s="284"/>
      <c r="Q314" s="284"/>
      <c r="R314" s="284"/>
      <c r="S314" s="18"/>
      <c r="T314" s="284"/>
      <c r="U314" s="284"/>
      <c r="V314" s="284"/>
      <c r="W314" s="18"/>
      <c r="X314" s="18"/>
      <c r="Y314" s="18"/>
      <c r="Z314" s="18"/>
    </row>
    <row r="315" spans="1:26" ht="16.5" customHeight="1" x14ac:dyDescent="0.35">
      <c r="A315" s="230"/>
      <c r="B315" s="230"/>
      <c r="C315" s="227" t="s">
        <v>181</v>
      </c>
      <c r="D315" s="218">
        <v>2</v>
      </c>
      <c r="E315" s="216">
        <v>1</v>
      </c>
      <c r="F315" s="218" t="s">
        <v>63</v>
      </c>
      <c r="G315" s="218" t="s">
        <v>64</v>
      </c>
      <c r="H315" s="74" t="s">
        <v>48</v>
      </c>
      <c r="I315" s="74" t="s">
        <v>230</v>
      </c>
      <c r="J315" s="75" t="s">
        <v>152</v>
      </c>
      <c r="K315" s="218" t="s">
        <v>54</v>
      </c>
      <c r="L315" s="66"/>
      <c r="M315" s="18"/>
      <c r="N315" s="18"/>
      <c r="O315" s="18"/>
      <c r="P315" s="293"/>
      <c r="Q315" s="295"/>
      <c r="R315" s="294"/>
      <c r="S315" s="18"/>
      <c r="T315" s="293"/>
      <c r="U315" s="295"/>
      <c r="V315" s="294"/>
      <c r="W315" s="18"/>
      <c r="X315" s="18"/>
      <c r="Y315" s="18"/>
      <c r="Z315" s="18"/>
    </row>
    <row r="316" spans="1:26" ht="16.5" customHeight="1" x14ac:dyDescent="0.35">
      <c r="A316" s="230"/>
      <c r="B316" s="230"/>
      <c r="C316" s="217"/>
      <c r="D316" s="217"/>
      <c r="E316" s="217"/>
      <c r="F316" s="217"/>
      <c r="G316" s="217"/>
      <c r="H316" s="74" t="s">
        <v>55</v>
      </c>
      <c r="I316" s="74" t="s">
        <v>230</v>
      </c>
      <c r="J316" s="75" t="s">
        <v>126</v>
      </c>
      <c r="K316" s="217"/>
      <c r="L316" s="66"/>
      <c r="M316" s="18"/>
      <c r="N316" s="18"/>
      <c r="O316" s="18"/>
      <c r="P316" s="284"/>
      <c r="Q316" s="284"/>
      <c r="R316" s="284"/>
      <c r="S316" s="18"/>
      <c r="T316" s="284"/>
      <c r="U316" s="284"/>
      <c r="V316" s="284"/>
      <c r="W316" s="18"/>
      <c r="X316" s="18"/>
      <c r="Y316" s="18"/>
      <c r="Z316" s="18"/>
    </row>
    <row r="317" spans="1:26" ht="16.5" customHeight="1" x14ac:dyDescent="0.35">
      <c r="A317" s="230"/>
      <c r="B317" s="230"/>
      <c r="C317" s="227" t="s">
        <v>183</v>
      </c>
      <c r="D317" s="218">
        <v>3</v>
      </c>
      <c r="E317" s="216">
        <v>1.5</v>
      </c>
      <c r="F317" s="218" t="s">
        <v>68</v>
      </c>
      <c r="G317" s="218" t="s">
        <v>34</v>
      </c>
      <c r="H317" s="74" t="s">
        <v>35</v>
      </c>
      <c r="I317" s="76" t="s">
        <v>44</v>
      </c>
      <c r="J317" s="77" t="s">
        <v>53</v>
      </c>
      <c r="K317" s="218" t="s">
        <v>38</v>
      </c>
      <c r="L317" s="66"/>
      <c r="M317" s="18"/>
      <c r="N317" s="18"/>
      <c r="O317" s="18"/>
      <c r="P317" s="293"/>
      <c r="Q317" s="295"/>
      <c r="R317" s="294"/>
      <c r="S317" s="18"/>
      <c r="T317" s="293"/>
      <c r="U317" s="295"/>
      <c r="V317" s="294"/>
      <c r="W317" s="18"/>
      <c r="X317" s="18"/>
      <c r="Y317" s="18"/>
      <c r="Z317" s="18"/>
    </row>
    <row r="318" spans="1:26" ht="16.5" customHeight="1" x14ac:dyDescent="0.35">
      <c r="A318" s="230"/>
      <c r="B318" s="230"/>
      <c r="C318" s="217"/>
      <c r="D318" s="217"/>
      <c r="E318" s="217"/>
      <c r="F318" s="217"/>
      <c r="G318" s="217"/>
      <c r="H318" s="74" t="s">
        <v>48</v>
      </c>
      <c r="I318" s="98" t="s">
        <v>44</v>
      </c>
      <c r="J318" s="99" t="s">
        <v>53</v>
      </c>
      <c r="K318" s="217"/>
      <c r="L318" s="66"/>
      <c r="M318" s="18"/>
      <c r="N318" s="18"/>
      <c r="O318" s="18"/>
      <c r="P318" s="284"/>
      <c r="Q318" s="284"/>
      <c r="R318" s="284"/>
      <c r="S318" s="18"/>
      <c r="T318" s="284"/>
      <c r="U318" s="284"/>
      <c r="V318" s="284"/>
      <c r="W318" s="18"/>
      <c r="X318" s="18"/>
      <c r="Y318" s="18"/>
      <c r="Z318" s="18"/>
    </row>
    <row r="319" spans="1:26" ht="16.5" customHeight="1" x14ac:dyDescent="0.35">
      <c r="A319" s="230"/>
      <c r="B319" s="230"/>
      <c r="C319" s="227" t="s">
        <v>231</v>
      </c>
      <c r="D319" s="218">
        <v>3</v>
      </c>
      <c r="E319" s="216">
        <v>1.5</v>
      </c>
      <c r="F319" s="218" t="s">
        <v>68</v>
      </c>
      <c r="G319" s="218" t="s">
        <v>64</v>
      </c>
      <c r="H319" s="74" t="s">
        <v>35</v>
      </c>
      <c r="I319" s="74" t="s">
        <v>232</v>
      </c>
      <c r="J319" s="77" t="s">
        <v>149</v>
      </c>
      <c r="K319" s="218" t="s">
        <v>54</v>
      </c>
      <c r="L319" s="66" t="s">
        <v>102</v>
      </c>
      <c r="M319" s="18"/>
      <c r="N319" s="18"/>
      <c r="O319" s="18"/>
      <c r="P319" s="293"/>
      <c r="Q319" s="295"/>
      <c r="R319" s="294"/>
      <c r="S319" s="18"/>
      <c r="T319" s="293"/>
      <c r="U319" s="295"/>
      <c r="V319" s="294"/>
      <c r="W319" s="18"/>
      <c r="X319" s="18"/>
      <c r="Y319" s="18"/>
      <c r="Z319" s="18"/>
    </row>
    <row r="320" spans="1:26" ht="16.5" customHeight="1" x14ac:dyDescent="0.35">
      <c r="A320" s="230"/>
      <c r="B320" s="230"/>
      <c r="C320" s="217"/>
      <c r="D320" s="217"/>
      <c r="E320" s="217"/>
      <c r="F320" s="217"/>
      <c r="G320" s="217"/>
      <c r="H320" s="74" t="s">
        <v>48</v>
      </c>
      <c r="I320" s="76" t="s">
        <v>232</v>
      </c>
      <c r="J320" s="77" t="s">
        <v>149</v>
      </c>
      <c r="K320" s="217"/>
      <c r="L320" s="66"/>
      <c r="M320" s="18"/>
      <c r="N320" s="18"/>
      <c r="O320" s="18"/>
      <c r="P320" s="284"/>
      <c r="Q320" s="284"/>
      <c r="R320" s="284"/>
      <c r="S320" s="18"/>
      <c r="T320" s="284"/>
      <c r="U320" s="284"/>
      <c r="V320" s="284"/>
      <c r="W320" s="18"/>
      <c r="X320" s="18"/>
      <c r="Y320" s="18"/>
      <c r="Z320" s="18"/>
    </row>
    <row r="321" spans="1:26" ht="16.5" customHeight="1" x14ac:dyDescent="0.35">
      <c r="A321" s="230"/>
      <c r="B321" s="230"/>
      <c r="C321" s="227" t="s">
        <v>233</v>
      </c>
      <c r="D321" s="218">
        <v>3</v>
      </c>
      <c r="E321" s="216">
        <v>1.5</v>
      </c>
      <c r="F321" s="218" t="s">
        <v>68</v>
      </c>
      <c r="G321" s="218" t="s">
        <v>69</v>
      </c>
      <c r="H321" s="74" t="s">
        <v>46</v>
      </c>
      <c r="I321" s="76" t="s">
        <v>44</v>
      </c>
      <c r="J321" s="75" t="s">
        <v>71</v>
      </c>
      <c r="K321" s="218" t="s">
        <v>38</v>
      </c>
      <c r="L321" s="66"/>
      <c r="M321" s="18"/>
      <c r="N321" s="18"/>
      <c r="O321" s="18"/>
      <c r="P321" s="293"/>
      <c r="Q321" s="295"/>
      <c r="R321" s="294"/>
      <c r="S321" s="18"/>
      <c r="T321" s="293"/>
      <c r="U321" s="295"/>
      <c r="V321" s="294"/>
      <c r="W321" s="18"/>
      <c r="X321" s="18"/>
      <c r="Y321" s="18"/>
      <c r="Z321" s="18"/>
    </row>
    <row r="322" spans="1:26" ht="16.5" customHeight="1" x14ac:dyDescent="0.35">
      <c r="A322" s="230"/>
      <c r="B322" s="230"/>
      <c r="C322" s="217"/>
      <c r="D322" s="217"/>
      <c r="E322" s="217"/>
      <c r="F322" s="217"/>
      <c r="G322" s="217"/>
      <c r="H322" s="74" t="s">
        <v>55</v>
      </c>
      <c r="I322" s="76" t="s">
        <v>44</v>
      </c>
      <c r="J322" s="77" t="s">
        <v>71</v>
      </c>
      <c r="K322" s="217"/>
      <c r="L322" s="66"/>
      <c r="M322" s="18"/>
      <c r="N322" s="18"/>
      <c r="O322" s="18"/>
      <c r="P322" s="284"/>
      <c r="Q322" s="284"/>
      <c r="R322" s="284"/>
      <c r="S322" s="18"/>
      <c r="T322" s="284"/>
      <c r="U322" s="284"/>
      <c r="V322" s="284"/>
      <c r="W322" s="18"/>
      <c r="X322" s="18"/>
      <c r="Y322" s="18"/>
      <c r="Z322" s="18"/>
    </row>
    <row r="323" spans="1:26" ht="16.5" customHeight="1" x14ac:dyDescent="0.35">
      <c r="A323" s="230"/>
      <c r="B323" s="217"/>
      <c r="C323" s="94" t="s">
        <v>191</v>
      </c>
      <c r="D323" s="74">
        <v>3</v>
      </c>
      <c r="E323" s="81">
        <v>3</v>
      </c>
      <c r="F323" s="74" t="s">
        <v>75</v>
      </c>
      <c r="G323" s="74" t="s">
        <v>234</v>
      </c>
      <c r="H323" s="74" t="s">
        <v>119</v>
      </c>
      <c r="I323" s="74" t="s">
        <v>82</v>
      </c>
      <c r="J323" s="74" t="s">
        <v>208</v>
      </c>
      <c r="K323" s="74" t="s">
        <v>93</v>
      </c>
      <c r="L323" s="66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6.5" customHeight="1" x14ac:dyDescent="0.35">
      <c r="A324" s="217"/>
      <c r="B324" s="228" t="s">
        <v>72</v>
      </c>
      <c r="C324" s="221"/>
      <c r="D324" s="222"/>
      <c r="E324" s="71">
        <f>SUM(E298:E322)</f>
        <v>15.5</v>
      </c>
      <c r="F324" s="220"/>
      <c r="G324" s="221"/>
      <c r="H324" s="221"/>
      <c r="I324" s="221"/>
      <c r="J324" s="221"/>
      <c r="K324" s="222"/>
      <c r="L324" s="66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6.5" customHeight="1" x14ac:dyDescent="0.35">
      <c r="A325" s="229">
        <v>20</v>
      </c>
      <c r="B325" s="238" t="s">
        <v>235</v>
      </c>
      <c r="C325" s="227" t="s">
        <v>236</v>
      </c>
      <c r="D325" s="218">
        <v>2</v>
      </c>
      <c r="E325" s="216">
        <v>2</v>
      </c>
      <c r="F325" s="218" t="s">
        <v>75</v>
      </c>
      <c r="G325" s="218" t="s">
        <v>136</v>
      </c>
      <c r="H325" s="74" t="s">
        <v>237</v>
      </c>
      <c r="I325" s="74" t="s">
        <v>56</v>
      </c>
      <c r="J325" s="74" t="s">
        <v>53</v>
      </c>
      <c r="K325" s="218" t="s">
        <v>54</v>
      </c>
      <c r="L325" s="66"/>
      <c r="M325" s="18"/>
      <c r="N325" s="18"/>
      <c r="O325" s="18"/>
      <c r="P325" s="293"/>
      <c r="Q325" s="295"/>
      <c r="R325" s="294"/>
      <c r="S325" s="18"/>
      <c r="T325" s="293"/>
      <c r="U325" s="295"/>
      <c r="V325" s="294"/>
      <c r="W325" s="18"/>
      <c r="X325" s="18"/>
      <c r="Y325" s="18"/>
      <c r="Z325" s="18"/>
    </row>
    <row r="326" spans="1:26" ht="16.5" customHeight="1" x14ac:dyDescent="0.35">
      <c r="A326" s="230"/>
      <c r="B326" s="230"/>
      <c r="C326" s="217"/>
      <c r="D326" s="217"/>
      <c r="E326" s="217"/>
      <c r="F326" s="217"/>
      <c r="G326" s="217"/>
      <c r="H326" s="74" t="s">
        <v>55</v>
      </c>
      <c r="I326" s="74" t="s">
        <v>52</v>
      </c>
      <c r="J326" s="74" t="s">
        <v>152</v>
      </c>
      <c r="K326" s="217"/>
      <c r="L326" s="66"/>
      <c r="M326" s="18"/>
      <c r="N326" s="18"/>
      <c r="O326" s="18"/>
      <c r="P326" s="284"/>
      <c r="Q326" s="284"/>
      <c r="R326" s="284"/>
      <c r="S326" s="18"/>
      <c r="T326" s="284"/>
      <c r="U326" s="284"/>
      <c r="V326" s="284"/>
      <c r="W326" s="18"/>
      <c r="X326" s="18"/>
      <c r="Y326" s="18"/>
      <c r="Z326" s="18"/>
    </row>
    <row r="327" spans="1:26" ht="16.5" customHeight="1" x14ac:dyDescent="0.35">
      <c r="A327" s="230"/>
      <c r="B327" s="230"/>
      <c r="C327" s="227" t="s">
        <v>236</v>
      </c>
      <c r="D327" s="218">
        <v>2</v>
      </c>
      <c r="E327" s="216">
        <v>2</v>
      </c>
      <c r="F327" s="218" t="s">
        <v>75</v>
      </c>
      <c r="G327" s="218" t="s">
        <v>76</v>
      </c>
      <c r="H327" s="74" t="s">
        <v>46</v>
      </c>
      <c r="I327" s="74" t="s">
        <v>52</v>
      </c>
      <c r="J327" s="74" t="s">
        <v>71</v>
      </c>
      <c r="K327" s="218" t="s">
        <v>54</v>
      </c>
      <c r="L327" s="66"/>
      <c r="M327" s="18"/>
      <c r="N327" s="18"/>
      <c r="O327" s="18"/>
      <c r="P327" s="293"/>
      <c r="Q327" s="295"/>
      <c r="R327" s="294"/>
      <c r="S327" s="18"/>
      <c r="T327" s="293"/>
      <c r="U327" s="295"/>
      <c r="V327" s="294"/>
      <c r="W327" s="18"/>
      <c r="X327" s="18"/>
      <c r="Y327" s="18"/>
      <c r="Z327" s="18"/>
    </row>
    <row r="328" spans="1:26" ht="16.5" customHeight="1" x14ac:dyDescent="0.35">
      <c r="A328" s="230"/>
      <c r="B328" s="230"/>
      <c r="C328" s="217"/>
      <c r="D328" s="217"/>
      <c r="E328" s="217"/>
      <c r="F328" s="217"/>
      <c r="G328" s="217"/>
      <c r="H328" s="74" t="s">
        <v>48</v>
      </c>
      <c r="I328" s="74" t="s">
        <v>56</v>
      </c>
      <c r="J328" s="74" t="s">
        <v>152</v>
      </c>
      <c r="K328" s="217"/>
      <c r="L328" s="66"/>
      <c r="M328" s="18"/>
      <c r="N328" s="18"/>
      <c r="O328" s="18"/>
      <c r="P328" s="284"/>
      <c r="Q328" s="284"/>
      <c r="R328" s="284"/>
      <c r="S328" s="18"/>
      <c r="T328" s="284"/>
      <c r="U328" s="284"/>
      <c r="V328" s="284"/>
      <c r="W328" s="18"/>
      <c r="X328" s="18"/>
      <c r="Y328" s="18"/>
      <c r="Z328" s="18"/>
    </row>
    <row r="329" spans="1:26" ht="16.5" customHeight="1" x14ac:dyDescent="0.35">
      <c r="A329" s="230"/>
      <c r="B329" s="230"/>
      <c r="C329" s="227" t="s">
        <v>238</v>
      </c>
      <c r="D329" s="218">
        <v>2</v>
      </c>
      <c r="E329" s="216">
        <v>2</v>
      </c>
      <c r="F329" s="218" t="s">
        <v>158</v>
      </c>
      <c r="G329" s="218" t="s">
        <v>136</v>
      </c>
      <c r="H329" s="74" t="s">
        <v>35</v>
      </c>
      <c r="I329" s="74" t="s">
        <v>56</v>
      </c>
      <c r="J329" s="74" t="s">
        <v>172</v>
      </c>
      <c r="K329" s="218" t="s">
        <v>54</v>
      </c>
      <c r="L329" s="66"/>
      <c r="M329" s="18"/>
      <c r="N329" s="18"/>
      <c r="O329" s="18"/>
      <c r="P329" s="293"/>
      <c r="Q329" s="295"/>
      <c r="R329" s="294"/>
      <c r="S329" s="18"/>
      <c r="T329" s="293"/>
      <c r="U329" s="295"/>
      <c r="V329" s="294"/>
      <c r="W329" s="18"/>
      <c r="X329" s="18"/>
      <c r="Y329" s="18"/>
      <c r="Z329" s="18"/>
    </row>
    <row r="330" spans="1:26" ht="16.5" customHeight="1" x14ac:dyDescent="0.35">
      <c r="A330" s="230"/>
      <c r="B330" s="230"/>
      <c r="C330" s="217"/>
      <c r="D330" s="217"/>
      <c r="E330" s="217"/>
      <c r="F330" s="217"/>
      <c r="G330" s="217"/>
      <c r="H330" s="84" t="s">
        <v>55</v>
      </c>
      <c r="I330" s="84" t="s">
        <v>56</v>
      </c>
      <c r="J330" s="84" t="s">
        <v>169</v>
      </c>
      <c r="K330" s="219"/>
      <c r="L330" s="66"/>
      <c r="M330" s="18"/>
      <c r="N330" s="18"/>
      <c r="O330" s="18"/>
      <c r="P330" s="284"/>
      <c r="Q330" s="284"/>
      <c r="R330" s="284"/>
      <c r="S330" s="18"/>
      <c r="T330" s="284"/>
      <c r="U330" s="284"/>
      <c r="V330" s="284"/>
      <c r="W330" s="18"/>
      <c r="X330" s="18"/>
      <c r="Y330" s="18"/>
      <c r="Z330" s="18"/>
    </row>
    <row r="331" spans="1:26" ht="16.5" customHeight="1" x14ac:dyDescent="0.35">
      <c r="A331" s="230"/>
      <c r="B331" s="230"/>
      <c r="C331" s="227" t="s">
        <v>239</v>
      </c>
      <c r="D331" s="218">
        <v>3</v>
      </c>
      <c r="E331" s="216">
        <v>3</v>
      </c>
      <c r="F331" s="218" t="s">
        <v>158</v>
      </c>
      <c r="G331" s="218" t="s">
        <v>136</v>
      </c>
      <c r="H331" s="74" t="s">
        <v>35</v>
      </c>
      <c r="I331" s="74" t="s">
        <v>44</v>
      </c>
      <c r="J331" s="74" t="s">
        <v>71</v>
      </c>
      <c r="K331" s="218" t="s">
        <v>38</v>
      </c>
      <c r="L331" s="66"/>
      <c r="M331" s="22"/>
      <c r="N331" s="22"/>
      <c r="O331" s="22"/>
      <c r="P331" s="293"/>
      <c r="Q331" s="295"/>
      <c r="R331" s="294"/>
      <c r="S331" s="18"/>
      <c r="T331" s="293"/>
      <c r="U331" s="295"/>
      <c r="V331" s="294"/>
      <c r="W331" s="18"/>
      <c r="X331" s="18"/>
      <c r="Y331" s="18"/>
      <c r="Z331" s="18"/>
    </row>
    <row r="332" spans="1:26" ht="16.5" customHeight="1" x14ac:dyDescent="0.35">
      <c r="A332" s="230"/>
      <c r="B332" s="230"/>
      <c r="C332" s="217"/>
      <c r="D332" s="217"/>
      <c r="E332" s="217"/>
      <c r="F332" s="217"/>
      <c r="G332" s="217"/>
      <c r="H332" s="74" t="s">
        <v>55</v>
      </c>
      <c r="I332" s="74" t="s">
        <v>36</v>
      </c>
      <c r="J332" s="74" t="s">
        <v>206</v>
      </c>
      <c r="K332" s="217"/>
      <c r="L332" s="66"/>
      <c r="M332" s="22"/>
      <c r="N332" s="22"/>
      <c r="O332" s="22"/>
      <c r="P332" s="284"/>
      <c r="Q332" s="284"/>
      <c r="R332" s="284"/>
      <c r="S332" s="18"/>
      <c r="T332" s="284"/>
      <c r="U332" s="284"/>
      <c r="V332" s="284"/>
      <c r="W332" s="18"/>
      <c r="X332" s="18"/>
      <c r="Y332" s="18"/>
      <c r="Z332" s="18"/>
    </row>
    <row r="333" spans="1:26" ht="16.5" customHeight="1" x14ac:dyDescent="0.35">
      <c r="A333" s="230"/>
      <c r="B333" s="230"/>
      <c r="C333" s="227" t="s">
        <v>229</v>
      </c>
      <c r="D333" s="218">
        <v>2</v>
      </c>
      <c r="E333" s="216">
        <v>1</v>
      </c>
      <c r="F333" s="218" t="s">
        <v>63</v>
      </c>
      <c r="G333" s="218" t="s">
        <v>101</v>
      </c>
      <c r="H333" s="74" t="s">
        <v>35</v>
      </c>
      <c r="I333" s="74" t="s">
        <v>56</v>
      </c>
      <c r="J333" s="75" t="s">
        <v>169</v>
      </c>
      <c r="K333" s="218" t="s">
        <v>38</v>
      </c>
      <c r="L333" s="66"/>
      <c r="M333" s="18"/>
      <c r="N333" s="18"/>
      <c r="O333" s="18"/>
      <c r="P333" s="293"/>
      <c r="Q333" s="295"/>
      <c r="R333" s="294"/>
      <c r="S333" s="18"/>
      <c r="T333" s="293"/>
      <c r="U333" s="295"/>
      <c r="V333" s="294"/>
      <c r="W333" s="18"/>
      <c r="X333" s="18"/>
      <c r="Y333" s="18"/>
      <c r="Z333" s="18"/>
    </row>
    <row r="334" spans="1:26" ht="16.5" customHeight="1" x14ac:dyDescent="0.35">
      <c r="A334" s="230"/>
      <c r="B334" s="230"/>
      <c r="C334" s="217"/>
      <c r="D334" s="217"/>
      <c r="E334" s="217"/>
      <c r="F334" s="217"/>
      <c r="G334" s="217"/>
      <c r="H334" s="74" t="s">
        <v>46</v>
      </c>
      <c r="I334" s="74" t="s">
        <v>56</v>
      </c>
      <c r="J334" s="75" t="s">
        <v>169</v>
      </c>
      <c r="K334" s="217"/>
      <c r="L334" s="66"/>
      <c r="M334" s="18"/>
      <c r="N334" s="18"/>
      <c r="O334" s="18"/>
      <c r="P334" s="284"/>
      <c r="Q334" s="284"/>
      <c r="R334" s="284"/>
      <c r="S334" s="18"/>
      <c r="T334" s="284"/>
      <c r="U334" s="284"/>
      <c r="V334" s="284"/>
      <c r="W334" s="18"/>
      <c r="X334" s="18"/>
      <c r="Y334" s="18"/>
      <c r="Z334" s="18"/>
    </row>
    <row r="335" spans="1:26" ht="16.5" customHeight="1" x14ac:dyDescent="0.35">
      <c r="A335" s="230"/>
      <c r="B335" s="230"/>
      <c r="C335" s="227" t="s">
        <v>181</v>
      </c>
      <c r="D335" s="218">
        <v>2</v>
      </c>
      <c r="E335" s="216">
        <v>1</v>
      </c>
      <c r="F335" s="218" t="s">
        <v>63</v>
      </c>
      <c r="G335" s="218" t="s">
        <v>64</v>
      </c>
      <c r="H335" s="74" t="s">
        <v>48</v>
      </c>
      <c r="I335" s="74" t="s">
        <v>230</v>
      </c>
      <c r="J335" s="75" t="s">
        <v>152</v>
      </c>
      <c r="K335" s="218" t="s">
        <v>54</v>
      </c>
      <c r="L335" s="66"/>
      <c r="M335" s="18"/>
      <c r="N335" s="18"/>
      <c r="O335" s="18"/>
      <c r="P335" s="293"/>
      <c r="Q335" s="295"/>
      <c r="R335" s="294"/>
      <c r="S335" s="18"/>
      <c r="T335" s="293"/>
      <c r="U335" s="295"/>
      <c r="V335" s="294"/>
      <c r="W335" s="18"/>
      <c r="X335" s="18"/>
      <c r="Y335" s="18"/>
      <c r="Z335" s="18"/>
    </row>
    <row r="336" spans="1:26" ht="16.5" customHeight="1" x14ac:dyDescent="0.35">
      <c r="A336" s="230"/>
      <c r="B336" s="230"/>
      <c r="C336" s="217"/>
      <c r="D336" s="217"/>
      <c r="E336" s="217"/>
      <c r="F336" s="217"/>
      <c r="G336" s="217"/>
      <c r="H336" s="74" t="s">
        <v>55</v>
      </c>
      <c r="I336" s="74" t="s">
        <v>230</v>
      </c>
      <c r="J336" s="75" t="s">
        <v>126</v>
      </c>
      <c r="K336" s="217"/>
      <c r="L336" s="66"/>
      <c r="M336" s="18"/>
      <c r="N336" s="18"/>
      <c r="O336" s="18"/>
      <c r="P336" s="284"/>
      <c r="Q336" s="284"/>
      <c r="R336" s="284"/>
      <c r="S336" s="18"/>
      <c r="T336" s="284"/>
      <c r="U336" s="284"/>
      <c r="V336" s="284"/>
      <c r="W336" s="18"/>
      <c r="X336" s="18"/>
      <c r="Y336" s="18"/>
      <c r="Z336" s="18"/>
    </row>
    <row r="337" spans="1:26" ht="16.5" customHeight="1" x14ac:dyDescent="0.35">
      <c r="A337" s="230"/>
      <c r="B337" s="230"/>
      <c r="C337" s="227" t="s">
        <v>240</v>
      </c>
      <c r="D337" s="218">
        <v>3</v>
      </c>
      <c r="E337" s="216">
        <v>1.5</v>
      </c>
      <c r="F337" s="218" t="s">
        <v>68</v>
      </c>
      <c r="G337" s="218" t="s">
        <v>42</v>
      </c>
      <c r="H337" s="74" t="s">
        <v>35</v>
      </c>
      <c r="I337" s="76" t="s">
        <v>40</v>
      </c>
      <c r="J337" s="76" t="s">
        <v>110</v>
      </c>
      <c r="K337" s="218" t="s">
        <v>54</v>
      </c>
      <c r="L337" s="66"/>
      <c r="M337" s="18"/>
      <c r="N337" s="18"/>
      <c r="O337" s="18"/>
      <c r="P337" s="293"/>
      <c r="Q337" s="295"/>
      <c r="R337" s="294"/>
      <c r="S337" s="18"/>
      <c r="T337" s="293"/>
      <c r="U337" s="295"/>
      <c r="V337" s="294"/>
      <c r="W337" s="18"/>
      <c r="X337" s="18"/>
      <c r="Y337" s="18"/>
      <c r="Z337" s="18"/>
    </row>
    <row r="338" spans="1:26" ht="16.5" customHeight="1" x14ac:dyDescent="0.35">
      <c r="A338" s="230"/>
      <c r="B338" s="230"/>
      <c r="C338" s="217"/>
      <c r="D338" s="217"/>
      <c r="E338" s="217"/>
      <c r="F338" s="217"/>
      <c r="G338" s="217"/>
      <c r="H338" s="74" t="s">
        <v>48</v>
      </c>
      <c r="I338" s="76" t="s">
        <v>40</v>
      </c>
      <c r="J338" s="76" t="s">
        <v>110</v>
      </c>
      <c r="K338" s="217"/>
      <c r="L338" s="66"/>
      <c r="M338" s="18"/>
      <c r="N338" s="18"/>
      <c r="O338" s="18"/>
      <c r="P338" s="284"/>
      <c r="Q338" s="284"/>
      <c r="R338" s="284"/>
      <c r="S338" s="18"/>
      <c r="T338" s="284"/>
      <c r="U338" s="284"/>
      <c r="V338" s="284"/>
      <c r="W338" s="18"/>
      <c r="X338" s="18"/>
      <c r="Y338" s="18"/>
      <c r="Z338" s="18"/>
    </row>
    <row r="339" spans="1:26" ht="16.5" customHeight="1" x14ac:dyDescent="0.35">
      <c r="A339" s="230"/>
      <c r="B339" s="230"/>
      <c r="C339" s="227" t="s">
        <v>233</v>
      </c>
      <c r="D339" s="218">
        <v>3</v>
      </c>
      <c r="E339" s="216">
        <v>1.5</v>
      </c>
      <c r="F339" s="218" t="s">
        <v>68</v>
      </c>
      <c r="G339" s="218" t="s">
        <v>101</v>
      </c>
      <c r="H339" s="74" t="s">
        <v>46</v>
      </c>
      <c r="I339" s="76" t="s">
        <v>44</v>
      </c>
      <c r="J339" s="76" t="s">
        <v>111</v>
      </c>
      <c r="K339" s="218" t="s">
        <v>38</v>
      </c>
      <c r="L339" s="66"/>
      <c r="M339" s="18"/>
      <c r="N339" s="18"/>
      <c r="O339" s="18"/>
      <c r="P339" s="293"/>
      <c r="Q339" s="295"/>
      <c r="R339" s="294"/>
      <c r="S339" s="18"/>
      <c r="T339" s="293"/>
      <c r="U339" s="295"/>
      <c r="V339" s="294"/>
      <c r="W339" s="18"/>
      <c r="X339" s="18"/>
      <c r="Y339" s="18"/>
      <c r="Z339" s="18"/>
    </row>
    <row r="340" spans="1:26" ht="16.5" customHeight="1" x14ac:dyDescent="0.35">
      <c r="A340" s="230"/>
      <c r="B340" s="230"/>
      <c r="C340" s="217"/>
      <c r="D340" s="217"/>
      <c r="E340" s="217"/>
      <c r="F340" s="217"/>
      <c r="G340" s="217"/>
      <c r="H340" s="74" t="s">
        <v>48</v>
      </c>
      <c r="I340" s="76" t="s">
        <v>44</v>
      </c>
      <c r="J340" s="74" t="s">
        <v>111</v>
      </c>
      <c r="K340" s="217"/>
      <c r="L340" s="66"/>
      <c r="M340" s="18"/>
      <c r="N340" s="18"/>
      <c r="O340" s="18"/>
      <c r="P340" s="284"/>
      <c r="Q340" s="284"/>
      <c r="R340" s="284"/>
      <c r="S340" s="18"/>
      <c r="T340" s="284"/>
      <c r="U340" s="284"/>
      <c r="V340" s="284"/>
      <c r="W340" s="18"/>
      <c r="X340" s="18"/>
      <c r="Y340" s="18"/>
      <c r="Z340" s="18"/>
    </row>
    <row r="341" spans="1:26" ht="16.5" customHeight="1" x14ac:dyDescent="0.35">
      <c r="A341" s="230"/>
      <c r="B341" s="230"/>
      <c r="C341" s="227" t="s">
        <v>231</v>
      </c>
      <c r="D341" s="218">
        <v>3</v>
      </c>
      <c r="E341" s="216">
        <v>1.5</v>
      </c>
      <c r="F341" s="218" t="s">
        <v>68</v>
      </c>
      <c r="G341" s="218" t="s">
        <v>69</v>
      </c>
      <c r="H341" s="74" t="s">
        <v>35</v>
      </c>
      <c r="I341" s="76" t="s">
        <v>146</v>
      </c>
      <c r="J341" s="74" t="s">
        <v>71</v>
      </c>
      <c r="K341" s="218" t="s">
        <v>54</v>
      </c>
      <c r="L341" s="66"/>
      <c r="M341" s="18"/>
      <c r="N341" s="18"/>
      <c r="O341" s="18"/>
      <c r="P341" s="293"/>
      <c r="Q341" s="295"/>
      <c r="R341" s="294"/>
      <c r="S341" s="18"/>
      <c r="T341" s="293"/>
      <c r="U341" s="295"/>
      <c r="V341" s="294"/>
      <c r="W341" s="18"/>
      <c r="X341" s="18"/>
      <c r="Y341" s="18"/>
      <c r="Z341" s="18"/>
    </row>
    <row r="342" spans="1:26" ht="16.5" customHeight="1" x14ac:dyDescent="0.35">
      <c r="A342" s="230"/>
      <c r="B342" s="230"/>
      <c r="C342" s="217"/>
      <c r="D342" s="217"/>
      <c r="E342" s="217"/>
      <c r="F342" s="217"/>
      <c r="G342" s="217"/>
      <c r="H342" s="74" t="s">
        <v>48</v>
      </c>
      <c r="I342" s="76" t="s">
        <v>146</v>
      </c>
      <c r="J342" s="76" t="s">
        <v>71</v>
      </c>
      <c r="K342" s="217"/>
      <c r="L342" s="66"/>
      <c r="M342" s="18"/>
      <c r="N342" s="18"/>
      <c r="O342" s="18"/>
      <c r="P342" s="284"/>
      <c r="Q342" s="284"/>
      <c r="R342" s="284"/>
      <c r="S342" s="18"/>
      <c r="T342" s="284"/>
      <c r="U342" s="284"/>
      <c r="V342" s="284"/>
      <c r="W342" s="18"/>
      <c r="X342" s="18"/>
      <c r="Y342" s="18"/>
      <c r="Z342" s="18"/>
    </row>
    <row r="343" spans="1:26" ht="16.5" customHeight="1" x14ac:dyDescent="0.35">
      <c r="A343" s="230"/>
      <c r="B343" s="217"/>
      <c r="C343" s="94" t="s">
        <v>191</v>
      </c>
      <c r="D343" s="74">
        <v>3</v>
      </c>
      <c r="E343" s="81">
        <v>3</v>
      </c>
      <c r="F343" s="74" t="s">
        <v>75</v>
      </c>
      <c r="G343" s="74" t="s">
        <v>241</v>
      </c>
      <c r="H343" s="74" t="s">
        <v>119</v>
      </c>
      <c r="I343" s="74" t="s">
        <v>82</v>
      </c>
      <c r="J343" s="74" t="s">
        <v>110</v>
      </c>
      <c r="K343" s="74" t="s">
        <v>93</v>
      </c>
      <c r="L343" s="66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6.5" customHeight="1" x14ac:dyDescent="0.35">
      <c r="A344" s="217"/>
      <c r="B344" s="228" t="s">
        <v>72</v>
      </c>
      <c r="C344" s="221"/>
      <c r="D344" s="222"/>
      <c r="E344" s="100">
        <f>SUM(E325:E342)</f>
        <v>15.5</v>
      </c>
      <c r="F344" s="220"/>
      <c r="G344" s="221"/>
      <c r="H344" s="221"/>
      <c r="I344" s="221"/>
      <c r="J344" s="221"/>
      <c r="K344" s="222"/>
      <c r="L344" s="66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6.5" customHeight="1" x14ac:dyDescent="0.35">
      <c r="A345" s="229">
        <v>21</v>
      </c>
      <c r="B345" s="235" t="s">
        <v>242</v>
      </c>
      <c r="C345" s="227" t="s">
        <v>243</v>
      </c>
      <c r="D345" s="218">
        <v>2</v>
      </c>
      <c r="E345" s="216">
        <v>2</v>
      </c>
      <c r="F345" s="218" t="s">
        <v>75</v>
      </c>
      <c r="G345" s="218" t="s">
        <v>90</v>
      </c>
      <c r="H345" s="74" t="s">
        <v>46</v>
      </c>
      <c r="I345" s="74" t="s">
        <v>56</v>
      </c>
      <c r="J345" s="74" t="s">
        <v>65</v>
      </c>
      <c r="K345" s="218" t="s">
        <v>54</v>
      </c>
      <c r="L345" s="66"/>
      <c r="M345" s="18"/>
      <c r="N345" s="18"/>
      <c r="O345" s="18"/>
      <c r="P345" s="293"/>
      <c r="Q345" s="295"/>
      <c r="R345" s="294"/>
      <c r="S345" s="18"/>
      <c r="T345" s="293"/>
      <c r="U345" s="295"/>
      <c r="V345" s="294"/>
      <c r="W345" s="18"/>
      <c r="X345" s="18"/>
      <c r="Y345" s="18"/>
      <c r="Z345" s="18"/>
    </row>
    <row r="346" spans="1:26" ht="16.5" customHeight="1" x14ac:dyDescent="0.35">
      <c r="A346" s="230"/>
      <c r="B346" s="236"/>
      <c r="C346" s="217"/>
      <c r="D346" s="217"/>
      <c r="E346" s="217"/>
      <c r="F346" s="217"/>
      <c r="G346" s="217"/>
      <c r="H346" s="74" t="s">
        <v>48</v>
      </c>
      <c r="I346" s="74" t="s">
        <v>56</v>
      </c>
      <c r="J346" s="74" t="s">
        <v>65</v>
      </c>
      <c r="K346" s="217"/>
      <c r="L346" s="66"/>
      <c r="M346" s="18"/>
      <c r="N346" s="18"/>
      <c r="O346" s="18"/>
      <c r="P346" s="284"/>
      <c r="Q346" s="284"/>
      <c r="R346" s="284"/>
      <c r="S346" s="18"/>
      <c r="T346" s="284"/>
      <c r="U346" s="284"/>
      <c r="V346" s="284"/>
      <c r="W346" s="18"/>
      <c r="X346" s="18"/>
      <c r="Y346" s="18"/>
      <c r="Z346" s="18"/>
    </row>
    <row r="347" spans="1:26" ht="16.5" customHeight="1" x14ac:dyDescent="0.35">
      <c r="A347" s="230"/>
      <c r="B347" s="236"/>
      <c r="C347" s="227" t="s">
        <v>243</v>
      </c>
      <c r="D347" s="218">
        <v>2</v>
      </c>
      <c r="E347" s="216">
        <v>2</v>
      </c>
      <c r="F347" s="218" t="s">
        <v>75</v>
      </c>
      <c r="G347" s="218" t="s">
        <v>173</v>
      </c>
      <c r="H347" s="74" t="s">
        <v>35</v>
      </c>
      <c r="I347" s="74" t="s">
        <v>123</v>
      </c>
      <c r="J347" s="74" t="s">
        <v>126</v>
      </c>
      <c r="K347" s="218" t="s">
        <v>54</v>
      </c>
      <c r="L347" s="66"/>
      <c r="M347" s="18"/>
      <c r="N347" s="18"/>
      <c r="O347" s="18"/>
      <c r="P347" s="293"/>
      <c r="Q347" s="295"/>
      <c r="R347" s="294"/>
      <c r="S347" s="18"/>
      <c r="T347" s="293"/>
      <c r="U347" s="295"/>
      <c r="V347" s="294"/>
      <c r="W347" s="18"/>
      <c r="X347" s="18"/>
      <c r="Y347" s="18"/>
      <c r="Z347" s="18"/>
    </row>
    <row r="348" spans="1:26" ht="16.5" customHeight="1" x14ac:dyDescent="0.35">
      <c r="A348" s="230"/>
      <c r="B348" s="236"/>
      <c r="C348" s="217"/>
      <c r="D348" s="217"/>
      <c r="E348" s="217"/>
      <c r="F348" s="217"/>
      <c r="G348" s="217"/>
      <c r="H348" s="74" t="s">
        <v>55</v>
      </c>
      <c r="I348" s="74" t="s">
        <v>56</v>
      </c>
      <c r="J348" s="74" t="s">
        <v>126</v>
      </c>
      <c r="K348" s="217"/>
      <c r="L348" s="66"/>
      <c r="M348" s="18"/>
      <c r="N348" s="18"/>
      <c r="O348" s="18"/>
      <c r="P348" s="284"/>
      <c r="Q348" s="284"/>
      <c r="R348" s="284"/>
      <c r="S348" s="18"/>
      <c r="T348" s="284"/>
      <c r="U348" s="284"/>
      <c r="V348" s="284"/>
      <c r="W348" s="18"/>
      <c r="X348" s="18"/>
      <c r="Y348" s="18"/>
      <c r="Z348" s="18"/>
    </row>
    <row r="349" spans="1:26" ht="16.5" customHeight="1" x14ac:dyDescent="0.35">
      <c r="A349" s="230"/>
      <c r="B349" s="236"/>
      <c r="C349" s="227" t="s">
        <v>243</v>
      </c>
      <c r="D349" s="218">
        <v>2</v>
      </c>
      <c r="E349" s="216">
        <v>2</v>
      </c>
      <c r="F349" s="218" t="s">
        <v>75</v>
      </c>
      <c r="G349" s="218" t="s">
        <v>175</v>
      </c>
      <c r="H349" s="74" t="s">
        <v>46</v>
      </c>
      <c r="I349" s="74" t="s">
        <v>131</v>
      </c>
      <c r="J349" s="74" t="s">
        <v>111</v>
      </c>
      <c r="K349" s="218" t="s">
        <v>54</v>
      </c>
      <c r="L349" s="66"/>
      <c r="M349" s="18"/>
      <c r="N349" s="18"/>
      <c r="O349" s="18"/>
      <c r="P349" s="293"/>
      <c r="Q349" s="295"/>
      <c r="R349" s="294"/>
      <c r="S349" s="18"/>
      <c r="T349" s="293"/>
      <c r="U349" s="295"/>
      <c r="V349" s="294"/>
      <c r="W349" s="18"/>
      <c r="X349" s="18"/>
      <c r="Y349" s="18"/>
      <c r="Z349" s="18"/>
    </row>
    <row r="350" spans="1:26" ht="16.5" customHeight="1" x14ac:dyDescent="0.35">
      <c r="A350" s="230"/>
      <c r="B350" s="236"/>
      <c r="C350" s="217"/>
      <c r="D350" s="217"/>
      <c r="E350" s="217"/>
      <c r="F350" s="217"/>
      <c r="G350" s="217"/>
      <c r="H350" s="74" t="s">
        <v>48</v>
      </c>
      <c r="I350" s="74" t="s">
        <v>123</v>
      </c>
      <c r="J350" s="74" t="s">
        <v>208</v>
      </c>
      <c r="K350" s="217"/>
      <c r="L350" s="66"/>
      <c r="M350" s="18"/>
      <c r="N350" s="18"/>
      <c r="O350" s="18"/>
      <c r="P350" s="284"/>
      <c r="Q350" s="284"/>
      <c r="R350" s="284"/>
      <c r="S350" s="18"/>
      <c r="T350" s="284"/>
      <c r="U350" s="284"/>
      <c r="V350" s="284"/>
      <c r="W350" s="18"/>
      <c r="X350" s="18"/>
      <c r="Y350" s="18"/>
      <c r="Z350" s="18"/>
    </row>
    <row r="351" spans="1:26" ht="16.5" customHeight="1" x14ac:dyDescent="0.35">
      <c r="A351" s="230"/>
      <c r="B351" s="236"/>
      <c r="C351" s="227" t="s">
        <v>239</v>
      </c>
      <c r="D351" s="218">
        <v>3</v>
      </c>
      <c r="E351" s="216">
        <v>3</v>
      </c>
      <c r="F351" s="218" t="s">
        <v>75</v>
      </c>
      <c r="G351" s="218" t="s">
        <v>136</v>
      </c>
      <c r="H351" s="74" t="s">
        <v>35</v>
      </c>
      <c r="I351" s="74" t="s">
        <v>40</v>
      </c>
      <c r="J351" s="74" t="s">
        <v>111</v>
      </c>
      <c r="K351" s="218" t="s">
        <v>38</v>
      </c>
      <c r="L351" s="66"/>
      <c r="M351" s="17"/>
      <c r="N351" s="17"/>
      <c r="O351" s="17"/>
      <c r="P351" s="293"/>
      <c r="Q351" s="295"/>
      <c r="R351" s="294"/>
      <c r="S351" s="18"/>
      <c r="T351" s="293"/>
      <c r="U351" s="295"/>
      <c r="V351" s="294"/>
      <c r="W351" s="18"/>
      <c r="X351" s="18"/>
      <c r="Y351" s="18"/>
      <c r="Z351" s="18"/>
    </row>
    <row r="352" spans="1:26" ht="16.5" customHeight="1" x14ac:dyDescent="0.35">
      <c r="A352" s="230"/>
      <c r="B352" s="236"/>
      <c r="C352" s="217"/>
      <c r="D352" s="217"/>
      <c r="E352" s="217"/>
      <c r="F352" s="217"/>
      <c r="G352" s="217"/>
      <c r="H352" s="74" t="s">
        <v>48</v>
      </c>
      <c r="I352" s="74" t="s">
        <v>244</v>
      </c>
      <c r="J352" s="74" t="s">
        <v>80</v>
      </c>
      <c r="K352" s="217"/>
      <c r="L352" s="66"/>
      <c r="M352" s="17"/>
      <c r="N352" s="17"/>
      <c r="O352" s="17"/>
      <c r="P352" s="284"/>
      <c r="Q352" s="284"/>
      <c r="R352" s="284"/>
      <c r="S352" s="18"/>
      <c r="T352" s="284"/>
      <c r="U352" s="284"/>
      <c r="V352" s="284"/>
      <c r="W352" s="18"/>
      <c r="X352" s="18"/>
      <c r="Y352" s="18"/>
      <c r="Z352" s="18"/>
    </row>
    <row r="353" spans="1:26" ht="16.5" customHeight="1" x14ac:dyDescent="0.35">
      <c r="A353" s="230"/>
      <c r="B353" s="236"/>
      <c r="C353" s="227" t="s">
        <v>245</v>
      </c>
      <c r="D353" s="218">
        <v>3</v>
      </c>
      <c r="E353" s="216">
        <v>1.5</v>
      </c>
      <c r="F353" s="218" t="s">
        <v>63</v>
      </c>
      <c r="G353" s="218" t="s">
        <v>34</v>
      </c>
      <c r="H353" s="74" t="s">
        <v>35</v>
      </c>
      <c r="I353" s="74" t="s">
        <v>66</v>
      </c>
      <c r="J353" s="74" t="s">
        <v>152</v>
      </c>
      <c r="K353" s="218" t="s">
        <v>54</v>
      </c>
      <c r="L353" s="66"/>
      <c r="M353" s="17"/>
      <c r="N353" s="17"/>
      <c r="O353" s="17"/>
      <c r="P353" s="293"/>
      <c r="Q353" s="295"/>
      <c r="R353" s="294"/>
      <c r="S353" s="18"/>
      <c r="T353" s="293"/>
      <c r="U353" s="295"/>
      <c r="V353" s="294"/>
      <c r="W353" s="18"/>
      <c r="X353" s="18"/>
      <c r="Y353" s="18"/>
      <c r="Z353" s="18"/>
    </row>
    <row r="354" spans="1:26" ht="16.5" customHeight="1" x14ac:dyDescent="0.35">
      <c r="A354" s="230"/>
      <c r="B354" s="236"/>
      <c r="C354" s="217"/>
      <c r="D354" s="217"/>
      <c r="E354" s="217"/>
      <c r="F354" s="217"/>
      <c r="G354" s="217"/>
      <c r="H354" s="74" t="s">
        <v>46</v>
      </c>
      <c r="I354" s="74" t="s">
        <v>66</v>
      </c>
      <c r="J354" s="74" t="s">
        <v>152</v>
      </c>
      <c r="K354" s="217"/>
      <c r="L354" s="66"/>
      <c r="M354" s="18"/>
      <c r="N354" s="18"/>
      <c r="O354" s="18"/>
      <c r="P354" s="284"/>
      <c r="Q354" s="284"/>
      <c r="R354" s="284"/>
      <c r="S354" s="18"/>
      <c r="T354" s="284"/>
      <c r="U354" s="284"/>
      <c r="V354" s="284"/>
      <c r="W354" s="18"/>
      <c r="X354" s="18"/>
      <c r="Y354" s="18"/>
      <c r="Z354" s="18"/>
    </row>
    <row r="355" spans="1:26" ht="16.5" customHeight="1" x14ac:dyDescent="0.35">
      <c r="A355" s="230"/>
      <c r="B355" s="236"/>
      <c r="C355" s="227" t="s">
        <v>240</v>
      </c>
      <c r="D355" s="218">
        <v>3</v>
      </c>
      <c r="E355" s="216">
        <v>1.5</v>
      </c>
      <c r="F355" s="218" t="s">
        <v>68</v>
      </c>
      <c r="G355" s="218" t="s">
        <v>42</v>
      </c>
      <c r="H355" s="74" t="s">
        <v>35</v>
      </c>
      <c r="I355" s="76" t="s">
        <v>40</v>
      </c>
      <c r="J355" s="76" t="s">
        <v>110</v>
      </c>
      <c r="K355" s="218" t="s">
        <v>54</v>
      </c>
      <c r="L355" s="66"/>
      <c r="M355" s="18"/>
      <c r="N355" s="18"/>
      <c r="O355" s="18"/>
      <c r="P355" s="293"/>
      <c r="Q355" s="295"/>
      <c r="R355" s="294"/>
      <c r="S355" s="18"/>
      <c r="T355" s="293"/>
      <c r="U355" s="295"/>
      <c r="V355" s="294"/>
      <c r="W355" s="18"/>
      <c r="X355" s="18"/>
      <c r="Y355" s="18"/>
      <c r="Z355" s="18"/>
    </row>
    <row r="356" spans="1:26" ht="16.5" customHeight="1" x14ac:dyDescent="0.35">
      <c r="A356" s="230"/>
      <c r="B356" s="236"/>
      <c r="C356" s="217"/>
      <c r="D356" s="217"/>
      <c r="E356" s="217"/>
      <c r="F356" s="217"/>
      <c r="G356" s="217"/>
      <c r="H356" s="74" t="s">
        <v>48</v>
      </c>
      <c r="I356" s="76" t="s">
        <v>40</v>
      </c>
      <c r="J356" s="76" t="s">
        <v>110</v>
      </c>
      <c r="K356" s="217"/>
      <c r="L356" s="66"/>
      <c r="M356" s="18"/>
      <c r="N356" s="18"/>
      <c r="O356" s="18"/>
      <c r="P356" s="284"/>
      <c r="Q356" s="284"/>
      <c r="R356" s="284"/>
      <c r="S356" s="18"/>
      <c r="T356" s="284"/>
      <c r="U356" s="284"/>
      <c r="V356" s="284"/>
      <c r="W356" s="18"/>
      <c r="X356" s="18"/>
      <c r="Y356" s="18"/>
      <c r="Z356" s="18"/>
    </row>
    <row r="357" spans="1:26" ht="16.5" customHeight="1" x14ac:dyDescent="0.35">
      <c r="A357" s="230"/>
      <c r="B357" s="236"/>
      <c r="C357" s="227" t="s">
        <v>233</v>
      </c>
      <c r="D357" s="218">
        <v>3</v>
      </c>
      <c r="E357" s="216">
        <v>1.5</v>
      </c>
      <c r="F357" s="218" t="s">
        <v>68</v>
      </c>
      <c r="G357" s="218" t="s">
        <v>101</v>
      </c>
      <c r="H357" s="74" t="s">
        <v>46</v>
      </c>
      <c r="I357" s="76" t="s">
        <v>44</v>
      </c>
      <c r="J357" s="76" t="s">
        <v>111</v>
      </c>
      <c r="K357" s="218" t="s">
        <v>38</v>
      </c>
      <c r="L357" s="66"/>
      <c r="M357" s="18"/>
      <c r="N357" s="18"/>
      <c r="O357" s="18"/>
      <c r="P357" s="293"/>
      <c r="Q357" s="295"/>
      <c r="R357" s="294"/>
      <c r="S357" s="18"/>
      <c r="T357" s="293"/>
      <c r="U357" s="295"/>
      <c r="V357" s="294"/>
      <c r="W357" s="18"/>
      <c r="X357" s="18"/>
      <c r="Y357" s="18"/>
      <c r="Z357" s="18"/>
    </row>
    <row r="358" spans="1:26" ht="16.5" customHeight="1" x14ac:dyDescent="0.35">
      <c r="A358" s="230"/>
      <c r="B358" s="240"/>
      <c r="C358" s="217"/>
      <c r="D358" s="217"/>
      <c r="E358" s="217"/>
      <c r="F358" s="217"/>
      <c r="G358" s="217"/>
      <c r="H358" s="74" t="s">
        <v>48</v>
      </c>
      <c r="I358" s="76" t="s">
        <v>44</v>
      </c>
      <c r="J358" s="74" t="s">
        <v>111</v>
      </c>
      <c r="K358" s="217"/>
      <c r="L358" s="66"/>
      <c r="M358" s="18"/>
      <c r="N358" s="18"/>
      <c r="O358" s="18"/>
      <c r="P358" s="284"/>
      <c r="Q358" s="284"/>
      <c r="R358" s="284"/>
      <c r="S358" s="18"/>
      <c r="T358" s="284"/>
      <c r="U358" s="284"/>
      <c r="V358" s="284"/>
      <c r="W358" s="18"/>
      <c r="X358" s="18"/>
      <c r="Y358" s="18"/>
      <c r="Z358" s="18"/>
    </row>
    <row r="359" spans="1:26" ht="16.5" customHeight="1" x14ac:dyDescent="0.35">
      <c r="A359" s="217"/>
      <c r="B359" s="228" t="s">
        <v>72</v>
      </c>
      <c r="C359" s="221"/>
      <c r="D359" s="222"/>
      <c r="E359" s="71">
        <f>SUM(E345:E358)</f>
        <v>13.5</v>
      </c>
      <c r="F359" s="220"/>
      <c r="G359" s="221"/>
      <c r="H359" s="221"/>
      <c r="I359" s="221"/>
      <c r="J359" s="221"/>
      <c r="K359" s="222"/>
      <c r="L359" s="66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6.5" customHeight="1" x14ac:dyDescent="0.35">
      <c r="A360" s="229">
        <v>22</v>
      </c>
      <c r="B360" s="238" t="s">
        <v>246</v>
      </c>
      <c r="C360" s="227" t="s">
        <v>168</v>
      </c>
      <c r="D360" s="218">
        <v>3</v>
      </c>
      <c r="E360" s="216">
        <v>3</v>
      </c>
      <c r="F360" s="218" t="s">
        <v>75</v>
      </c>
      <c r="G360" s="218" t="s">
        <v>247</v>
      </c>
      <c r="H360" s="74" t="s">
        <v>35</v>
      </c>
      <c r="I360" s="76" t="s">
        <v>44</v>
      </c>
      <c r="J360" s="74" t="s">
        <v>206</v>
      </c>
      <c r="K360" s="218" t="s">
        <v>38</v>
      </c>
      <c r="L360" s="66"/>
      <c r="M360" s="17"/>
      <c r="N360" s="17"/>
      <c r="O360" s="17"/>
      <c r="P360" s="293"/>
      <c r="Q360" s="295"/>
      <c r="R360" s="294"/>
      <c r="S360" s="17"/>
      <c r="T360" s="293"/>
      <c r="U360" s="295"/>
      <c r="V360" s="294"/>
      <c r="W360" s="18"/>
      <c r="X360" s="18"/>
      <c r="Y360" s="18"/>
      <c r="Z360" s="18"/>
    </row>
    <row r="361" spans="1:26" ht="16.5" customHeight="1" x14ac:dyDescent="0.35">
      <c r="A361" s="230"/>
      <c r="B361" s="230"/>
      <c r="C361" s="217"/>
      <c r="D361" s="217"/>
      <c r="E361" s="217"/>
      <c r="F361" s="217"/>
      <c r="G361" s="217"/>
      <c r="H361" s="74" t="s">
        <v>55</v>
      </c>
      <c r="I361" s="74" t="s">
        <v>66</v>
      </c>
      <c r="J361" s="74" t="s">
        <v>155</v>
      </c>
      <c r="K361" s="217"/>
      <c r="L361" s="66"/>
      <c r="M361" s="17"/>
      <c r="N361" s="17"/>
      <c r="O361" s="17"/>
      <c r="P361" s="284"/>
      <c r="Q361" s="284"/>
      <c r="R361" s="284"/>
      <c r="S361" s="17"/>
      <c r="T361" s="284"/>
      <c r="U361" s="284"/>
      <c r="V361" s="284"/>
      <c r="W361" s="18"/>
      <c r="X361" s="18"/>
      <c r="Y361" s="18"/>
      <c r="Z361" s="18"/>
    </row>
    <row r="362" spans="1:26" ht="16.5" customHeight="1" x14ac:dyDescent="0.35">
      <c r="A362" s="230"/>
      <c r="B362" s="230"/>
      <c r="C362" s="227" t="s">
        <v>248</v>
      </c>
      <c r="D362" s="218">
        <v>2</v>
      </c>
      <c r="E362" s="216">
        <v>2</v>
      </c>
      <c r="F362" s="218" t="s">
        <v>75</v>
      </c>
      <c r="G362" s="218" t="s">
        <v>175</v>
      </c>
      <c r="H362" s="74" t="s">
        <v>46</v>
      </c>
      <c r="I362" s="74" t="s">
        <v>59</v>
      </c>
      <c r="J362" s="74" t="s">
        <v>107</v>
      </c>
      <c r="K362" s="218" t="s">
        <v>38</v>
      </c>
      <c r="L362" s="66"/>
      <c r="M362" s="18"/>
      <c r="N362" s="18"/>
      <c r="O362" s="18"/>
      <c r="P362" s="293"/>
      <c r="Q362" s="295"/>
      <c r="R362" s="294"/>
      <c r="S362" s="18"/>
      <c r="T362" s="293"/>
      <c r="U362" s="295"/>
      <c r="V362" s="294"/>
      <c r="W362" s="18"/>
      <c r="X362" s="18"/>
      <c r="Y362" s="18"/>
      <c r="Z362" s="18"/>
    </row>
    <row r="363" spans="1:26" ht="16.5" customHeight="1" x14ac:dyDescent="0.35">
      <c r="A363" s="230"/>
      <c r="B363" s="230"/>
      <c r="C363" s="217"/>
      <c r="D363" s="217"/>
      <c r="E363" s="217"/>
      <c r="F363" s="217"/>
      <c r="G363" s="217"/>
      <c r="H363" s="74" t="s">
        <v>48</v>
      </c>
      <c r="I363" s="74" t="s">
        <v>123</v>
      </c>
      <c r="J363" s="74" t="s">
        <v>125</v>
      </c>
      <c r="K363" s="217"/>
      <c r="L363" s="66"/>
      <c r="M363" s="18"/>
      <c r="N363" s="18"/>
      <c r="O363" s="18"/>
      <c r="P363" s="284"/>
      <c r="Q363" s="284"/>
      <c r="R363" s="284"/>
      <c r="S363" s="18"/>
      <c r="T363" s="284"/>
      <c r="U363" s="284"/>
      <c r="V363" s="284"/>
      <c r="W363" s="18"/>
      <c r="X363" s="18"/>
      <c r="Y363" s="18"/>
      <c r="Z363" s="18"/>
    </row>
    <row r="364" spans="1:26" ht="16.5" customHeight="1" x14ac:dyDescent="0.35">
      <c r="A364" s="230"/>
      <c r="B364" s="230"/>
      <c r="C364" s="227" t="s">
        <v>248</v>
      </c>
      <c r="D364" s="218">
        <v>2</v>
      </c>
      <c r="E364" s="216">
        <v>2</v>
      </c>
      <c r="F364" s="218" t="s">
        <v>75</v>
      </c>
      <c r="G364" s="218" t="s">
        <v>177</v>
      </c>
      <c r="H364" s="74" t="s">
        <v>46</v>
      </c>
      <c r="I364" s="74" t="s">
        <v>123</v>
      </c>
      <c r="J364" s="74" t="s">
        <v>114</v>
      </c>
      <c r="K364" s="218" t="s">
        <v>38</v>
      </c>
      <c r="L364" s="66"/>
      <c r="M364" s="18"/>
      <c r="N364" s="18"/>
      <c r="O364" s="18"/>
      <c r="P364" s="293"/>
      <c r="Q364" s="295"/>
      <c r="R364" s="294"/>
      <c r="S364" s="18"/>
      <c r="T364" s="293"/>
      <c r="U364" s="295"/>
      <c r="V364" s="294"/>
      <c r="W364" s="18"/>
      <c r="X364" s="18"/>
      <c r="Y364" s="18"/>
      <c r="Z364" s="18"/>
    </row>
    <row r="365" spans="1:26" ht="16.5" customHeight="1" x14ac:dyDescent="0.35">
      <c r="A365" s="230"/>
      <c r="B365" s="230"/>
      <c r="C365" s="217"/>
      <c r="D365" s="217"/>
      <c r="E365" s="217"/>
      <c r="F365" s="217"/>
      <c r="G365" s="217"/>
      <c r="H365" s="74" t="s">
        <v>55</v>
      </c>
      <c r="I365" s="74" t="s">
        <v>56</v>
      </c>
      <c r="J365" s="74" t="s">
        <v>249</v>
      </c>
      <c r="K365" s="217"/>
      <c r="L365" s="66"/>
      <c r="M365" s="18"/>
      <c r="N365" s="18"/>
      <c r="O365" s="18"/>
      <c r="P365" s="284"/>
      <c r="Q365" s="284"/>
      <c r="R365" s="284"/>
      <c r="S365" s="18"/>
      <c r="T365" s="284"/>
      <c r="U365" s="284"/>
      <c r="V365" s="284"/>
      <c r="W365" s="18"/>
      <c r="X365" s="18"/>
      <c r="Y365" s="18"/>
      <c r="Z365" s="18"/>
    </row>
    <row r="366" spans="1:26" ht="16.5" customHeight="1" x14ac:dyDescent="0.35">
      <c r="A366" s="230"/>
      <c r="B366" s="230"/>
      <c r="C366" s="227" t="s">
        <v>50</v>
      </c>
      <c r="D366" s="218">
        <v>3</v>
      </c>
      <c r="E366" s="216">
        <v>1.5</v>
      </c>
      <c r="F366" s="218" t="s">
        <v>250</v>
      </c>
      <c r="G366" s="218" t="s">
        <v>34</v>
      </c>
      <c r="H366" s="74" t="s">
        <v>35</v>
      </c>
      <c r="I366" s="74" t="s">
        <v>61</v>
      </c>
      <c r="J366" s="74" t="s">
        <v>251</v>
      </c>
      <c r="K366" s="218" t="s">
        <v>54</v>
      </c>
      <c r="L366" s="66"/>
      <c r="M366" s="18"/>
      <c r="N366" s="18"/>
      <c r="O366" s="18"/>
      <c r="P366" s="293"/>
      <c r="Q366" s="295"/>
      <c r="R366" s="294"/>
      <c r="S366" s="18"/>
      <c r="T366" s="293"/>
      <c r="U366" s="295"/>
      <c r="V366" s="294"/>
      <c r="W366" s="18"/>
      <c r="X366" s="18"/>
      <c r="Y366" s="18"/>
      <c r="Z366" s="18"/>
    </row>
    <row r="367" spans="1:26" ht="16.5" customHeight="1" x14ac:dyDescent="0.35">
      <c r="A367" s="230"/>
      <c r="B367" s="230"/>
      <c r="C367" s="217"/>
      <c r="D367" s="217"/>
      <c r="E367" s="217"/>
      <c r="F367" s="217"/>
      <c r="G367" s="217"/>
      <c r="H367" s="74" t="s">
        <v>39</v>
      </c>
      <c r="I367" s="74" t="s">
        <v>131</v>
      </c>
      <c r="J367" s="74" t="s">
        <v>251</v>
      </c>
      <c r="K367" s="217"/>
      <c r="L367" s="66"/>
      <c r="M367" s="18"/>
      <c r="N367" s="18"/>
      <c r="O367" s="18"/>
      <c r="P367" s="284"/>
      <c r="Q367" s="284"/>
      <c r="R367" s="284"/>
      <c r="S367" s="18"/>
      <c r="T367" s="284"/>
      <c r="U367" s="284"/>
      <c r="V367" s="284"/>
      <c r="W367" s="18"/>
      <c r="X367" s="18"/>
      <c r="Y367" s="18"/>
      <c r="Z367" s="18"/>
    </row>
    <row r="368" spans="1:26" ht="16.5" customHeight="1" x14ac:dyDescent="0.35">
      <c r="A368" s="230"/>
      <c r="B368" s="230"/>
      <c r="C368" s="227" t="s">
        <v>58</v>
      </c>
      <c r="D368" s="218">
        <v>3</v>
      </c>
      <c r="E368" s="216">
        <v>1.5</v>
      </c>
      <c r="F368" s="218" t="s">
        <v>250</v>
      </c>
      <c r="G368" s="218" t="s">
        <v>42</v>
      </c>
      <c r="H368" s="67" t="s">
        <v>35</v>
      </c>
      <c r="I368" s="74" t="s">
        <v>56</v>
      </c>
      <c r="J368" s="74" t="s">
        <v>252</v>
      </c>
      <c r="K368" s="218" t="s">
        <v>54</v>
      </c>
      <c r="L368" s="66"/>
      <c r="M368" s="18"/>
      <c r="N368" s="18"/>
      <c r="O368" s="18"/>
      <c r="P368" s="293"/>
      <c r="Q368" s="295"/>
      <c r="R368" s="294"/>
      <c r="S368" s="18"/>
      <c r="T368" s="293"/>
      <c r="U368" s="295"/>
      <c r="V368" s="294"/>
      <c r="W368" s="18"/>
      <c r="X368" s="18"/>
      <c r="Y368" s="18"/>
      <c r="Z368" s="18"/>
    </row>
    <row r="369" spans="1:26" ht="16.5" customHeight="1" x14ac:dyDescent="0.35">
      <c r="A369" s="230"/>
      <c r="B369" s="230"/>
      <c r="C369" s="217"/>
      <c r="D369" s="217"/>
      <c r="E369" s="217"/>
      <c r="F369" s="217"/>
      <c r="G369" s="217"/>
      <c r="H369" s="74" t="s">
        <v>39</v>
      </c>
      <c r="I369" s="74" t="s">
        <v>56</v>
      </c>
      <c r="J369" s="74" t="s">
        <v>252</v>
      </c>
      <c r="K369" s="217"/>
      <c r="L369" s="66"/>
      <c r="M369" s="18"/>
      <c r="N369" s="18"/>
      <c r="O369" s="18"/>
      <c r="P369" s="284"/>
      <c r="Q369" s="284"/>
      <c r="R369" s="284"/>
      <c r="S369" s="18"/>
      <c r="T369" s="284"/>
      <c r="U369" s="284"/>
      <c r="V369" s="284"/>
      <c r="W369" s="18"/>
      <c r="X369" s="18"/>
      <c r="Y369" s="18"/>
      <c r="Z369" s="18"/>
    </row>
    <row r="370" spans="1:26" ht="16.5" customHeight="1" x14ac:dyDescent="0.35">
      <c r="A370" s="230"/>
      <c r="B370" s="230"/>
      <c r="C370" s="227" t="s">
        <v>50</v>
      </c>
      <c r="D370" s="218">
        <v>3</v>
      </c>
      <c r="E370" s="216">
        <v>1.5</v>
      </c>
      <c r="F370" s="218" t="s">
        <v>33</v>
      </c>
      <c r="G370" s="218" t="s">
        <v>49</v>
      </c>
      <c r="H370" s="74" t="s">
        <v>39</v>
      </c>
      <c r="I370" s="74" t="s">
        <v>61</v>
      </c>
      <c r="J370" s="74" t="s">
        <v>57</v>
      </c>
      <c r="K370" s="218" t="s">
        <v>54</v>
      </c>
      <c r="L370" s="66"/>
      <c r="M370" s="18"/>
      <c r="N370" s="18"/>
      <c r="O370" s="18"/>
      <c r="P370" s="293"/>
      <c r="Q370" s="295"/>
      <c r="R370" s="294"/>
      <c r="S370" s="18"/>
      <c r="T370" s="293"/>
      <c r="U370" s="295"/>
      <c r="V370" s="294"/>
      <c r="W370" s="18"/>
      <c r="X370" s="18"/>
      <c r="Y370" s="18"/>
      <c r="Z370" s="18"/>
    </row>
    <row r="371" spans="1:26" ht="16.5" customHeight="1" x14ac:dyDescent="0.35">
      <c r="A371" s="230"/>
      <c r="B371" s="230"/>
      <c r="C371" s="217"/>
      <c r="D371" s="217"/>
      <c r="E371" s="217"/>
      <c r="F371" s="217"/>
      <c r="G371" s="217"/>
      <c r="H371" s="85" t="s">
        <v>55</v>
      </c>
      <c r="I371" s="74" t="s">
        <v>61</v>
      </c>
      <c r="J371" s="74" t="s">
        <v>197</v>
      </c>
      <c r="K371" s="217"/>
      <c r="L371" s="66"/>
      <c r="M371" s="18"/>
      <c r="N371" s="18"/>
      <c r="O371" s="18"/>
      <c r="P371" s="284"/>
      <c r="Q371" s="284"/>
      <c r="R371" s="284"/>
      <c r="S371" s="18"/>
      <c r="T371" s="284"/>
      <c r="U371" s="284"/>
      <c r="V371" s="284"/>
      <c r="W371" s="18"/>
      <c r="X371" s="18"/>
      <c r="Y371" s="18"/>
      <c r="Z371" s="18"/>
    </row>
    <row r="372" spans="1:26" ht="16.5" customHeight="1" x14ac:dyDescent="0.35">
      <c r="A372" s="230"/>
      <c r="B372" s="230"/>
      <c r="C372" s="227" t="s">
        <v>58</v>
      </c>
      <c r="D372" s="218">
        <v>3</v>
      </c>
      <c r="E372" s="216">
        <v>1.5</v>
      </c>
      <c r="F372" s="218" t="s">
        <v>33</v>
      </c>
      <c r="G372" s="218" t="s">
        <v>45</v>
      </c>
      <c r="H372" s="101" t="s">
        <v>35</v>
      </c>
      <c r="I372" s="74" t="s">
        <v>61</v>
      </c>
      <c r="J372" s="74" t="s">
        <v>60</v>
      </c>
      <c r="K372" s="218" t="s">
        <v>54</v>
      </c>
      <c r="L372" s="66"/>
      <c r="M372" s="18"/>
      <c r="N372" s="18"/>
      <c r="O372" s="18"/>
      <c r="P372" s="25"/>
      <c r="Q372" s="26"/>
      <c r="R372" s="27"/>
      <c r="S372" s="18"/>
      <c r="T372" s="25"/>
      <c r="U372" s="26"/>
      <c r="V372" s="27"/>
      <c r="W372" s="18"/>
      <c r="X372" s="18"/>
      <c r="Y372" s="18"/>
      <c r="Z372" s="18"/>
    </row>
    <row r="373" spans="1:26" ht="16.5" customHeight="1" x14ac:dyDescent="0.35">
      <c r="A373" s="230"/>
      <c r="B373" s="230"/>
      <c r="C373" s="217"/>
      <c r="D373" s="217"/>
      <c r="E373" s="217"/>
      <c r="F373" s="217"/>
      <c r="G373" s="217"/>
      <c r="H373" s="101" t="s">
        <v>48</v>
      </c>
      <c r="I373" s="74" t="s">
        <v>52</v>
      </c>
      <c r="J373" s="74" t="s">
        <v>60</v>
      </c>
      <c r="K373" s="217"/>
      <c r="L373" s="66"/>
      <c r="M373" s="18"/>
      <c r="N373" s="18"/>
      <c r="O373" s="18"/>
      <c r="P373" s="25"/>
      <c r="Q373" s="26"/>
      <c r="R373" s="27"/>
      <c r="S373" s="18"/>
      <c r="T373" s="25"/>
      <c r="U373" s="26"/>
      <c r="V373" s="27"/>
      <c r="W373" s="18"/>
      <c r="X373" s="18"/>
      <c r="Y373" s="18"/>
      <c r="Z373" s="18"/>
    </row>
    <row r="374" spans="1:26" ht="16.5" customHeight="1" x14ac:dyDescent="0.35">
      <c r="A374" s="230"/>
      <c r="B374" s="217"/>
      <c r="C374" s="94" t="s">
        <v>191</v>
      </c>
      <c r="D374" s="74">
        <v>3</v>
      </c>
      <c r="E374" s="81">
        <v>3</v>
      </c>
      <c r="F374" s="74" t="s">
        <v>75</v>
      </c>
      <c r="G374" s="74" t="s">
        <v>253</v>
      </c>
      <c r="H374" s="74" t="s">
        <v>119</v>
      </c>
      <c r="I374" s="74" t="s">
        <v>82</v>
      </c>
      <c r="J374" s="74" t="s">
        <v>111</v>
      </c>
      <c r="K374" s="74" t="s">
        <v>93</v>
      </c>
      <c r="L374" s="66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6.5" customHeight="1" x14ac:dyDescent="0.35">
      <c r="A375" s="217"/>
      <c r="B375" s="228" t="s">
        <v>72</v>
      </c>
      <c r="C375" s="221"/>
      <c r="D375" s="222"/>
      <c r="E375" s="71">
        <f>SUM(E360:E374)</f>
        <v>16</v>
      </c>
      <c r="F375" s="220"/>
      <c r="G375" s="221"/>
      <c r="H375" s="221"/>
      <c r="I375" s="221"/>
      <c r="J375" s="221"/>
      <c r="K375" s="222"/>
      <c r="L375" s="66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6.5" customHeight="1" x14ac:dyDescent="0.35">
      <c r="A376" s="229">
        <v>23</v>
      </c>
      <c r="B376" s="238" t="s">
        <v>254</v>
      </c>
      <c r="C376" s="227" t="s">
        <v>255</v>
      </c>
      <c r="D376" s="218">
        <v>3</v>
      </c>
      <c r="E376" s="216">
        <v>3</v>
      </c>
      <c r="F376" s="218" t="s">
        <v>106</v>
      </c>
      <c r="G376" s="218" t="s">
        <v>42</v>
      </c>
      <c r="H376" s="74" t="s">
        <v>46</v>
      </c>
      <c r="I376" s="74" t="s">
        <v>36</v>
      </c>
      <c r="J376" s="74" t="s">
        <v>107</v>
      </c>
      <c r="K376" s="218" t="s">
        <v>54</v>
      </c>
      <c r="L376" s="66"/>
      <c r="M376" s="18"/>
      <c r="N376" s="18"/>
      <c r="O376" s="18"/>
      <c r="P376" s="293"/>
      <c r="Q376" s="295"/>
      <c r="R376" s="294"/>
      <c r="S376" s="18"/>
      <c r="T376" s="293"/>
      <c r="U376" s="295"/>
      <c r="V376" s="294"/>
      <c r="W376" s="18"/>
      <c r="X376" s="18"/>
      <c r="Y376" s="18"/>
      <c r="Z376" s="18"/>
    </row>
    <row r="377" spans="1:26" ht="16.5" customHeight="1" x14ac:dyDescent="0.35">
      <c r="A377" s="230"/>
      <c r="B377" s="230"/>
      <c r="C377" s="217"/>
      <c r="D377" s="217"/>
      <c r="E377" s="217"/>
      <c r="F377" s="217"/>
      <c r="G377" s="217"/>
      <c r="H377" s="74" t="s">
        <v>55</v>
      </c>
      <c r="I377" s="74" t="s">
        <v>36</v>
      </c>
      <c r="J377" s="74" t="s">
        <v>80</v>
      </c>
      <c r="K377" s="217"/>
      <c r="L377" s="66"/>
      <c r="M377" s="18"/>
      <c r="N377" s="18"/>
      <c r="O377" s="18"/>
      <c r="P377" s="284"/>
      <c r="Q377" s="284"/>
      <c r="R377" s="284"/>
      <c r="S377" s="18"/>
      <c r="T377" s="284"/>
      <c r="U377" s="284"/>
      <c r="V377" s="284"/>
      <c r="W377" s="18"/>
      <c r="X377" s="18"/>
      <c r="Y377" s="18"/>
      <c r="Z377" s="18"/>
    </row>
    <row r="378" spans="1:26" ht="16.5" customHeight="1" x14ac:dyDescent="0.35">
      <c r="A378" s="230"/>
      <c r="B378" s="230"/>
      <c r="C378" s="227" t="s">
        <v>255</v>
      </c>
      <c r="D378" s="218">
        <v>3</v>
      </c>
      <c r="E378" s="216">
        <v>3</v>
      </c>
      <c r="F378" s="218" t="s">
        <v>106</v>
      </c>
      <c r="G378" s="218" t="s">
        <v>45</v>
      </c>
      <c r="H378" s="74" t="s">
        <v>35</v>
      </c>
      <c r="I378" s="74" t="s">
        <v>44</v>
      </c>
      <c r="J378" s="74" t="s">
        <v>132</v>
      </c>
      <c r="K378" s="218" t="s">
        <v>38</v>
      </c>
      <c r="L378" s="66" t="s">
        <v>102</v>
      </c>
      <c r="M378" s="18"/>
      <c r="N378" s="18"/>
      <c r="O378" s="18"/>
      <c r="P378" s="293"/>
      <c r="Q378" s="295"/>
      <c r="R378" s="294"/>
      <c r="S378" s="18"/>
      <c r="T378" s="293"/>
      <c r="U378" s="295"/>
      <c r="V378" s="294"/>
      <c r="W378" s="18"/>
      <c r="X378" s="18"/>
      <c r="Y378" s="18"/>
      <c r="Z378" s="18"/>
    </row>
    <row r="379" spans="1:26" ht="16.5" customHeight="1" x14ac:dyDescent="0.35">
      <c r="A379" s="230"/>
      <c r="B379" s="230"/>
      <c r="C379" s="217"/>
      <c r="D379" s="217"/>
      <c r="E379" s="217"/>
      <c r="F379" s="217"/>
      <c r="G379" s="217"/>
      <c r="H379" s="74" t="s">
        <v>39</v>
      </c>
      <c r="I379" s="74" t="s">
        <v>44</v>
      </c>
      <c r="J379" s="74" t="s">
        <v>143</v>
      </c>
      <c r="K379" s="217"/>
      <c r="L379" s="66"/>
      <c r="M379" s="18"/>
      <c r="N379" s="18"/>
      <c r="O379" s="18"/>
      <c r="P379" s="284"/>
      <c r="Q379" s="284"/>
      <c r="R379" s="284"/>
      <c r="S379" s="18"/>
      <c r="T379" s="284"/>
      <c r="U379" s="284"/>
      <c r="V379" s="284"/>
      <c r="W379" s="18"/>
      <c r="X379" s="18"/>
      <c r="Y379" s="18"/>
      <c r="Z379" s="18"/>
    </row>
    <row r="380" spans="1:26" ht="16.5" customHeight="1" x14ac:dyDescent="0.35">
      <c r="A380" s="230"/>
      <c r="B380" s="230"/>
      <c r="C380" s="227" t="s">
        <v>194</v>
      </c>
      <c r="D380" s="218">
        <v>3</v>
      </c>
      <c r="E380" s="216">
        <v>3</v>
      </c>
      <c r="F380" s="218" t="s">
        <v>51</v>
      </c>
      <c r="G380" s="218" t="s">
        <v>79</v>
      </c>
      <c r="H380" s="74" t="s">
        <v>48</v>
      </c>
      <c r="I380" s="74" t="s">
        <v>36</v>
      </c>
      <c r="J380" s="74" t="s">
        <v>159</v>
      </c>
      <c r="K380" s="218" t="s">
        <v>38</v>
      </c>
      <c r="L380" s="66"/>
      <c r="M380" s="17"/>
      <c r="N380" s="17"/>
      <c r="O380" s="17"/>
      <c r="P380" s="293"/>
      <c r="Q380" s="295"/>
      <c r="R380" s="294"/>
      <c r="S380" s="18"/>
      <c r="T380" s="293"/>
      <c r="U380" s="295"/>
      <c r="V380" s="294"/>
      <c r="W380" s="18"/>
      <c r="X380" s="18"/>
      <c r="Y380" s="18"/>
      <c r="Z380" s="18"/>
    </row>
    <row r="381" spans="1:26" ht="16.5" customHeight="1" x14ac:dyDescent="0.35">
      <c r="A381" s="217"/>
      <c r="B381" s="217"/>
      <c r="C381" s="219"/>
      <c r="D381" s="219"/>
      <c r="E381" s="219"/>
      <c r="F381" s="219"/>
      <c r="G381" s="219"/>
      <c r="H381" s="84" t="s">
        <v>55</v>
      </c>
      <c r="I381" s="84" t="s">
        <v>36</v>
      </c>
      <c r="J381" s="84" t="s">
        <v>132</v>
      </c>
      <c r="K381" s="219"/>
      <c r="L381" s="66"/>
      <c r="M381" s="18"/>
      <c r="N381" s="18"/>
      <c r="O381" s="18"/>
      <c r="P381" s="284"/>
      <c r="Q381" s="284"/>
      <c r="R381" s="284"/>
      <c r="S381" s="18"/>
      <c r="T381" s="284"/>
      <c r="U381" s="284"/>
      <c r="V381" s="284"/>
      <c r="W381" s="18"/>
      <c r="X381" s="18"/>
      <c r="Y381" s="18"/>
      <c r="Z381" s="18"/>
    </row>
    <row r="382" spans="1:26" ht="16.5" customHeight="1" x14ac:dyDescent="0.35">
      <c r="A382" s="59"/>
      <c r="B382" s="59"/>
      <c r="C382" s="60"/>
      <c r="D382" s="61"/>
      <c r="E382" s="62"/>
      <c r="F382" s="61"/>
      <c r="G382" s="61"/>
      <c r="H382" s="61"/>
      <c r="I382" s="61"/>
      <c r="J382" s="61"/>
      <c r="K382" s="61"/>
      <c r="L382" s="66"/>
      <c r="M382" s="18"/>
      <c r="N382" s="18"/>
      <c r="O382" s="18"/>
      <c r="P382" s="7"/>
      <c r="Q382" s="7"/>
      <c r="R382" s="7"/>
      <c r="S382" s="18"/>
      <c r="T382" s="7"/>
      <c r="U382" s="7"/>
      <c r="V382" s="7"/>
      <c r="W382" s="18"/>
      <c r="X382" s="18"/>
      <c r="Y382" s="18"/>
      <c r="Z382" s="18"/>
    </row>
    <row r="383" spans="1:26" ht="16.5" customHeight="1" x14ac:dyDescent="0.35">
      <c r="A383" s="65"/>
      <c r="B383" s="65"/>
      <c r="C383" s="66"/>
      <c r="D383" s="67"/>
      <c r="E383" s="68"/>
      <c r="F383" s="67"/>
      <c r="G383" s="67"/>
      <c r="H383" s="67"/>
      <c r="I383" s="67"/>
      <c r="J383" s="67"/>
      <c r="K383" s="67"/>
      <c r="L383" s="66"/>
      <c r="M383" s="18"/>
      <c r="N383" s="18"/>
      <c r="O383" s="18"/>
      <c r="P383" s="7"/>
      <c r="Q383" s="7"/>
      <c r="R383" s="7"/>
      <c r="S383" s="18"/>
      <c r="T383" s="7"/>
      <c r="U383" s="7"/>
      <c r="V383" s="7"/>
      <c r="W383" s="18"/>
      <c r="X383" s="18"/>
      <c r="Y383" s="18"/>
      <c r="Z383" s="18"/>
    </row>
    <row r="384" spans="1:26" ht="16.5" customHeight="1" x14ac:dyDescent="0.35">
      <c r="A384" s="65"/>
      <c r="B384" s="65"/>
      <c r="C384" s="66"/>
      <c r="D384" s="67"/>
      <c r="E384" s="68"/>
      <c r="F384" s="67"/>
      <c r="G384" s="67"/>
      <c r="H384" s="67"/>
      <c r="I384" s="67"/>
      <c r="J384" s="67"/>
      <c r="K384" s="67"/>
      <c r="L384" s="66"/>
      <c r="M384" s="18"/>
      <c r="N384" s="18"/>
      <c r="O384" s="18"/>
      <c r="P384" s="7"/>
      <c r="Q384" s="7"/>
      <c r="R384" s="7"/>
      <c r="S384" s="18"/>
      <c r="T384" s="7"/>
      <c r="U384" s="7"/>
      <c r="V384" s="7"/>
      <c r="W384" s="18"/>
      <c r="X384" s="18"/>
      <c r="Y384" s="18"/>
      <c r="Z384" s="18"/>
    </row>
    <row r="385" spans="1:26" ht="16.5" customHeight="1" x14ac:dyDescent="0.35">
      <c r="A385" s="65"/>
      <c r="B385" s="65"/>
      <c r="C385" s="66"/>
      <c r="D385" s="67"/>
      <c r="E385" s="68"/>
      <c r="F385" s="67"/>
      <c r="G385" s="67"/>
      <c r="H385" s="67"/>
      <c r="I385" s="67"/>
      <c r="J385" s="67"/>
      <c r="K385" s="67"/>
      <c r="L385" s="66"/>
      <c r="M385" s="18"/>
      <c r="N385" s="18"/>
      <c r="O385" s="18"/>
      <c r="P385" s="7"/>
      <c r="Q385" s="7"/>
      <c r="R385" s="7"/>
      <c r="S385" s="18"/>
      <c r="T385" s="7"/>
      <c r="U385" s="7"/>
      <c r="V385" s="7"/>
      <c r="W385" s="18"/>
      <c r="X385" s="18"/>
      <c r="Y385" s="18"/>
      <c r="Z385" s="18"/>
    </row>
    <row r="386" spans="1:26" ht="16.5" customHeight="1" x14ac:dyDescent="0.35">
      <c r="A386" s="65"/>
      <c r="B386" s="65"/>
      <c r="C386" s="66"/>
      <c r="D386" s="67"/>
      <c r="E386" s="68"/>
      <c r="F386" s="67"/>
      <c r="G386" s="67"/>
      <c r="H386" s="67"/>
      <c r="I386" s="67"/>
      <c r="J386" s="67"/>
      <c r="K386" s="67"/>
      <c r="L386" s="66"/>
      <c r="M386" s="18"/>
      <c r="N386" s="18"/>
      <c r="O386" s="18"/>
      <c r="P386" s="7"/>
      <c r="Q386" s="7"/>
      <c r="R386" s="7"/>
      <c r="S386" s="18"/>
      <c r="T386" s="7"/>
      <c r="U386" s="7"/>
      <c r="V386" s="7"/>
      <c r="W386" s="18"/>
      <c r="X386" s="18"/>
      <c r="Y386" s="18"/>
      <c r="Z386" s="18"/>
    </row>
    <row r="387" spans="1:26" ht="16.5" customHeight="1" x14ac:dyDescent="0.35">
      <c r="A387" s="223" t="s">
        <v>7</v>
      </c>
      <c r="B387" s="223" t="s">
        <v>8</v>
      </c>
      <c r="C387" s="223" t="s">
        <v>9</v>
      </c>
      <c r="D387" s="220" t="s">
        <v>10</v>
      </c>
      <c r="E387" s="222"/>
      <c r="F387" s="223" t="s">
        <v>11</v>
      </c>
      <c r="G387" s="223" t="s">
        <v>12</v>
      </c>
      <c r="H387" s="226" t="s">
        <v>13</v>
      </c>
      <c r="I387" s="221"/>
      <c r="J387" s="221"/>
      <c r="K387" s="222"/>
      <c r="L387" s="66"/>
      <c r="M387" s="18"/>
      <c r="N387" s="18"/>
      <c r="O387" s="18"/>
      <c r="P387" s="7"/>
      <c r="Q387" s="7"/>
      <c r="R387" s="7"/>
      <c r="S387" s="18"/>
      <c r="T387" s="7"/>
      <c r="U387" s="7"/>
      <c r="V387" s="7"/>
      <c r="W387" s="18"/>
      <c r="X387" s="18"/>
      <c r="Y387" s="18"/>
      <c r="Z387" s="18"/>
    </row>
    <row r="388" spans="1:26" ht="16.5" customHeight="1" x14ac:dyDescent="0.35">
      <c r="A388" s="217"/>
      <c r="B388" s="217"/>
      <c r="C388" s="217"/>
      <c r="D388" s="70" t="s">
        <v>14</v>
      </c>
      <c r="E388" s="71" t="s">
        <v>15</v>
      </c>
      <c r="F388" s="217"/>
      <c r="G388" s="217"/>
      <c r="H388" s="70" t="s">
        <v>16</v>
      </c>
      <c r="I388" s="70" t="s">
        <v>17</v>
      </c>
      <c r="J388" s="70" t="s">
        <v>18</v>
      </c>
      <c r="K388" s="70" t="s">
        <v>19</v>
      </c>
      <c r="L388" s="66"/>
      <c r="M388" s="18"/>
      <c r="N388" s="18"/>
      <c r="O388" s="18"/>
      <c r="P388" s="7"/>
      <c r="Q388" s="7"/>
      <c r="R388" s="7"/>
      <c r="S388" s="18"/>
      <c r="T388" s="7"/>
      <c r="U388" s="7"/>
      <c r="V388" s="7"/>
      <c r="W388" s="18"/>
      <c r="X388" s="18"/>
      <c r="Y388" s="18"/>
      <c r="Z388" s="18"/>
    </row>
    <row r="389" spans="1:26" ht="16.5" customHeight="1" x14ac:dyDescent="0.35">
      <c r="A389" s="72" t="s">
        <v>20</v>
      </c>
      <c r="B389" s="73" t="s">
        <v>21</v>
      </c>
      <c r="C389" s="73" t="s">
        <v>22</v>
      </c>
      <c r="D389" s="70" t="s">
        <v>23</v>
      </c>
      <c r="E389" s="71" t="s">
        <v>24</v>
      </c>
      <c r="F389" s="70" t="s">
        <v>25</v>
      </c>
      <c r="G389" s="70" t="s">
        <v>26</v>
      </c>
      <c r="H389" s="70" t="s">
        <v>27</v>
      </c>
      <c r="I389" s="70" t="s">
        <v>28</v>
      </c>
      <c r="J389" s="70" t="s">
        <v>29</v>
      </c>
      <c r="K389" s="70" t="s">
        <v>30</v>
      </c>
      <c r="L389" s="66"/>
      <c r="M389" s="18"/>
      <c r="N389" s="18"/>
      <c r="O389" s="18"/>
      <c r="P389" s="7"/>
      <c r="Q389" s="7"/>
      <c r="R389" s="7"/>
      <c r="S389" s="18"/>
      <c r="T389" s="7"/>
      <c r="U389" s="7"/>
      <c r="V389" s="7"/>
      <c r="W389" s="18"/>
      <c r="X389" s="18"/>
      <c r="Y389" s="18"/>
      <c r="Z389" s="18"/>
    </row>
    <row r="390" spans="1:26" ht="16.5" customHeight="1" x14ac:dyDescent="0.35">
      <c r="A390" s="229">
        <v>23</v>
      </c>
      <c r="B390" s="238" t="s">
        <v>254</v>
      </c>
      <c r="C390" s="227" t="s">
        <v>256</v>
      </c>
      <c r="D390" s="218">
        <v>3</v>
      </c>
      <c r="E390" s="216">
        <v>3</v>
      </c>
      <c r="F390" s="218" t="s">
        <v>51</v>
      </c>
      <c r="G390" s="218" t="s">
        <v>90</v>
      </c>
      <c r="H390" s="74" t="s">
        <v>46</v>
      </c>
      <c r="I390" s="74" t="s">
        <v>44</v>
      </c>
      <c r="J390" s="74" t="s">
        <v>160</v>
      </c>
      <c r="K390" s="218" t="s">
        <v>38</v>
      </c>
      <c r="L390" s="67"/>
      <c r="M390" s="26"/>
      <c r="N390" s="26"/>
      <c r="O390" s="18"/>
      <c r="P390" s="293"/>
      <c r="Q390" s="295"/>
      <c r="R390" s="294"/>
      <c r="S390" s="18"/>
      <c r="T390" s="293"/>
      <c r="U390" s="295"/>
      <c r="V390" s="294"/>
      <c r="W390" s="18"/>
      <c r="X390" s="18"/>
      <c r="Y390" s="18"/>
      <c r="Z390" s="18"/>
    </row>
    <row r="391" spans="1:26" ht="16.5" customHeight="1" x14ac:dyDescent="0.35">
      <c r="A391" s="230"/>
      <c r="B391" s="230"/>
      <c r="C391" s="217"/>
      <c r="D391" s="217"/>
      <c r="E391" s="217"/>
      <c r="F391" s="217"/>
      <c r="G391" s="217"/>
      <c r="H391" s="74" t="s">
        <v>48</v>
      </c>
      <c r="I391" s="74" t="s">
        <v>44</v>
      </c>
      <c r="J391" s="74" t="s">
        <v>160</v>
      </c>
      <c r="K391" s="217"/>
      <c r="L391" s="66"/>
      <c r="M391" s="18"/>
      <c r="N391" s="18"/>
      <c r="O391" s="18"/>
      <c r="P391" s="284"/>
      <c r="Q391" s="284"/>
      <c r="R391" s="284"/>
      <c r="S391" s="18"/>
      <c r="T391" s="284"/>
      <c r="U391" s="284"/>
      <c r="V391" s="284"/>
      <c r="W391" s="18"/>
      <c r="X391" s="18"/>
      <c r="Y391" s="18"/>
      <c r="Z391" s="18"/>
    </row>
    <row r="392" spans="1:26" ht="16.5" customHeight="1" x14ac:dyDescent="0.35">
      <c r="A392" s="230"/>
      <c r="B392" s="230"/>
      <c r="C392" s="227" t="s">
        <v>256</v>
      </c>
      <c r="D392" s="218">
        <v>3</v>
      </c>
      <c r="E392" s="216">
        <v>3</v>
      </c>
      <c r="F392" s="218" t="s">
        <v>51</v>
      </c>
      <c r="G392" s="218" t="s">
        <v>173</v>
      </c>
      <c r="H392" s="74" t="s">
        <v>46</v>
      </c>
      <c r="I392" s="74" t="s">
        <v>40</v>
      </c>
      <c r="J392" s="74" t="s">
        <v>77</v>
      </c>
      <c r="K392" s="218" t="s">
        <v>38</v>
      </c>
      <c r="L392" s="67"/>
      <c r="M392" s="26"/>
      <c r="N392" s="26"/>
      <c r="O392" s="18"/>
      <c r="P392" s="293"/>
      <c r="Q392" s="295"/>
      <c r="R392" s="294"/>
      <c r="S392" s="18"/>
      <c r="T392" s="293"/>
      <c r="U392" s="295"/>
      <c r="V392" s="294"/>
      <c r="W392" s="18"/>
      <c r="X392" s="18"/>
      <c r="Y392" s="18"/>
      <c r="Z392" s="18"/>
    </row>
    <row r="393" spans="1:26" ht="16.5" customHeight="1" x14ac:dyDescent="0.35">
      <c r="A393" s="230"/>
      <c r="B393" s="230"/>
      <c r="C393" s="217"/>
      <c r="D393" s="217"/>
      <c r="E393" s="217"/>
      <c r="F393" s="217"/>
      <c r="G393" s="217"/>
      <c r="H393" s="74" t="s">
        <v>55</v>
      </c>
      <c r="I393" s="74" t="s">
        <v>44</v>
      </c>
      <c r="J393" s="74" t="s">
        <v>160</v>
      </c>
      <c r="K393" s="217"/>
      <c r="L393" s="66"/>
      <c r="M393" s="18"/>
      <c r="N393" s="18"/>
      <c r="O393" s="18"/>
      <c r="P393" s="284"/>
      <c r="Q393" s="284"/>
      <c r="R393" s="284"/>
      <c r="S393" s="18"/>
      <c r="T393" s="284"/>
      <c r="U393" s="284"/>
      <c r="V393" s="284"/>
      <c r="W393" s="18"/>
      <c r="X393" s="18"/>
      <c r="Y393" s="18"/>
      <c r="Z393" s="18"/>
    </row>
    <row r="394" spans="1:26" ht="16.5" customHeight="1" x14ac:dyDescent="0.35">
      <c r="A394" s="230"/>
      <c r="B394" s="230"/>
      <c r="C394" s="227" t="s">
        <v>144</v>
      </c>
      <c r="D394" s="218">
        <v>3</v>
      </c>
      <c r="E394" s="216">
        <v>1</v>
      </c>
      <c r="F394" s="218" t="s">
        <v>63</v>
      </c>
      <c r="G394" s="218" t="s">
        <v>34</v>
      </c>
      <c r="H394" s="74" t="s">
        <v>35</v>
      </c>
      <c r="I394" s="74" t="s">
        <v>36</v>
      </c>
      <c r="J394" s="67" t="s">
        <v>65</v>
      </c>
      <c r="K394" s="218" t="s">
        <v>38</v>
      </c>
      <c r="L394" s="66"/>
      <c r="M394" s="18"/>
      <c r="N394" s="18"/>
      <c r="O394" s="18"/>
      <c r="P394" s="293"/>
      <c r="Q394" s="295"/>
      <c r="R394" s="294"/>
      <c r="S394" s="18"/>
      <c r="T394" s="293"/>
      <c r="U394" s="295"/>
      <c r="V394" s="294"/>
      <c r="W394" s="18"/>
      <c r="X394" s="18"/>
      <c r="Y394" s="18"/>
      <c r="Z394" s="18"/>
    </row>
    <row r="395" spans="1:26" ht="16.5" customHeight="1" x14ac:dyDescent="0.35">
      <c r="A395" s="230"/>
      <c r="B395" s="230"/>
      <c r="C395" s="217"/>
      <c r="D395" s="217"/>
      <c r="E395" s="217"/>
      <c r="F395" s="217"/>
      <c r="G395" s="217"/>
      <c r="H395" s="74" t="s">
        <v>46</v>
      </c>
      <c r="I395" s="74" t="s">
        <v>36</v>
      </c>
      <c r="J395" s="76" t="s">
        <v>65</v>
      </c>
      <c r="K395" s="217"/>
      <c r="L395" s="66"/>
      <c r="M395" s="18"/>
      <c r="N395" s="18"/>
      <c r="O395" s="18"/>
      <c r="P395" s="284"/>
      <c r="Q395" s="284"/>
      <c r="R395" s="284"/>
      <c r="S395" s="18"/>
      <c r="T395" s="284"/>
      <c r="U395" s="284"/>
      <c r="V395" s="284"/>
      <c r="W395" s="18"/>
      <c r="X395" s="18"/>
      <c r="Y395" s="18"/>
      <c r="Z395" s="18"/>
    </row>
    <row r="396" spans="1:26" ht="16.5" customHeight="1" x14ac:dyDescent="0.35">
      <c r="A396" s="230"/>
      <c r="B396" s="230"/>
      <c r="C396" s="227" t="s">
        <v>67</v>
      </c>
      <c r="D396" s="218">
        <v>4</v>
      </c>
      <c r="E396" s="216">
        <v>2</v>
      </c>
      <c r="F396" s="218" t="s">
        <v>68</v>
      </c>
      <c r="G396" s="218" t="s">
        <v>69</v>
      </c>
      <c r="H396" s="74" t="s">
        <v>35</v>
      </c>
      <c r="I396" s="76" t="s">
        <v>70</v>
      </c>
      <c r="J396" s="76" t="s">
        <v>71</v>
      </c>
      <c r="K396" s="218" t="s">
        <v>54</v>
      </c>
      <c r="L396" s="66"/>
      <c r="M396" s="18"/>
      <c r="N396" s="18"/>
      <c r="O396" s="18"/>
      <c r="P396" s="293"/>
      <c r="Q396" s="295"/>
      <c r="R396" s="294"/>
      <c r="S396" s="18"/>
      <c r="T396" s="293"/>
      <c r="U396" s="295"/>
      <c r="V396" s="294"/>
      <c r="W396" s="18"/>
      <c r="X396" s="18"/>
      <c r="Y396" s="18"/>
      <c r="Z396" s="18"/>
    </row>
    <row r="397" spans="1:26" ht="16.5" customHeight="1" x14ac:dyDescent="0.35">
      <c r="A397" s="230"/>
      <c r="B397" s="217"/>
      <c r="C397" s="217"/>
      <c r="D397" s="217"/>
      <c r="E397" s="217"/>
      <c r="F397" s="217"/>
      <c r="G397" s="217"/>
      <c r="H397" s="74" t="s">
        <v>48</v>
      </c>
      <c r="I397" s="76" t="s">
        <v>70</v>
      </c>
      <c r="J397" s="76" t="s">
        <v>71</v>
      </c>
      <c r="K397" s="217"/>
      <c r="L397" s="66"/>
      <c r="M397" s="18"/>
      <c r="N397" s="18"/>
      <c r="O397" s="18"/>
      <c r="P397" s="284"/>
      <c r="Q397" s="284"/>
      <c r="R397" s="284"/>
      <c r="S397" s="18"/>
      <c r="T397" s="284"/>
      <c r="U397" s="284"/>
      <c r="V397" s="284"/>
      <c r="W397" s="18"/>
      <c r="X397" s="18"/>
      <c r="Y397" s="18"/>
      <c r="Z397" s="18"/>
    </row>
    <row r="398" spans="1:26" ht="16.5" customHeight="1" x14ac:dyDescent="0.35">
      <c r="A398" s="217"/>
      <c r="B398" s="228" t="s">
        <v>72</v>
      </c>
      <c r="C398" s="221"/>
      <c r="D398" s="222"/>
      <c r="E398" s="71">
        <f>SUM(E376:E397)</f>
        <v>18</v>
      </c>
      <c r="F398" s="220"/>
      <c r="G398" s="221"/>
      <c r="H398" s="221"/>
      <c r="I398" s="221"/>
      <c r="J398" s="221"/>
      <c r="K398" s="222"/>
      <c r="L398" s="66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6.5" customHeight="1" x14ac:dyDescent="0.35">
      <c r="A399" s="229">
        <v>24</v>
      </c>
      <c r="B399" s="238" t="s">
        <v>257</v>
      </c>
      <c r="C399" s="227" t="s">
        <v>248</v>
      </c>
      <c r="D399" s="218">
        <v>2</v>
      </c>
      <c r="E399" s="216">
        <v>2</v>
      </c>
      <c r="F399" s="218" t="s">
        <v>158</v>
      </c>
      <c r="G399" s="218" t="s">
        <v>90</v>
      </c>
      <c r="H399" s="74" t="s">
        <v>35</v>
      </c>
      <c r="I399" s="74" t="s">
        <v>56</v>
      </c>
      <c r="J399" s="74" t="s">
        <v>126</v>
      </c>
      <c r="K399" s="218" t="s">
        <v>38</v>
      </c>
      <c r="L399" s="66"/>
      <c r="M399" s="18"/>
      <c r="N399" s="18"/>
      <c r="O399" s="18"/>
      <c r="P399" s="293"/>
      <c r="Q399" s="295"/>
      <c r="R399" s="294"/>
      <c r="S399" s="18"/>
      <c r="T399" s="293"/>
      <c r="U399" s="295"/>
      <c r="V399" s="294"/>
      <c r="W399" s="18"/>
      <c r="X399" s="18"/>
      <c r="Y399" s="18"/>
      <c r="Z399" s="18"/>
    </row>
    <row r="400" spans="1:26" ht="16.5" customHeight="1" x14ac:dyDescent="0.35">
      <c r="A400" s="230"/>
      <c r="B400" s="230"/>
      <c r="C400" s="217"/>
      <c r="D400" s="217"/>
      <c r="E400" s="217"/>
      <c r="F400" s="217"/>
      <c r="G400" s="217"/>
      <c r="H400" s="74" t="s">
        <v>48</v>
      </c>
      <c r="I400" s="74" t="s">
        <v>59</v>
      </c>
      <c r="J400" s="74" t="s">
        <v>155</v>
      </c>
      <c r="K400" s="217"/>
      <c r="L400" s="66"/>
      <c r="M400" s="18"/>
      <c r="N400" s="18"/>
      <c r="O400" s="18"/>
      <c r="P400" s="284"/>
      <c r="Q400" s="284"/>
      <c r="R400" s="284"/>
      <c r="S400" s="18"/>
      <c r="T400" s="284"/>
      <c r="U400" s="284"/>
      <c r="V400" s="284"/>
      <c r="W400" s="18"/>
      <c r="X400" s="18"/>
      <c r="Y400" s="18"/>
      <c r="Z400" s="18"/>
    </row>
    <row r="401" spans="1:26" ht="16.5" customHeight="1" x14ac:dyDescent="0.35">
      <c r="A401" s="230"/>
      <c r="B401" s="230"/>
      <c r="C401" s="227" t="s">
        <v>258</v>
      </c>
      <c r="D401" s="218">
        <v>3</v>
      </c>
      <c r="E401" s="216">
        <v>3</v>
      </c>
      <c r="F401" s="218" t="s">
        <v>33</v>
      </c>
      <c r="G401" s="218" t="s">
        <v>104</v>
      </c>
      <c r="H401" s="74" t="s">
        <v>46</v>
      </c>
      <c r="I401" s="74" t="s">
        <v>108</v>
      </c>
      <c r="J401" s="74" t="s">
        <v>259</v>
      </c>
      <c r="K401" s="218" t="s">
        <v>54</v>
      </c>
      <c r="L401" s="66"/>
      <c r="M401" s="17"/>
      <c r="N401" s="17"/>
      <c r="O401" s="17"/>
      <c r="P401" s="293"/>
      <c r="Q401" s="295"/>
      <c r="R401" s="294"/>
      <c r="S401" s="18"/>
      <c r="T401" s="293"/>
      <c r="U401" s="295"/>
      <c r="V401" s="294"/>
      <c r="W401" s="18"/>
      <c r="X401" s="18"/>
      <c r="Y401" s="18"/>
      <c r="Z401" s="18"/>
    </row>
    <row r="402" spans="1:26" ht="16.5" customHeight="1" x14ac:dyDescent="0.35">
      <c r="A402" s="230"/>
      <c r="B402" s="230"/>
      <c r="C402" s="217"/>
      <c r="D402" s="217"/>
      <c r="E402" s="217"/>
      <c r="F402" s="217"/>
      <c r="G402" s="217"/>
      <c r="H402" s="84" t="s">
        <v>48</v>
      </c>
      <c r="I402" s="74" t="s">
        <v>108</v>
      </c>
      <c r="J402" s="84" t="s">
        <v>43</v>
      </c>
      <c r="K402" s="219"/>
      <c r="L402" s="66"/>
      <c r="M402" s="17"/>
      <c r="N402" s="17"/>
      <c r="O402" s="17"/>
      <c r="P402" s="284"/>
      <c r="Q402" s="284"/>
      <c r="R402" s="284"/>
      <c r="S402" s="18"/>
      <c r="T402" s="284"/>
      <c r="U402" s="284"/>
      <c r="V402" s="284"/>
      <c r="W402" s="18"/>
      <c r="X402" s="18"/>
      <c r="Y402" s="18"/>
      <c r="Z402" s="18"/>
    </row>
    <row r="403" spans="1:26" ht="16.5" customHeight="1" x14ac:dyDescent="0.35">
      <c r="A403" s="230"/>
      <c r="B403" s="230"/>
      <c r="C403" s="227" t="s">
        <v>58</v>
      </c>
      <c r="D403" s="218">
        <v>3</v>
      </c>
      <c r="E403" s="216">
        <v>1.5</v>
      </c>
      <c r="F403" s="218" t="s">
        <v>260</v>
      </c>
      <c r="G403" s="218" t="s">
        <v>261</v>
      </c>
      <c r="H403" s="74" t="s">
        <v>35</v>
      </c>
      <c r="I403" s="74" t="s">
        <v>61</v>
      </c>
      <c r="J403" s="74" t="s">
        <v>262</v>
      </c>
      <c r="K403" s="218" t="s">
        <v>54</v>
      </c>
      <c r="L403" s="66"/>
      <c r="M403" s="18"/>
      <c r="N403" s="18"/>
      <c r="O403" s="18"/>
      <c r="P403" s="293"/>
      <c r="Q403" s="295"/>
      <c r="R403" s="294"/>
      <c r="S403" s="18"/>
      <c r="T403" s="293"/>
      <c r="U403" s="295"/>
      <c r="V403" s="294"/>
      <c r="W403" s="18"/>
      <c r="X403" s="18"/>
      <c r="Y403" s="18"/>
      <c r="Z403" s="18"/>
    </row>
    <row r="404" spans="1:26" ht="16.5" customHeight="1" x14ac:dyDescent="0.35">
      <c r="A404" s="230"/>
      <c r="B404" s="230"/>
      <c r="C404" s="217"/>
      <c r="D404" s="217"/>
      <c r="E404" s="217"/>
      <c r="F404" s="217"/>
      <c r="G404" s="217"/>
      <c r="H404" s="74" t="s">
        <v>39</v>
      </c>
      <c r="I404" s="74" t="s">
        <v>56</v>
      </c>
      <c r="J404" s="74" t="s">
        <v>263</v>
      </c>
      <c r="K404" s="217"/>
      <c r="L404" s="66"/>
      <c r="M404" s="18"/>
      <c r="N404" s="18"/>
      <c r="O404" s="18"/>
      <c r="P404" s="284"/>
      <c r="Q404" s="284"/>
      <c r="R404" s="284"/>
      <c r="S404" s="18"/>
      <c r="T404" s="284"/>
      <c r="U404" s="284"/>
      <c r="V404" s="284"/>
      <c r="W404" s="18"/>
      <c r="X404" s="18"/>
      <c r="Y404" s="18"/>
      <c r="Z404" s="18"/>
    </row>
    <row r="405" spans="1:26" ht="16.5" customHeight="1" x14ac:dyDescent="0.35">
      <c r="A405" s="230"/>
      <c r="B405" s="230"/>
      <c r="C405" s="227" t="s">
        <v>50</v>
      </c>
      <c r="D405" s="218">
        <v>3</v>
      </c>
      <c r="E405" s="216">
        <v>1.5</v>
      </c>
      <c r="F405" s="218" t="s">
        <v>260</v>
      </c>
      <c r="G405" s="218" t="s">
        <v>45</v>
      </c>
      <c r="H405" s="74" t="s">
        <v>46</v>
      </c>
      <c r="I405" s="74" t="s">
        <v>59</v>
      </c>
      <c r="J405" s="74" t="s">
        <v>264</v>
      </c>
      <c r="K405" s="218" t="s">
        <v>54</v>
      </c>
      <c r="L405" s="66" t="s">
        <v>102</v>
      </c>
      <c r="M405" s="18"/>
      <c r="N405" s="18"/>
      <c r="O405" s="18"/>
      <c r="P405" s="293"/>
      <c r="Q405" s="295"/>
      <c r="R405" s="294"/>
      <c r="S405" s="18"/>
      <c r="T405" s="293"/>
      <c r="U405" s="295"/>
      <c r="V405" s="294"/>
      <c r="W405" s="18"/>
      <c r="X405" s="18"/>
      <c r="Y405" s="18"/>
      <c r="Z405" s="18"/>
    </row>
    <row r="406" spans="1:26" ht="16.5" customHeight="1" x14ac:dyDescent="0.35">
      <c r="A406" s="230"/>
      <c r="B406" s="230"/>
      <c r="C406" s="217"/>
      <c r="D406" s="217"/>
      <c r="E406" s="217"/>
      <c r="F406" s="217"/>
      <c r="G406" s="217"/>
      <c r="H406" s="74" t="s">
        <v>48</v>
      </c>
      <c r="I406" s="74" t="s">
        <v>123</v>
      </c>
      <c r="J406" s="74" t="s">
        <v>265</v>
      </c>
      <c r="K406" s="217"/>
      <c r="L406" s="66"/>
      <c r="M406" s="18"/>
      <c r="N406" s="18"/>
      <c r="O406" s="18"/>
      <c r="P406" s="284"/>
      <c r="Q406" s="284"/>
      <c r="R406" s="284"/>
      <c r="S406" s="18"/>
      <c r="T406" s="284"/>
      <c r="U406" s="284"/>
      <c r="V406" s="284"/>
      <c r="W406" s="18"/>
      <c r="X406" s="18"/>
      <c r="Y406" s="18"/>
      <c r="Z406" s="18"/>
    </row>
    <row r="407" spans="1:26" ht="16.5" customHeight="1" x14ac:dyDescent="0.35">
      <c r="A407" s="230"/>
      <c r="B407" s="230"/>
      <c r="C407" s="227" t="s">
        <v>161</v>
      </c>
      <c r="D407" s="218">
        <v>2</v>
      </c>
      <c r="E407" s="216">
        <v>2</v>
      </c>
      <c r="F407" s="218" t="s">
        <v>75</v>
      </c>
      <c r="G407" s="218" t="s">
        <v>266</v>
      </c>
      <c r="H407" s="74" t="s">
        <v>35</v>
      </c>
      <c r="I407" s="74" t="s">
        <v>52</v>
      </c>
      <c r="J407" s="74" t="s">
        <v>267</v>
      </c>
      <c r="K407" s="218" t="s">
        <v>38</v>
      </c>
      <c r="L407" s="66"/>
      <c r="M407" s="18"/>
      <c r="N407" s="18"/>
      <c r="O407" s="18"/>
      <c r="P407" s="293"/>
      <c r="Q407" s="295"/>
      <c r="R407" s="294"/>
      <c r="S407" s="18"/>
      <c r="T407" s="293"/>
      <c r="U407" s="295"/>
      <c r="V407" s="294"/>
      <c r="W407" s="18"/>
      <c r="X407" s="18"/>
      <c r="Y407" s="18"/>
      <c r="Z407" s="18"/>
    </row>
    <row r="408" spans="1:26" ht="16.5" customHeight="1" x14ac:dyDescent="0.35">
      <c r="A408" s="230"/>
      <c r="B408" s="230"/>
      <c r="C408" s="217"/>
      <c r="D408" s="217"/>
      <c r="E408" s="217"/>
      <c r="F408" s="217"/>
      <c r="G408" s="217"/>
      <c r="H408" s="74" t="s">
        <v>48</v>
      </c>
      <c r="I408" s="74" t="s">
        <v>131</v>
      </c>
      <c r="J408" s="74" t="s">
        <v>267</v>
      </c>
      <c r="K408" s="217"/>
      <c r="L408" s="66"/>
      <c r="M408" s="18"/>
      <c r="N408" s="18"/>
      <c r="O408" s="18"/>
      <c r="P408" s="284"/>
      <c r="Q408" s="284"/>
      <c r="R408" s="284"/>
      <c r="S408" s="18"/>
      <c r="T408" s="284"/>
      <c r="U408" s="284"/>
      <c r="V408" s="284"/>
      <c r="W408" s="18"/>
      <c r="X408" s="18"/>
      <c r="Y408" s="18"/>
      <c r="Z408" s="18"/>
    </row>
    <row r="409" spans="1:26" ht="16.5" customHeight="1" x14ac:dyDescent="0.35">
      <c r="A409" s="230"/>
      <c r="B409" s="217"/>
      <c r="C409" s="94" t="s">
        <v>191</v>
      </c>
      <c r="D409" s="74">
        <v>3</v>
      </c>
      <c r="E409" s="81">
        <v>3</v>
      </c>
      <c r="F409" s="74" t="s">
        <v>75</v>
      </c>
      <c r="G409" s="74" t="s">
        <v>268</v>
      </c>
      <c r="H409" s="74" t="s">
        <v>119</v>
      </c>
      <c r="I409" s="74" t="s">
        <v>82</v>
      </c>
      <c r="J409" s="74" t="s">
        <v>149</v>
      </c>
      <c r="K409" s="85" t="s">
        <v>93</v>
      </c>
      <c r="L409" s="66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6.5" customHeight="1" x14ac:dyDescent="0.35">
      <c r="A410" s="217"/>
      <c r="B410" s="228" t="s">
        <v>72</v>
      </c>
      <c r="C410" s="221"/>
      <c r="D410" s="222"/>
      <c r="E410" s="100">
        <f>SUM(E399:E409)</f>
        <v>13</v>
      </c>
      <c r="F410" s="220"/>
      <c r="G410" s="221"/>
      <c r="H410" s="221"/>
      <c r="I410" s="221"/>
      <c r="J410" s="221"/>
      <c r="K410" s="222"/>
      <c r="L410" s="66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6.5" customHeight="1" x14ac:dyDescent="0.35">
      <c r="A411" s="229">
        <v>25</v>
      </c>
      <c r="B411" s="235" t="s">
        <v>269</v>
      </c>
      <c r="C411" s="227" t="s">
        <v>122</v>
      </c>
      <c r="D411" s="218">
        <v>2</v>
      </c>
      <c r="E411" s="216">
        <v>2</v>
      </c>
      <c r="F411" s="218" t="s">
        <v>75</v>
      </c>
      <c r="G411" s="218" t="s">
        <v>270</v>
      </c>
      <c r="H411" s="74" t="s">
        <v>46</v>
      </c>
      <c r="I411" s="74" t="s">
        <v>59</v>
      </c>
      <c r="J411" s="74" t="s">
        <v>206</v>
      </c>
      <c r="K411" s="218" t="s">
        <v>54</v>
      </c>
      <c r="L411" s="66"/>
      <c r="M411" s="18"/>
      <c r="N411" s="18"/>
      <c r="O411" s="18"/>
      <c r="P411" s="293"/>
      <c r="Q411" s="295"/>
      <c r="R411" s="294"/>
      <c r="S411" s="18"/>
      <c r="T411" s="293"/>
      <c r="U411" s="295"/>
      <c r="V411" s="294"/>
      <c r="W411" s="18"/>
      <c r="X411" s="18"/>
      <c r="Y411" s="18"/>
      <c r="Z411" s="18"/>
    </row>
    <row r="412" spans="1:26" ht="16.5" customHeight="1" x14ac:dyDescent="0.35">
      <c r="A412" s="230"/>
      <c r="B412" s="236"/>
      <c r="C412" s="217"/>
      <c r="D412" s="217"/>
      <c r="E412" s="217"/>
      <c r="F412" s="217"/>
      <c r="G412" s="217"/>
      <c r="H412" s="74" t="s">
        <v>48</v>
      </c>
      <c r="I412" s="74" t="s">
        <v>52</v>
      </c>
      <c r="J412" s="74" t="s">
        <v>78</v>
      </c>
      <c r="K412" s="217"/>
      <c r="L412" s="66"/>
      <c r="M412" s="18"/>
      <c r="N412" s="18"/>
      <c r="O412" s="18"/>
      <c r="P412" s="284"/>
      <c r="Q412" s="284"/>
      <c r="R412" s="284"/>
      <c r="S412" s="18"/>
      <c r="T412" s="284"/>
      <c r="U412" s="284"/>
      <c r="V412" s="284"/>
      <c r="W412" s="18"/>
      <c r="X412" s="18"/>
      <c r="Y412" s="18"/>
      <c r="Z412" s="18"/>
    </row>
    <row r="413" spans="1:26" ht="16.5" customHeight="1" x14ac:dyDescent="0.35">
      <c r="A413" s="230"/>
      <c r="B413" s="236"/>
      <c r="C413" s="227" t="s">
        <v>271</v>
      </c>
      <c r="D413" s="218">
        <v>2</v>
      </c>
      <c r="E413" s="216">
        <v>2</v>
      </c>
      <c r="F413" s="218" t="s">
        <v>75</v>
      </c>
      <c r="G413" s="218" t="s">
        <v>272</v>
      </c>
      <c r="H413" s="74" t="s">
        <v>46</v>
      </c>
      <c r="I413" s="74" t="s">
        <v>59</v>
      </c>
      <c r="J413" s="74" t="s">
        <v>133</v>
      </c>
      <c r="K413" s="218" t="s">
        <v>38</v>
      </c>
      <c r="L413" s="66"/>
      <c r="M413" s="17"/>
      <c r="N413" s="17"/>
      <c r="O413" s="17"/>
      <c r="P413" s="293"/>
      <c r="Q413" s="295"/>
      <c r="R413" s="294"/>
      <c r="S413" s="18"/>
      <c r="T413" s="293"/>
      <c r="U413" s="295"/>
      <c r="V413" s="294"/>
      <c r="W413" s="18"/>
      <c r="X413" s="18"/>
      <c r="Y413" s="18"/>
      <c r="Z413" s="18"/>
    </row>
    <row r="414" spans="1:26" ht="16.5" customHeight="1" x14ac:dyDescent="0.35">
      <c r="A414" s="230"/>
      <c r="B414" s="236"/>
      <c r="C414" s="217"/>
      <c r="D414" s="217"/>
      <c r="E414" s="217"/>
      <c r="F414" s="217"/>
      <c r="G414" s="217"/>
      <c r="H414" s="74" t="s">
        <v>55</v>
      </c>
      <c r="I414" s="74" t="s">
        <v>52</v>
      </c>
      <c r="J414" s="74" t="s">
        <v>78</v>
      </c>
      <c r="K414" s="217"/>
      <c r="L414" s="66"/>
      <c r="M414" s="17"/>
      <c r="N414" s="17"/>
      <c r="O414" s="17"/>
      <c r="P414" s="284"/>
      <c r="Q414" s="284"/>
      <c r="R414" s="284"/>
      <c r="S414" s="18"/>
      <c r="T414" s="284"/>
      <c r="U414" s="284"/>
      <c r="V414" s="284"/>
      <c r="W414" s="18"/>
      <c r="X414" s="18"/>
      <c r="Y414" s="18"/>
      <c r="Z414" s="18"/>
    </row>
    <row r="415" spans="1:26" ht="16.5" customHeight="1" x14ac:dyDescent="0.35">
      <c r="A415" s="230"/>
      <c r="B415" s="236"/>
      <c r="C415" s="227" t="s">
        <v>187</v>
      </c>
      <c r="D415" s="218">
        <v>3</v>
      </c>
      <c r="E415" s="216">
        <v>3</v>
      </c>
      <c r="F415" s="218" t="s">
        <v>75</v>
      </c>
      <c r="G415" s="218" t="s">
        <v>76</v>
      </c>
      <c r="H415" s="74" t="s">
        <v>46</v>
      </c>
      <c r="I415" s="74" t="s">
        <v>36</v>
      </c>
      <c r="J415" s="74" t="s">
        <v>71</v>
      </c>
      <c r="K415" s="218" t="s">
        <v>54</v>
      </c>
      <c r="L415" s="66"/>
      <c r="M415" s="18"/>
      <c r="N415" s="18"/>
      <c r="O415" s="18"/>
      <c r="P415" s="293"/>
      <c r="Q415" s="295"/>
      <c r="R415" s="294"/>
      <c r="S415" s="18"/>
      <c r="T415" s="293"/>
      <c r="U415" s="295"/>
      <c r="V415" s="294"/>
      <c r="W415" s="18"/>
      <c r="X415" s="18"/>
      <c r="Y415" s="18"/>
      <c r="Z415" s="18"/>
    </row>
    <row r="416" spans="1:26" ht="16.5" customHeight="1" x14ac:dyDescent="0.35">
      <c r="A416" s="230"/>
      <c r="B416" s="236"/>
      <c r="C416" s="217"/>
      <c r="D416" s="217"/>
      <c r="E416" s="217"/>
      <c r="F416" s="217"/>
      <c r="G416" s="217"/>
      <c r="H416" s="74" t="s">
        <v>48</v>
      </c>
      <c r="I416" s="74" t="s">
        <v>44</v>
      </c>
      <c r="J416" s="74" t="s">
        <v>169</v>
      </c>
      <c r="K416" s="217"/>
      <c r="L416" s="66"/>
      <c r="M416" s="18"/>
      <c r="N416" s="18"/>
      <c r="O416" s="18"/>
      <c r="P416" s="284"/>
      <c r="Q416" s="284"/>
      <c r="R416" s="284"/>
      <c r="S416" s="18"/>
      <c r="T416" s="284"/>
      <c r="U416" s="284"/>
      <c r="V416" s="284"/>
      <c r="W416" s="18"/>
      <c r="X416" s="18"/>
      <c r="Y416" s="18"/>
      <c r="Z416" s="18"/>
    </row>
    <row r="417" spans="1:26" ht="16.5" customHeight="1" x14ac:dyDescent="0.35">
      <c r="A417" s="230"/>
      <c r="B417" s="236"/>
      <c r="C417" s="227" t="s">
        <v>187</v>
      </c>
      <c r="D417" s="218">
        <v>3</v>
      </c>
      <c r="E417" s="216">
        <v>3</v>
      </c>
      <c r="F417" s="218" t="s">
        <v>75</v>
      </c>
      <c r="G417" s="218" t="s">
        <v>79</v>
      </c>
      <c r="H417" s="74" t="s">
        <v>35</v>
      </c>
      <c r="I417" s="74" t="s">
        <v>91</v>
      </c>
      <c r="J417" s="74" t="s">
        <v>174</v>
      </c>
      <c r="K417" s="218" t="s">
        <v>54</v>
      </c>
      <c r="L417" s="66"/>
      <c r="M417" s="18"/>
      <c r="N417" s="18"/>
      <c r="O417" s="18"/>
      <c r="P417" s="293"/>
      <c r="Q417" s="295"/>
      <c r="R417" s="294"/>
      <c r="S417" s="18"/>
      <c r="T417" s="293"/>
      <c r="U417" s="295"/>
      <c r="V417" s="294"/>
      <c r="W417" s="18"/>
      <c r="X417" s="18"/>
      <c r="Y417" s="18"/>
      <c r="Z417" s="18"/>
    </row>
    <row r="418" spans="1:26" ht="16.5" customHeight="1" x14ac:dyDescent="0.35">
      <c r="A418" s="230"/>
      <c r="B418" s="236"/>
      <c r="C418" s="217"/>
      <c r="D418" s="217"/>
      <c r="E418" s="217"/>
      <c r="F418" s="217"/>
      <c r="G418" s="217"/>
      <c r="H418" s="74" t="s">
        <v>55</v>
      </c>
      <c r="I418" s="74" t="s">
        <v>36</v>
      </c>
      <c r="J418" s="74" t="s">
        <v>149</v>
      </c>
      <c r="K418" s="217"/>
      <c r="L418" s="66"/>
      <c r="M418" s="18"/>
      <c r="N418" s="18"/>
      <c r="O418" s="18"/>
      <c r="P418" s="284"/>
      <c r="Q418" s="284"/>
      <c r="R418" s="284"/>
      <c r="S418" s="18"/>
      <c r="T418" s="284"/>
      <c r="U418" s="284"/>
      <c r="V418" s="284"/>
      <c r="W418" s="18"/>
      <c r="X418" s="18"/>
      <c r="Y418" s="18"/>
      <c r="Z418" s="18"/>
    </row>
    <row r="419" spans="1:26" ht="16.5" customHeight="1" x14ac:dyDescent="0.35">
      <c r="A419" s="230"/>
      <c r="B419" s="236"/>
      <c r="C419" s="227" t="s">
        <v>187</v>
      </c>
      <c r="D419" s="218">
        <v>3</v>
      </c>
      <c r="E419" s="216">
        <v>1.5</v>
      </c>
      <c r="F419" s="218" t="s">
        <v>75</v>
      </c>
      <c r="G419" s="218" t="s">
        <v>97</v>
      </c>
      <c r="H419" s="74" t="s">
        <v>35</v>
      </c>
      <c r="I419" s="74" t="s">
        <v>36</v>
      </c>
      <c r="J419" s="74" t="s">
        <v>159</v>
      </c>
      <c r="K419" s="218" t="s">
        <v>54</v>
      </c>
      <c r="L419" s="67"/>
      <c r="M419" s="26"/>
      <c r="N419" s="26"/>
      <c r="O419" s="26"/>
      <c r="P419" s="293"/>
      <c r="Q419" s="295"/>
      <c r="R419" s="294"/>
      <c r="S419" s="18"/>
      <c r="T419" s="293"/>
      <c r="U419" s="295"/>
      <c r="V419" s="294"/>
      <c r="W419" s="18"/>
      <c r="X419" s="18"/>
      <c r="Y419" s="18"/>
      <c r="Z419" s="18"/>
    </row>
    <row r="420" spans="1:26" ht="16.5" customHeight="1" x14ac:dyDescent="0.35">
      <c r="A420" s="230"/>
      <c r="B420" s="236"/>
      <c r="C420" s="217"/>
      <c r="D420" s="217"/>
      <c r="E420" s="217"/>
      <c r="F420" s="217"/>
      <c r="G420" s="217"/>
      <c r="H420" s="74" t="s">
        <v>39</v>
      </c>
      <c r="I420" s="74" t="s">
        <v>36</v>
      </c>
      <c r="J420" s="74" t="s">
        <v>208</v>
      </c>
      <c r="K420" s="217"/>
      <c r="L420" s="66"/>
      <c r="M420" s="18"/>
      <c r="N420" s="18"/>
      <c r="O420" s="18"/>
      <c r="P420" s="284"/>
      <c r="Q420" s="284"/>
      <c r="R420" s="284"/>
      <c r="S420" s="18"/>
      <c r="T420" s="284"/>
      <c r="U420" s="284"/>
      <c r="V420" s="284"/>
      <c r="W420" s="18"/>
      <c r="X420" s="18"/>
      <c r="Y420" s="18"/>
      <c r="Z420" s="18"/>
    </row>
    <row r="421" spans="1:26" ht="16.5" customHeight="1" x14ac:dyDescent="0.35">
      <c r="A421" s="230"/>
      <c r="B421" s="236"/>
      <c r="C421" s="94" t="s">
        <v>191</v>
      </c>
      <c r="D421" s="74">
        <v>3</v>
      </c>
      <c r="E421" s="81">
        <v>3</v>
      </c>
      <c r="F421" s="74" t="s">
        <v>75</v>
      </c>
      <c r="G421" s="74" t="s">
        <v>273</v>
      </c>
      <c r="H421" s="74" t="s">
        <v>119</v>
      </c>
      <c r="I421" s="74" t="s">
        <v>82</v>
      </c>
      <c r="J421" s="75" t="s">
        <v>152</v>
      </c>
      <c r="K421" s="85" t="s">
        <v>93</v>
      </c>
      <c r="L421" s="66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6.5" customHeight="1" x14ac:dyDescent="0.35">
      <c r="A422" s="230"/>
      <c r="B422" s="240"/>
      <c r="C422" s="94" t="s">
        <v>89</v>
      </c>
      <c r="D422" s="74">
        <v>3</v>
      </c>
      <c r="E422" s="81">
        <v>3</v>
      </c>
      <c r="F422" s="74" t="s">
        <v>75</v>
      </c>
      <c r="G422" s="74" t="s">
        <v>173</v>
      </c>
      <c r="H422" s="74" t="s">
        <v>35</v>
      </c>
      <c r="I422" s="74" t="s">
        <v>91</v>
      </c>
      <c r="J422" s="74" t="s">
        <v>190</v>
      </c>
      <c r="K422" s="85" t="s">
        <v>93</v>
      </c>
      <c r="L422" s="66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6.5" customHeight="1" x14ac:dyDescent="0.35">
      <c r="A423" s="217"/>
      <c r="B423" s="228" t="s">
        <v>72</v>
      </c>
      <c r="C423" s="221"/>
      <c r="D423" s="222"/>
      <c r="E423" s="71">
        <f>SUM(E411:E422)</f>
        <v>17.5</v>
      </c>
      <c r="F423" s="220"/>
      <c r="G423" s="221"/>
      <c r="H423" s="221"/>
      <c r="I423" s="221"/>
      <c r="J423" s="221"/>
      <c r="K423" s="222"/>
      <c r="L423" s="66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6.5" customHeight="1" x14ac:dyDescent="0.35">
      <c r="A424" s="229">
        <v>26</v>
      </c>
      <c r="B424" s="235" t="s">
        <v>274</v>
      </c>
      <c r="C424" s="227" t="s">
        <v>187</v>
      </c>
      <c r="D424" s="218">
        <v>3</v>
      </c>
      <c r="E424" s="216">
        <v>3</v>
      </c>
      <c r="F424" s="218" t="s">
        <v>106</v>
      </c>
      <c r="G424" s="218" t="s">
        <v>64</v>
      </c>
      <c r="H424" s="74" t="s">
        <v>48</v>
      </c>
      <c r="I424" s="74" t="s">
        <v>36</v>
      </c>
      <c r="J424" s="74" t="s">
        <v>107</v>
      </c>
      <c r="K424" s="218" t="s">
        <v>54</v>
      </c>
      <c r="L424" s="66"/>
      <c r="M424" s="18"/>
      <c r="N424" s="18"/>
      <c r="O424" s="18"/>
      <c r="P424" s="293"/>
      <c r="Q424" s="295"/>
      <c r="R424" s="294"/>
      <c r="S424" s="18"/>
      <c r="T424" s="293"/>
      <c r="U424" s="295"/>
      <c r="V424" s="294"/>
      <c r="W424" s="18"/>
      <c r="X424" s="18"/>
      <c r="Y424" s="18"/>
      <c r="Z424" s="18"/>
    </row>
    <row r="425" spans="1:26" ht="16.5" customHeight="1" x14ac:dyDescent="0.35">
      <c r="A425" s="230"/>
      <c r="B425" s="236"/>
      <c r="C425" s="217"/>
      <c r="D425" s="217"/>
      <c r="E425" s="217"/>
      <c r="F425" s="217"/>
      <c r="G425" s="217"/>
      <c r="H425" s="74" t="s">
        <v>55</v>
      </c>
      <c r="I425" s="74" t="s">
        <v>44</v>
      </c>
      <c r="J425" s="74" t="s">
        <v>107</v>
      </c>
      <c r="K425" s="217"/>
      <c r="L425" s="66"/>
      <c r="M425" s="18"/>
      <c r="N425" s="18"/>
      <c r="O425" s="18"/>
      <c r="P425" s="284"/>
      <c r="Q425" s="284"/>
      <c r="R425" s="284"/>
      <c r="S425" s="18"/>
      <c r="T425" s="284"/>
      <c r="U425" s="284"/>
      <c r="V425" s="284"/>
      <c r="W425" s="18"/>
      <c r="X425" s="18"/>
      <c r="Y425" s="18"/>
      <c r="Z425" s="18"/>
    </row>
    <row r="426" spans="1:26" ht="16.5" customHeight="1" x14ac:dyDescent="0.35">
      <c r="A426" s="230"/>
      <c r="B426" s="236"/>
      <c r="C426" s="227" t="s">
        <v>275</v>
      </c>
      <c r="D426" s="218">
        <v>2</v>
      </c>
      <c r="E426" s="216">
        <v>2</v>
      </c>
      <c r="F426" s="218" t="s">
        <v>106</v>
      </c>
      <c r="G426" s="218" t="s">
        <v>136</v>
      </c>
      <c r="H426" s="74" t="s">
        <v>35</v>
      </c>
      <c r="I426" s="74" t="s">
        <v>59</v>
      </c>
      <c r="J426" s="74" t="s">
        <v>197</v>
      </c>
      <c r="K426" s="218" t="s">
        <v>38</v>
      </c>
      <c r="L426" s="66"/>
      <c r="M426" s="22"/>
      <c r="N426" s="22"/>
      <c r="O426" s="22"/>
      <c r="P426" s="293"/>
      <c r="Q426" s="295"/>
      <c r="R426" s="294"/>
      <c r="S426" s="18"/>
      <c r="T426" s="293"/>
      <c r="U426" s="295"/>
      <c r="V426" s="294"/>
      <c r="W426" s="18"/>
      <c r="X426" s="18"/>
      <c r="Y426" s="18"/>
      <c r="Z426" s="18"/>
    </row>
    <row r="427" spans="1:26" ht="16.5" customHeight="1" x14ac:dyDescent="0.35">
      <c r="A427" s="230"/>
      <c r="B427" s="236"/>
      <c r="C427" s="217"/>
      <c r="D427" s="217"/>
      <c r="E427" s="217"/>
      <c r="F427" s="217"/>
      <c r="G427" s="217"/>
      <c r="H427" s="74" t="s">
        <v>39</v>
      </c>
      <c r="I427" s="74" t="s">
        <v>59</v>
      </c>
      <c r="J427" s="74" t="s">
        <v>197</v>
      </c>
      <c r="K427" s="217"/>
      <c r="L427" s="66"/>
      <c r="M427" s="18"/>
      <c r="N427" s="18"/>
      <c r="O427" s="18"/>
      <c r="P427" s="284"/>
      <c r="Q427" s="284"/>
      <c r="R427" s="284"/>
      <c r="S427" s="18"/>
      <c r="T427" s="284"/>
      <c r="U427" s="284"/>
      <c r="V427" s="284"/>
      <c r="W427" s="18"/>
      <c r="X427" s="18"/>
      <c r="Y427" s="18"/>
      <c r="Z427" s="18"/>
    </row>
    <row r="428" spans="1:26" ht="16.5" customHeight="1" x14ac:dyDescent="0.35">
      <c r="A428" s="230"/>
      <c r="B428" s="236"/>
      <c r="C428" s="227" t="s">
        <v>276</v>
      </c>
      <c r="D428" s="218">
        <v>2</v>
      </c>
      <c r="E428" s="216">
        <v>2</v>
      </c>
      <c r="F428" s="218" t="s">
        <v>51</v>
      </c>
      <c r="G428" s="218" t="s">
        <v>42</v>
      </c>
      <c r="H428" s="74" t="s">
        <v>35</v>
      </c>
      <c r="I428" s="74" t="s">
        <v>123</v>
      </c>
      <c r="J428" s="74" t="s">
        <v>143</v>
      </c>
      <c r="K428" s="218" t="s">
        <v>38</v>
      </c>
      <c r="L428" s="66"/>
      <c r="M428" s="17"/>
      <c r="N428" s="17"/>
      <c r="O428" s="17"/>
      <c r="P428" s="293"/>
      <c r="Q428" s="295"/>
      <c r="R428" s="294"/>
      <c r="S428" s="18"/>
      <c r="T428" s="293"/>
      <c r="U428" s="295"/>
      <c r="V428" s="294"/>
      <c r="W428" s="18"/>
      <c r="X428" s="18"/>
      <c r="Y428" s="18"/>
      <c r="Z428" s="18"/>
    </row>
    <row r="429" spans="1:26" ht="16.5" customHeight="1" x14ac:dyDescent="0.35">
      <c r="A429" s="230"/>
      <c r="B429" s="236"/>
      <c r="C429" s="217"/>
      <c r="D429" s="217"/>
      <c r="E429" s="217"/>
      <c r="F429" s="217"/>
      <c r="G429" s="217"/>
      <c r="H429" s="74" t="s">
        <v>48</v>
      </c>
      <c r="I429" s="74" t="s">
        <v>59</v>
      </c>
      <c r="J429" s="74" t="s">
        <v>57</v>
      </c>
      <c r="K429" s="217"/>
      <c r="L429" s="66"/>
      <c r="M429" s="18"/>
      <c r="N429" s="18"/>
      <c r="O429" s="18"/>
      <c r="P429" s="284"/>
      <c r="Q429" s="284"/>
      <c r="R429" s="284"/>
      <c r="S429" s="18"/>
      <c r="T429" s="284"/>
      <c r="U429" s="284"/>
      <c r="V429" s="284"/>
      <c r="W429" s="18"/>
      <c r="X429" s="18"/>
      <c r="Y429" s="18"/>
      <c r="Z429" s="18"/>
    </row>
    <row r="430" spans="1:26" ht="16.5" customHeight="1" x14ac:dyDescent="0.35">
      <c r="A430" s="230"/>
      <c r="B430" s="236"/>
      <c r="C430" s="227" t="s">
        <v>276</v>
      </c>
      <c r="D430" s="218">
        <v>2</v>
      </c>
      <c r="E430" s="216">
        <v>2</v>
      </c>
      <c r="F430" s="218" t="s">
        <v>51</v>
      </c>
      <c r="G430" s="218" t="s">
        <v>45</v>
      </c>
      <c r="H430" s="74" t="s">
        <v>46</v>
      </c>
      <c r="I430" s="74" t="s">
        <v>123</v>
      </c>
      <c r="J430" s="74" t="s">
        <v>155</v>
      </c>
      <c r="K430" s="218" t="s">
        <v>54</v>
      </c>
      <c r="L430" s="66"/>
      <c r="M430" s="102"/>
      <c r="N430" s="102"/>
      <c r="O430" s="102"/>
      <c r="P430" s="293"/>
      <c r="Q430" s="295"/>
      <c r="R430" s="294"/>
      <c r="S430" s="18"/>
      <c r="T430" s="293"/>
      <c r="U430" s="295"/>
      <c r="V430" s="294"/>
      <c r="W430" s="18"/>
      <c r="X430" s="18"/>
      <c r="Y430" s="18"/>
      <c r="Z430" s="18"/>
    </row>
    <row r="431" spans="1:26" ht="16.5" customHeight="1" x14ac:dyDescent="0.35">
      <c r="A431" s="230"/>
      <c r="B431" s="236"/>
      <c r="C431" s="217"/>
      <c r="D431" s="217"/>
      <c r="E431" s="217"/>
      <c r="F431" s="217"/>
      <c r="G431" s="217"/>
      <c r="H431" s="74" t="s">
        <v>55</v>
      </c>
      <c r="I431" s="74" t="s">
        <v>277</v>
      </c>
      <c r="J431" s="74" t="s">
        <v>111</v>
      </c>
      <c r="K431" s="217"/>
      <c r="L431" s="66"/>
      <c r="M431" s="18"/>
      <c r="N431" s="18"/>
      <c r="O431" s="18"/>
      <c r="P431" s="284"/>
      <c r="Q431" s="284"/>
      <c r="R431" s="284"/>
      <c r="S431" s="18"/>
      <c r="T431" s="284"/>
      <c r="U431" s="284"/>
      <c r="V431" s="284"/>
      <c r="W431" s="18"/>
      <c r="X431" s="18"/>
      <c r="Y431" s="18"/>
      <c r="Z431" s="18"/>
    </row>
    <row r="432" spans="1:26" ht="16.5" customHeight="1" x14ac:dyDescent="0.35">
      <c r="A432" s="230"/>
      <c r="B432" s="236"/>
      <c r="C432" s="227" t="s">
        <v>278</v>
      </c>
      <c r="D432" s="218">
        <v>2</v>
      </c>
      <c r="E432" s="216">
        <v>1</v>
      </c>
      <c r="F432" s="218" t="s">
        <v>63</v>
      </c>
      <c r="G432" s="218" t="s">
        <v>34</v>
      </c>
      <c r="H432" s="74" t="s">
        <v>35</v>
      </c>
      <c r="I432" s="74" t="s">
        <v>56</v>
      </c>
      <c r="J432" s="74" t="s">
        <v>155</v>
      </c>
      <c r="K432" s="218" t="s">
        <v>54</v>
      </c>
      <c r="L432" s="66"/>
      <c r="M432" s="18"/>
      <c r="N432" s="18"/>
      <c r="O432" s="18"/>
      <c r="P432" s="293"/>
      <c r="Q432" s="295"/>
      <c r="R432" s="294"/>
      <c r="S432" s="18"/>
      <c r="T432" s="293"/>
      <c r="U432" s="295"/>
      <c r="V432" s="294"/>
      <c r="W432" s="18"/>
      <c r="X432" s="18"/>
      <c r="Y432" s="18"/>
      <c r="Z432" s="18"/>
    </row>
    <row r="433" spans="1:26" ht="16.5" customHeight="1" x14ac:dyDescent="0.35">
      <c r="A433" s="230"/>
      <c r="B433" s="236"/>
      <c r="C433" s="217"/>
      <c r="D433" s="217"/>
      <c r="E433" s="217"/>
      <c r="F433" s="217"/>
      <c r="G433" s="217"/>
      <c r="H433" s="74" t="s">
        <v>46</v>
      </c>
      <c r="I433" s="74" t="s">
        <v>56</v>
      </c>
      <c r="J433" s="74" t="s">
        <v>155</v>
      </c>
      <c r="K433" s="217"/>
      <c r="L433" s="66"/>
      <c r="M433" s="18"/>
      <c r="N433" s="18"/>
      <c r="O433" s="18"/>
      <c r="P433" s="284"/>
      <c r="Q433" s="284"/>
      <c r="R433" s="284"/>
      <c r="S433" s="18"/>
      <c r="T433" s="284"/>
      <c r="U433" s="284"/>
      <c r="V433" s="284"/>
      <c r="W433" s="18"/>
      <c r="X433" s="18"/>
      <c r="Y433" s="18"/>
      <c r="Z433" s="18"/>
    </row>
    <row r="434" spans="1:26" ht="16.5" customHeight="1" x14ac:dyDescent="0.35">
      <c r="A434" s="230"/>
      <c r="B434" s="236"/>
      <c r="C434" s="227" t="s">
        <v>279</v>
      </c>
      <c r="D434" s="218">
        <v>3</v>
      </c>
      <c r="E434" s="216">
        <v>1.5</v>
      </c>
      <c r="F434" s="218" t="s">
        <v>68</v>
      </c>
      <c r="G434" s="218" t="s">
        <v>64</v>
      </c>
      <c r="H434" s="74" t="s">
        <v>46</v>
      </c>
      <c r="I434" s="76" t="s">
        <v>108</v>
      </c>
      <c r="J434" s="76" t="s">
        <v>149</v>
      </c>
      <c r="K434" s="218" t="s">
        <v>38</v>
      </c>
      <c r="L434" s="66"/>
      <c r="M434" s="18"/>
      <c r="N434" s="18"/>
      <c r="O434" s="18"/>
      <c r="P434" s="293"/>
      <c r="Q434" s="295"/>
      <c r="R434" s="294"/>
      <c r="S434" s="18"/>
      <c r="T434" s="293"/>
      <c r="U434" s="295"/>
      <c r="V434" s="294"/>
      <c r="W434" s="18"/>
      <c r="X434" s="18"/>
      <c r="Y434" s="18"/>
      <c r="Z434" s="18"/>
    </row>
    <row r="435" spans="1:26" ht="16.5" customHeight="1" x14ac:dyDescent="0.35">
      <c r="A435" s="230"/>
      <c r="B435" s="237"/>
      <c r="C435" s="217"/>
      <c r="D435" s="217"/>
      <c r="E435" s="217"/>
      <c r="F435" s="217"/>
      <c r="G435" s="217"/>
      <c r="H435" s="74" t="s">
        <v>48</v>
      </c>
      <c r="I435" s="76" t="s">
        <v>108</v>
      </c>
      <c r="J435" s="76" t="s">
        <v>149</v>
      </c>
      <c r="K435" s="217"/>
      <c r="L435" s="66"/>
      <c r="M435" s="18"/>
      <c r="N435" s="18"/>
      <c r="O435" s="18"/>
      <c r="P435" s="284"/>
      <c r="Q435" s="284"/>
      <c r="R435" s="284"/>
      <c r="S435" s="18"/>
      <c r="T435" s="284"/>
      <c r="U435" s="284"/>
      <c r="V435" s="284"/>
      <c r="W435" s="18"/>
      <c r="X435" s="18"/>
      <c r="Y435" s="18"/>
      <c r="Z435" s="18"/>
    </row>
    <row r="436" spans="1:26" ht="16.5" customHeight="1" x14ac:dyDescent="0.35">
      <c r="A436" s="217"/>
      <c r="B436" s="228" t="s">
        <v>72</v>
      </c>
      <c r="C436" s="221"/>
      <c r="D436" s="222"/>
      <c r="E436" s="71">
        <f>SUM(E424:E435)</f>
        <v>11.5</v>
      </c>
      <c r="F436" s="220"/>
      <c r="G436" s="221"/>
      <c r="H436" s="221"/>
      <c r="I436" s="221"/>
      <c r="J436" s="221"/>
      <c r="K436" s="222"/>
      <c r="L436" s="66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6.5" customHeight="1" x14ac:dyDescent="0.35">
      <c r="A437" s="229">
        <v>27</v>
      </c>
      <c r="B437" s="238" t="s">
        <v>280</v>
      </c>
      <c r="C437" s="227" t="s">
        <v>281</v>
      </c>
      <c r="D437" s="218">
        <v>3</v>
      </c>
      <c r="E437" s="216">
        <v>3</v>
      </c>
      <c r="F437" s="218" t="s">
        <v>33</v>
      </c>
      <c r="G437" s="218" t="s">
        <v>101</v>
      </c>
      <c r="H437" s="74" t="s">
        <v>46</v>
      </c>
      <c r="I437" s="74" t="s">
        <v>40</v>
      </c>
      <c r="J437" s="74" t="s">
        <v>41</v>
      </c>
      <c r="K437" s="218" t="s">
        <v>54</v>
      </c>
      <c r="L437" s="66"/>
      <c r="M437" s="18"/>
      <c r="N437" s="18"/>
      <c r="O437" s="18"/>
      <c r="P437" s="293"/>
      <c r="Q437" s="295"/>
      <c r="R437" s="294"/>
      <c r="S437" s="18"/>
      <c r="T437" s="293"/>
      <c r="U437" s="295"/>
      <c r="V437" s="294"/>
      <c r="W437" s="18"/>
      <c r="X437" s="18"/>
      <c r="Y437" s="18"/>
      <c r="Z437" s="18"/>
    </row>
    <row r="438" spans="1:26" ht="16.5" customHeight="1" x14ac:dyDescent="0.35">
      <c r="A438" s="230"/>
      <c r="B438" s="230"/>
      <c r="C438" s="217"/>
      <c r="D438" s="217"/>
      <c r="E438" s="217"/>
      <c r="F438" s="217"/>
      <c r="G438" s="217"/>
      <c r="H438" s="74" t="s">
        <v>48</v>
      </c>
      <c r="I438" s="74" t="s">
        <v>40</v>
      </c>
      <c r="J438" s="74" t="s">
        <v>41</v>
      </c>
      <c r="K438" s="217"/>
      <c r="L438" s="66"/>
      <c r="M438" s="18"/>
      <c r="N438" s="18"/>
      <c r="O438" s="18"/>
      <c r="P438" s="284"/>
      <c r="Q438" s="284"/>
      <c r="R438" s="284"/>
      <c r="S438" s="18"/>
      <c r="T438" s="284"/>
      <c r="U438" s="284"/>
      <c r="V438" s="284"/>
      <c r="W438" s="18"/>
      <c r="X438" s="18"/>
      <c r="Y438" s="18"/>
      <c r="Z438" s="18"/>
    </row>
    <row r="439" spans="1:26" ht="16.5" customHeight="1" x14ac:dyDescent="0.35">
      <c r="A439" s="230"/>
      <c r="B439" s="230"/>
      <c r="C439" s="227" t="s">
        <v>281</v>
      </c>
      <c r="D439" s="218">
        <v>3</v>
      </c>
      <c r="E439" s="216">
        <v>3</v>
      </c>
      <c r="F439" s="218" t="s">
        <v>33</v>
      </c>
      <c r="G439" s="218" t="s">
        <v>64</v>
      </c>
      <c r="H439" s="74" t="s">
        <v>39</v>
      </c>
      <c r="I439" s="74" t="s">
        <v>36</v>
      </c>
      <c r="J439" s="74" t="s">
        <v>41</v>
      </c>
      <c r="K439" s="218" t="s">
        <v>54</v>
      </c>
      <c r="L439" s="66"/>
      <c r="M439" s="18"/>
      <c r="N439" s="18"/>
      <c r="O439" s="18"/>
      <c r="P439" s="293"/>
      <c r="Q439" s="295"/>
      <c r="R439" s="294"/>
      <c r="S439" s="18"/>
      <c r="T439" s="293"/>
      <c r="U439" s="295"/>
      <c r="V439" s="294"/>
      <c r="W439" s="18"/>
      <c r="X439" s="18"/>
      <c r="Y439" s="18"/>
      <c r="Z439" s="18"/>
    </row>
    <row r="440" spans="1:26" ht="16.5" customHeight="1" x14ac:dyDescent="0.35">
      <c r="A440" s="230"/>
      <c r="B440" s="230"/>
      <c r="C440" s="217"/>
      <c r="D440" s="217"/>
      <c r="E440" s="217"/>
      <c r="F440" s="217"/>
      <c r="G440" s="217"/>
      <c r="H440" s="74" t="s">
        <v>55</v>
      </c>
      <c r="I440" s="74" t="s">
        <v>36</v>
      </c>
      <c r="J440" s="74" t="s">
        <v>41</v>
      </c>
      <c r="K440" s="217"/>
      <c r="L440" s="66"/>
      <c r="M440" s="18"/>
      <c r="N440" s="18"/>
      <c r="O440" s="18"/>
      <c r="P440" s="284"/>
      <c r="Q440" s="284"/>
      <c r="R440" s="284"/>
      <c r="S440" s="18"/>
      <c r="T440" s="284"/>
      <c r="U440" s="284"/>
      <c r="V440" s="284"/>
      <c r="W440" s="18"/>
      <c r="X440" s="18"/>
      <c r="Y440" s="18"/>
      <c r="Z440" s="18"/>
    </row>
    <row r="441" spans="1:26" ht="16.5" customHeight="1" x14ac:dyDescent="0.35">
      <c r="A441" s="230"/>
      <c r="B441" s="230"/>
      <c r="C441" s="227" t="s">
        <v>99</v>
      </c>
      <c r="D441" s="218">
        <v>3</v>
      </c>
      <c r="E441" s="216">
        <v>3</v>
      </c>
      <c r="F441" s="218" t="s">
        <v>33</v>
      </c>
      <c r="G441" s="218" t="s">
        <v>136</v>
      </c>
      <c r="H441" s="74" t="s">
        <v>35</v>
      </c>
      <c r="I441" s="74" t="s">
        <v>36</v>
      </c>
      <c r="J441" s="74" t="s">
        <v>41</v>
      </c>
      <c r="K441" s="218" t="s">
        <v>38</v>
      </c>
      <c r="L441" s="66"/>
      <c r="M441" s="18"/>
      <c r="N441" s="18"/>
      <c r="O441" s="18"/>
      <c r="P441" s="293"/>
      <c r="Q441" s="295"/>
      <c r="R441" s="294"/>
      <c r="S441" s="18"/>
      <c r="T441" s="293"/>
      <c r="U441" s="295"/>
      <c r="V441" s="294"/>
      <c r="W441" s="18"/>
      <c r="X441" s="18"/>
      <c r="Y441" s="18"/>
      <c r="Z441" s="18"/>
    </row>
    <row r="442" spans="1:26" ht="16.5" customHeight="1" x14ac:dyDescent="0.35">
      <c r="A442" s="230"/>
      <c r="B442" s="230"/>
      <c r="C442" s="217"/>
      <c r="D442" s="217"/>
      <c r="E442" s="217"/>
      <c r="F442" s="217"/>
      <c r="G442" s="217"/>
      <c r="H442" s="74" t="s">
        <v>39</v>
      </c>
      <c r="I442" s="74" t="s">
        <v>36</v>
      </c>
      <c r="J442" s="74" t="s">
        <v>41</v>
      </c>
      <c r="K442" s="217"/>
      <c r="L442" s="66"/>
      <c r="M442" s="18"/>
      <c r="N442" s="18"/>
      <c r="O442" s="18"/>
      <c r="P442" s="284"/>
      <c r="Q442" s="284"/>
      <c r="R442" s="284"/>
      <c r="S442" s="18"/>
      <c r="T442" s="284"/>
      <c r="U442" s="284"/>
      <c r="V442" s="284"/>
      <c r="W442" s="18"/>
      <c r="X442" s="18"/>
      <c r="Y442" s="18"/>
      <c r="Z442" s="18"/>
    </row>
    <row r="443" spans="1:26" ht="16.5" customHeight="1" x14ac:dyDescent="0.35">
      <c r="A443" s="230"/>
      <c r="B443" s="230"/>
      <c r="C443" s="227" t="s">
        <v>282</v>
      </c>
      <c r="D443" s="218">
        <v>2</v>
      </c>
      <c r="E443" s="216">
        <v>2</v>
      </c>
      <c r="F443" s="218" t="s">
        <v>33</v>
      </c>
      <c r="G443" s="218" t="s">
        <v>34</v>
      </c>
      <c r="H443" s="74" t="s">
        <v>35</v>
      </c>
      <c r="I443" s="74" t="s">
        <v>40</v>
      </c>
      <c r="J443" s="74" t="s">
        <v>47</v>
      </c>
      <c r="K443" s="218" t="s">
        <v>38</v>
      </c>
      <c r="L443" s="66"/>
      <c r="M443" s="18"/>
      <c r="N443" s="18"/>
      <c r="O443" s="18"/>
      <c r="P443" s="293"/>
      <c r="Q443" s="295"/>
      <c r="R443" s="294"/>
      <c r="S443" s="18"/>
      <c r="T443" s="293"/>
      <c r="U443" s="295"/>
      <c r="V443" s="294"/>
      <c r="W443" s="18"/>
      <c r="X443" s="18"/>
      <c r="Y443" s="18"/>
      <c r="Z443" s="18"/>
    </row>
    <row r="444" spans="1:26" ht="16.5" customHeight="1" x14ac:dyDescent="0.35">
      <c r="A444" s="230"/>
      <c r="B444" s="230"/>
      <c r="C444" s="217"/>
      <c r="D444" s="217"/>
      <c r="E444" s="217"/>
      <c r="F444" s="217"/>
      <c r="G444" s="217"/>
      <c r="H444" s="74" t="s">
        <v>39</v>
      </c>
      <c r="I444" s="74" t="s">
        <v>40</v>
      </c>
      <c r="J444" s="74" t="s">
        <v>92</v>
      </c>
      <c r="K444" s="217"/>
      <c r="L444" s="66"/>
      <c r="M444" s="18"/>
      <c r="N444" s="18"/>
      <c r="O444" s="18"/>
      <c r="P444" s="284"/>
      <c r="Q444" s="284"/>
      <c r="R444" s="284"/>
      <c r="S444" s="18"/>
      <c r="T444" s="284"/>
      <c r="U444" s="284"/>
      <c r="V444" s="284"/>
      <c r="W444" s="18"/>
      <c r="X444" s="18"/>
      <c r="Y444" s="18"/>
      <c r="Z444" s="18"/>
    </row>
    <row r="445" spans="1:26" ht="16.5" customHeight="1" x14ac:dyDescent="0.35">
      <c r="A445" s="230"/>
      <c r="B445" s="230"/>
      <c r="C445" s="227" t="s">
        <v>282</v>
      </c>
      <c r="D445" s="218">
        <v>2</v>
      </c>
      <c r="E445" s="216">
        <v>2</v>
      </c>
      <c r="F445" s="218" t="s">
        <v>33</v>
      </c>
      <c r="G445" s="218" t="s">
        <v>42</v>
      </c>
      <c r="H445" s="74" t="s">
        <v>46</v>
      </c>
      <c r="I445" s="74" t="s">
        <v>36</v>
      </c>
      <c r="J445" s="74" t="s">
        <v>37</v>
      </c>
      <c r="K445" s="218" t="s">
        <v>38</v>
      </c>
      <c r="L445" s="66"/>
      <c r="M445" s="22"/>
      <c r="N445" s="22"/>
      <c r="O445" s="102"/>
      <c r="P445" s="293"/>
      <c r="Q445" s="295"/>
      <c r="R445" s="294"/>
      <c r="S445" s="18"/>
      <c r="T445" s="293"/>
      <c r="U445" s="295"/>
      <c r="V445" s="294"/>
      <c r="W445" s="18"/>
      <c r="X445" s="18"/>
      <c r="Y445" s="18"/>
      <c r="Z445" s="18"/>
    </row>
    <row r="446" spans="1:26" ht="16.5" customHeight="1" x14ac:dyDescent="0.35">
      <c r="A446" s="230"/>
      <c r="B446" s="230"/>
      <c r="C446" s="217"/>
      <c r="D446" s="217"/>
      <c r="E446" s="217"/>
      <c r="F446" s="217"/>
      <c r="G446" s="217"/>
      <c r="H446" s="74" t="s">
        <v>48</v>
      </c>
      <c r="I446" s="74" t="s">
        <v>66</v>
      </c>
      <c r="J446" s="74" t="s">
        <v>37</v>
      </c>
      <c r="K446" s="217"/>
      <c r="L446" s="66"/>
      <c r="M446" s="18"/>
      <c r="N446" s="18"/>
      <c r="O446" s="18"/>
      <c r="P446" s="284"/>
      <c r="Q446" s="284"/>
      <c r="R446" s="284"/>
      <c r="S446" s="18"/>
      <c r="T446" s="284"/>
      <c r="U446" s="284"/>
      <c r="V446" s="284"/>
      <c r="W446" s="18"/>
      <c r="X446" s="18"/>
      <c r="Y446" s="18"/>
      <c r="Z446" s="18"/>
    </row>
    <row r="447" spans="1:26" ht="16.5" customHeight="1" x14ac:dyDescent="0.35">
      <c r="A447" s="230"/>
      <c r="B447" s="230"/>
      <c r="C447" s="227" t="s">
        <v>282</v>
      </c>
      <c r="D447" s="218">
        <v>2</v>
      </c>
      <c r="E447" s="216">
        <v>2</v>
      </c>
      <c r="F447" s="218" t="s">
        <v>33</v>
      </c>
      <c r="G447" s="218" t="s">
        <v>45</v>
      </c>
      <c r="H447" s="74" t="s">
        <v>46</v>
      </c>
      <c r="I447" s="74" t="s">
        <v>44</v>
      </c>
      <c r="J447" s="74" t="s">
        <v>47</v>
      </c>
      <c r="K447" s="218" t="s">
        <v>38</v>
      </c>
      <c r="L447" s="66"/>
      <c r="M447" s="18"/>
      <c r="N447" s="18"/>
      <c r="O447" s="18"/>
      <c r="P447" s="293"/>
      <c r="Q447" s="295"/>
      <c r="R447" s="294"/>
      <c r="S447" s="18"/>
      <c r="T447" s="293"/>
      <c r="U447" s="295"/>
      <c r="V447" s="294"/>
      <c r="W447" s="18"/>
      <c r="X447" s="18"/>
      <c r="Y447" s="18"/>
      <c r="Z447" s="18"/>
    </row>
    <row r="448" spans="1:26" ht="16.5" customHeight="1" x14ac:dyDescent="0.35">
      <c r="A448" s="230"/>
      <c r="B448" s="230"/>
      <c r="C448" s="217"/>
      <c r="D448" s="217"/>
      <c r="E448" s="217"/>
      <c r="F448" s="217"/>
      <c r="G448" s="217"/>
      <c r="H448" s="74" t="s">
        <v>48</v>
      </c>
      <c r="I448" s="74" t="s">
        <v>44</v>
      </c>
      <c r="J448" s="74" t="s">
        <v>37</v>
      </c>
      <c r="K448" s="217"/>
      <c r="L448" s="66"/>
      <c r="M448" s="18"/>
      <c r="N448" s="18"/>
      <c r="O448" s="18"/>
      <c r="P448" s="284"/>
      <c r="Q448" s="284"/>
      <c r="R448" s="284"/>
      <c r="S448" s="18"/>
      <c r="T448" s="284"/>
      <c r="U448" s="284"/>
      <c r="V448" s="284"/>
      <c r="W448" s="18"/>
      <c r="X448" s="18"/>
      <c r="Y448" s="18"/>
      <c r="Z448" s="18"/>
    </row>
    <row r="449" spans="1:26" ht="16.5" customHeight="1" x14ac:dyDescent="0.35">
      <c r="A449" s="230"/>
      <c r="B449" s="230"/>
      <c r="C449" s="227" t="s">
        <v>282</v>
      </c>
      <c r="D449" s="218">
        <v>2</v>
      </c>
      <c r="E449" s="216">
        <v>2</v>
      </c>
      <c r="F449" s="218" t="s">
        <v>33</v>
      </c>
      <c r="G449" s="218" t="s">
        <v>49</v>
      </c>
      <c r="H449" s="74" t="s">
        <v>46</v>
      </c>
      <c r="I449" s="74" t="s">
        <v>44</v>
      </c>
      <c r="J449" s="74" t="s">
        <v>37</v>
      </c>
      <c r="K449" s="218" t="s">
        <v>38</v>
      </c>
      <c r="L449" s="66"/>
      <c r="M449" s="18"/>
      <c r="N449" s="18"/>
      <c r="O449" s="18"/>
      <c r="P449" s="293"/>
      <c r="Q449" s="295"/>
      <c r="R449" s="294"/>
      <c r="S449" s="18"/>
      <c r="T449" s="293"/>
      <c r="U449" s="295"/>
      <c r="V449" s="294"/>
      <c r="W449" s="18"/>
      <c r="X449" s="18"/>
      <c r="Y449" s="18"/>
      <c r="Z449" s="18"/>
    </row>
    <row r="450" spans="1:26" ht="16.5" customHeight="1" x14ac:dyDescent="0.35">
      <c r="A450" s="230"/>
      <c r="B450" s="217"/>
      <c r="C450" s="217"/>
      <c r="D450" s="217"/>
      <c r="E450" s="217"/>
      <c r="F450" s="217"/>
      <c r="G450" s="217"/>
      <c r="H450" s="74" t="s">
        <v>55</v>
      </c>
      <c r="I450" s="74" t="s">
        <v>36</v>
      </c>
      <c r="J450" s="74" t="s">
        <v>37</v>
      </c>
      <c r="K450" s="217"/>
      <c r="L450" s="66"/>
      <c r="M450" s="18"/>
      <c r="N450" s="18"/>
      <c r="O450" s="18"/>
      <c r="P450" s="284"/>
      <c r="Q450" s="284"/>
      <c r="R450" s="284"/>
      <c r="S450" s="18"/>
      <c r="T450" s="284"/>
      <c r="U450" s="284"/>
      <c r="V450" s="284"/>
      <c r="W450" s="18"/>
      <c r="X450" s="18"/>
      <c r="Y450" s="18"/>
      <c r="Z450" s="18"/>
    </row>
    <row r="451" spans="1:26" ht="16.5" customHeight="1" x14ac:dyDescent="0.35">
      <c r="A451" s="217"/>
      <c r="B451" s="228" t="s">
        <v>72</v>
      </c>
      <c r="C451" s="221"/>
      <c r="D451" s="222"/>
      <c r="E451" s="71">
        <f>SUM(E437:E450)</f>
        <v>17</v>
      </c>
      <c r="F451" s="220"/>
      <c r="G451" s="221"/>
      <c r="H451" s="221"/>
      <c r="I451" s="221"/>
      <c r="J451" s="221"/>
      <c r="K451" s="222"/>
      <c r="L451" s="66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6.5" customHeight="1" x14ac:dyDescent="0.35">
      <c r="A452" s="229">
        <v>28</v>
      </c>
      <c r="B452" s="238" t="s">
        <v>283</v>
      </c>
      <c r="C452" s="227" t="s">
        <v>109</v>
      </c>
      <c r="D452" s="218">
        <v>3</v>
      </c>
      <c r="E452" s="216">
        <v>3</v>
      </c>
      <c r="F452" s="218" t="s">
        <v>106</v>
      </c>
      <c r="G452" s="218" t="s">
        <v>42</v>
      </c>
      <c r="H452" s="74" t="s">
        <v>35</v>
      </c>
      <c r="I452" s="74" t="s">
        <v>40</v>
      </c>
      <c r="J452" s="74" t="s">
        <v>92</v>
      </c>
      <c r="K452" s="218" t="s">
        <v>38</v>
      </c>
      <c r="L452" s="66"/>
      <c r="M452" s="22"/>
      <c r="N452" s="22"/>
      <c r="O452" s="22"/>
      <c r="P452" s="293"/>
      <c r="Q452" s="295"/>
      <c r="R452" s="294"/>
      <c r="S452" s="103"/>
      <c r="T452" s="293"/>
      <c r="U452" s="295"/>
      <c r="V452" s="294"/>
      <c r="W452" s="18"/>
      <c r="X452" s="18"/>
      <c r="Y452" s="18"/>
      <c r="Z452" s="18"/>
    </row>
    <row r="453" spans="1:26" ht="16.5" customHeight="1" x14ac:dyDescent="0.35">
      <c r="A453" s="230"/>
      <c r="B453" s="230"/>
      <c r="C453" s="217"/>
      <c r="D453" s="217"/>
      <c r="E453" s="217"/>
      <c r="F453" s="217"/>
      <c r="G453" s="217"/>
      <c r="H453" s="74" t="s">
        <v>46</v>
      </c>
      <c r="I453" s="74" t="s">
        <v>40</v>
      </c>
      <c r="J453" s="74" t="s">
        <v>37</v>
      </c>
      <c r="K453" s="217"/>
      <c r="L453" s="66"/>
      <c r="M453" s="18"/>
      <c r="N453" s="18"/>
      <c r="O453" s="18"/>
      <c r="P453" s="284"/>
      <c r="Q453" s="284"/>
      <c r="R453" s="284"/>
      <c r="S453" s="37"/>
      <c r="T453" s="284"/>
      <c r="U453" s="284"/>
      <c r="V453" s="284"/>
      <c r="W453" s="18"/>
      <c r="X453" s="18"/>
      <c r="Y453" s="18"/>
      <c r="Z453" s="18"/>
    </row>
    <row r="454" spans="1:26" ht="16.5" customHeight="1" x14ac:dyDescent="0.35">
      <c r="A454" s="230"/>
      <c r="B454" s="230"/>
      <c r="C454" s="227" t="s">
        <v>284</v>
      </c>
      <c r="D454" s="218">
        <v>3</v>
      </c>
      <c r="E454" s="216">
        <v>3</v>
      </c>
      <c r="F454" s="218" t="s">
        <v>51</v>
      </c>
      <c r="G454" s="218" t="s">
        <v>136</v>
      </c>
      <c r="H454" s="74" t="s">
        <v>35</v>
      </c>
      <c r="I454" s="74" t="s">
        <v>44</v>
      </c>
      <c r="J454" s="74" t="s">
        <v>160</v>
      </c>
      <c r="K454" s="218" t="s">
        <v>38</v>
      </c>
      <c r="L454" s="66"/>
      <c r="M454" s="18"/>
      <c r="N454" s="18"/>
      <c r="O454" s="18"/>
      <c r="P454" s="293"/>
      <c r="Q454" s="295"/>
      <c r="R454" s="294"/>
      <c r="S454" s="18"/>
      <c r="T454" s="299"/>
      <c r="U454" s="18"/>
      <c r="V454" s="300"/>
      <c r="W454" s="18"/>
      <c r="X454" s="18"/>
      <c r="Y454" s="18"/>
      <c r="Z454" s="18"/>
    </row>
    <row r="455" spans="1:26" ht="16.5" customHeight="1" x14ac:dyDescent="0.35">
      <c r="A455" s="230"/>
      <c r="B455" s="230"/>
      <c r="C455" s="217"/>
      <c r="D455" s="217"/>
      <c r="E455" s="217"/>
      <c r="F455" s="217"/>
      <c r="G455" s="217"/>
      <c r="H455" s="74" t="s">
        <v>55</v>
      </c>
      <c r="I455" s="74" t="s">
        <v>36</v>
      </c>
      <c r="J455" s="74" t="s">
        <v>160</v>
      </c>
      <c r="K455" s="217"/>
      <c r="L455" s="66"/>
      <c r="M455" s="18"/>
      <c r="N455" s="18"/>
      <c r="O455" s="18"/>
      <c r="P455" s="284"/>
      <c r="Q455" s="284"/>
      <c r="R455" s="284"/>
      <c r="S455" s="18"/>
      <c r="T455" s="289"/>
      <c r="U455" s="18"/>
      <c r="V455" s="289"/>
      <c r="W455" s="18"/>
      <c r="X455" s="18"/>
      <c r="Y455" s="18"/>
      <c r="Z455" s="18"/>
    </row>
    <row r="456" spans="1:26" ht="16.5" customHeight="1" x14ac:dyDescent="0.35">
      <c r="A456" s="230"/>
      <c r="B456" s="230"/>
      <c r="C456" s="227" t="s">
        <v>220</v>
      </c>
      <c r="D456" s="218">
        <v>3</v>
      </c>
      <c r="E456" s="216">
        <v>3</v>
      </c>
      <c r="F456" s="218" t="s">
        <v>51</v>
      </c>
      <c r="G456" s="218" t="s">
        <v>42</v>
      </c>
      <c r="H456" s="74" t="s">
        <v>35</v>
      </c>
      <c r="I456" s="74" t="s">
        <v>36</v>
      </c>
      <c r="J456" s="74" t="s">
        <v>133</v>
      </c>
      <c r="K456" s="218" t="s">
        <v>38</v>
      </c>
      <c r="L456" s="66"/>
      <c r="M456" s="17"/>
      <c r="N456" s="17"/>
      <c r="O456" s="17"/>
      <c r="P456" s="293"/>
      <c r="Q456" s="295"/>
      <c r="R456" s="294"/>
      <c r="S456" s="18"/>
      <c r="T456" s="293"/>
      <c r="U456" s="295"/>
      <c r="V456" s="294"/>
      <c r="W456" s="18"/>
      <c r="X456" s="18"/>
      <c r="Y456" s="18"/>
      <c r="Z456" s="18"/>
    </row>
    <row r="457" spans="1:26" ht="16.5" customHeight="1" x14ac:dyDescent="0.35">
      <c r="A457" s="217"/>
      <c r="B457" s="217"/>
      <c r="C457" s="219"/>
      <c r="D457" s="219"/>
      <c r="E457" s="219"/>
      <c r="F457" s="219"/>
      <c r="G457" s="219"/>
      <c r="H457" s="84" t="s">
        <v>46</v>
      </c>
      <c r="I457" s="84" t="s">
        <v>36</v>
      </c>
      <c r="J457" s="84" t="s">
        <v>160</v>
      </c>
      <c r="K457" s="219"/>
      <c r="L457" s="66"/>
      <c r="M457" s="7"/>
      <c r="N457" s="7"/>
      <c r="O457" s="17"/>
      <c r="P457" s="284"/>
      <c r="Q457" s="284"/>
      <c r="R457" s="284"/>
      <c r="S457" s="18"/>
      <c r="T457" s="284"/>
      <c r="U457" s="284"/>
      <c r="V457" s="284"/>
      <c r="W457" s="18"/>
      <c r="X457" s="18"/>
      <c r="Y457" s="18"/>
      <c r="Z457" s="18"/>
    </row>
    <row r="458" spans="1:26" ht="16.5" customHeight="1" x14ac:dyDescent="0.35">
      <c r="A458" s="104"/>
      <c r="B458" s="59"/>
      <c r="C458" s="60"/>
      <c r="D458" s="61"/>
      <c r="E458" s="62"/>
      <c r="F458" s="61"/>
      <c r="G458" s="61"/>
      <c r="H458" s="61"/>
      <c r="I458" s="61"/>
      <c r="J458" s="61"/>
      <c r="K458" s="61"/>
      <c r="L458" s="66"/>
      <c r="M458" s="7"/>
      <c r="N458" s="7"/>
      <c r="O458" s="17"/>
      <c r="P458" s="7"/>
      <c r="Q458" s="7"/>
      <c r="R458" s="7"/>
      <c r="S458" s="18"/>
      <c r="T458" s="7"/>
      <c r="U458" s="7"/>
      <c r="V458" s="7"/>
      <c r="W458" s="18"/>
      <c r="X458" s="18"/>
      <c r="Y458" s="18"/>
      <c r="Z458" s="18"/>
    </row>
    <row r="459" spans="1:26" ht="16.5" customHeight="1" x14ac:dyDescent="0.35">
      <c r="A459" s="105"/>
      <c r="B459" s="65"/>
      <c r="C459" s="66"/>
      <c r="D459" s="67"/>
      <c r="E459" s="68"/>
      <c r="F459" s="67"/>
      <c r="G459" s="67"/>
      <c r="H459" s="67"/>
      <c r="I459" s="67"/>
      <c r="J459" s="67"/>
      <c r="K459" s="67"/>
      <c r="L459" s="66"/>
      <c r="M459" s="7"/>
      <c r="N459" s="7"/>
      <c r="O459" s="17"/>
      <c r="P459" s="7"/>
      <c r="Q459" s="7"/>
      <c r="R459" s="7"/>
      <c r="S459" s="18"/>
      <c r="T459" s="7"/>
      <c r="U459" s="7"/>
      <c r="V459" s="7"/>
      <c r="W459" s="18"/>
      <c r="X459" s="18"/>
      <c r="Y459" s="18"/>
      <c r="Z459" s="18"/>
    </row>
    <row r="460" spans="1:26" ht="16.5" customHeight="1" x14ac:dyDescent="0.35">
      <c r="A460" s="105"/>
      <c r="B460" s="65"/>
      <c r="C460" s="66"/>
      <c r="D460" s="67"/>
      <c r="E460" s="68"/>
      <c r="F460" s="67"/>
      <c r="G460" s="67"/>
      <c r="H460" s="67"/>
      <c r="I460" s="67"/>
      <c r="J460" s="67"/>
      <c r="K460" s="67"/>
      <c r="L460" s="66"/>
      <c r="M460" s="7"/>
      <c r="N460" s="7"/>
      <c r="O460" s="17"/>
      <c r="P460" s="7"/>
      <c r="Q460" s="7"/>
      <c r="R460" s="7"/>
      <c r="S460" s="18"/>
      <c r="T460" s="7"/>
      <c r="U460" s="7"/>
      <c r="V460" s="7"/>
      <c r="W460" s="18"/>
      <c r="X460" s="18"/>
      <c r="Y460" s="18"/>
      <c r="Z460" s="18"/>
    </row>
    <row r="461" spans="1:26" ht="16.5" customHeight="1" x14ac:dyDescent="0.35">
      <c r="A461" s="105"/>
      <c r="B461" s="65"/>
      <c r="C461" s="66"/>
      <c r="D461" s="67"/>
      <c r="E461" s="68"/>
      <c r="F461" s="67"/>
      <c r="G461" s="67"/>
      <c r="H461" s="67"/>
      <c r="I461" s="67"/>
      <c r="J461" s="67"/>
      <c r="K461" s="67"/>
      <c r="L461" s="66"/>
      <c r="M461" s="7"/>
      <c r="N461" s="7"/>
      <c r="O461" s="17"/>
      <c r="P461" s="7"/>
      <c r="Q461" s="7"/>
      <c r="R461" s="7"/>
      <c r="S461" s="18"/>
      <c r="T461" s="7"/>
      <c r="U461" s="7"/>
      <c r="V461" s="7"/>
      <c r="W461" s="18"/>
      <c r="X461" s="18"/>
      <c r="Y461" s="18"/>
      <c r="Z461" s="18"/>
    </row>
    <row r="462" spans="1:26" ht="16.5" customHeight="1" x14ac:dyDescent="0.35">
      <c r="A462" s="105"/>
      <c r="B462" s="65"/>
      <c r="C462" s="66"/>
      <c r="D462" s="67"/>
      <c r="E462" s="68"/>
      <c r="F462" s="67"/>
      <c r="G462" s="67"/>
      <c r="H462" s="67"/>
      <c r="I462" s="67"/>
      <c r="J462" s="67"/>
      <c r="K462" s="67"/>
      <c r="L462" s="66"/>
      <c r="M462" s="7"/>
      <c r="N462" s="7"/>
      <c r="O462" s="17"/>
      <c r="P462" s="7"/>
      <c r="Q462" s="7"/>
      <c r="R462" s="7"/>
      <c r="S462" s="18"/>
      <c r="T462" s="7"/>
      <c r="U462" s="7"/>
      <c r="V462" s="7"/>
      <c r="W462" s="18"/>
      <c r="X462" s="18"/>
      <c r="Y462" s="18"/>
      <c r="Z462" s="18"/>
    </row>
    <row r="463" spans="1:26" ht="16.5" customHeight="1" x14ac:dyDescent="0.35">
      <c r="A463" s="105"/>
      <c r="B463" s="65"/>
      <c r="C463" s="66"/>
      <c r="D463" s="67"/>
      <c r="E463" s="68"/>
      <c r="F463" s="67"/>
      <c r="G463" s="67"/>
      <c r="H463" s="67"/>
      <c r="I463" s="67"/>
      <c r="J463" s="67"/>
      <c r="K463" s="67"/>
      <c r="L463" s="66"/>
      <c r="M463" s="7"/>
      <c r="N463" s="7"/>
      <c r="O463" s="17"/>
      <c r="P463" s="7"/>
      <c r="Q463" s="7"/>
      <c r="R463" s="7"/>
      <c r="S463" s="18"/>
      <c r="T463" s="7"/>
      <c r="U463" s="7"/>
      <c r="V463" s="7"/>
      <c r="W463" s="18"/>
      <c r="X463" s="18"/>
      <c r="Y463" s="18"/>
      <c r="Z463" s="18"/>
    </row>
    <row r="464" spans="1:26" ht="16.5" customHeight="1" x14ac:dyDescent="0.35">
      <c r="A464" s="223" t="s">
        <v>7</v>
      </c>
      <c r="B464" s="223" t="s">
        <v>8</v>
      </c>
      <c r="C464" s="223" t="s">
        <v>9</v>
      </c>
      <c r="D464" s="220" t="s">
        <v>10</v>
      </c>
      <c r="E464" s="222"/>
      <c r="F464" s="223" t="s">
        <v>11</v>
      </c>
      <c r="G464" s="223" t="s">
        <v>12</v>
      </c>
      <c r="H464" s="226" t="s">
        <v>13</v>
      </c>
      <c r="I464" s="221"/>
      <c r="J464" s="221"/>
      <c r="K464" s="222"/>
      <c r="L464" s="66"/>
      <c r="M464" s="7"/>
      <c r="N464" s="7"/>
      <c r="O464" s="17"/>
      <c r="P464" s="7"/>
      <c r="Q464" s="7"/>
      <c r="R464" s="7"/>
      <c r="S464" s="18"/>
      <c r="T464" s="7"/>
      <c r="U464" s="7"/>
      <c r="V464" s="7"/>
      <c r="W464" s="18"/>
      <c r="X464" s="18"/>
      <c r="Y464" s="18"/>
      <c r="Z464" s="18"/>
    </row>
    <row r="465" spans="1:26" ht="16.5" customHeight="1" x14ac:dyDescent="0.35">
      <c r="A465" s="217"/>
      <c r="B465" s="217"/>
      <c r="C465" s="217"/>
      <c r="D465" s="70" t="s">
        <v>14</v>
      </c>
      <c r="E465" s="71" t="s">
        <v>15</v>
      </c>
      <c r="F465" s="217"/>
      <c r="G465" s="217"/>
      <c r="H465" s="70" t="s">
        <v>16</v>
      </c>
      <c r="I465" s="70" t="s">
        <v>17</v>
      </c>
      <c r="J465" s="70" t="s">
        <v>18</v>
      </c>
      <c r="K465" s="70" t="s">
        <v>19</v>
      </c>
      <c r="L465" s="66"/>
      <c r="M465" s="7"/>
      <c r="N465" s="7"/>
      <c r="O465" s="17"/>
      <c r="P465" s="7"/>
      <c r="Q465" s="7"/>
      <c r="R465" s="7"/>
      <c r="S465" s="18"/>
      <c r="T465" s="7"/>
      <c r="U465" s="7"/>
      <c r="V465" s="7"/>
      <c r="W465" s="18"/>
      <c r="X465" s="18"/>
      <c r="Y465" s="18"/>
      <c r="Z465" s="18"/>
    </row>
    <row r="466" spans="1:26" ht="16.5" customHeight="1" x14ac:dyDescent="0.35">
      <c r="A466" s="72" t="s">
        <v>20</v>
      </c>
      <c r="B466" s="73" t="s">
        <v>21</v>
      </c>
      <c r="C466" s="73" t="s">
        <v>22</v>
      </c>
      <c r="D466" s="70" t="s">
        <v>23</v>
      </c>
      <c r="E466" s="71" t="s">
        <v>24</v>
      </c>
      <c r="F466" s="70" t="s">
        <v>25</v>
      </c>
      <c r="G466" s="70" t="s">
        <v>26</v>
      </c>
      <c r="H466" s="70" t="s">
        <v>27</v>
      </c>
      <c r="I466" s="70" t="s">
        <v>28</v>
      </c>
      <c r="J466" s="70" t="s">
        <v>29</v>
      </c>
      <c r="K466" s="70" t="s">
        <v>30</v>
      </c>
      <c r="L466" s="66"/>
      <c r="M466" s="7"/>
      <c r="N466" s="7"/>
      <c r="O466" s="17"/>
      <c r="P466" s="7"/>
      <c r="Q466" s="7"/>
      <c r="R466" s="7"/>
      <c r="S466" s="18"/>
      <c r="T466" s="7"/>
      <c r="U466" s="7"/>
      <c r="V466" s="7"/>
      <c r="W466" s="18"/>
      <c r="X466" s="18"/>
      <c r="Y466" s="18"/>
      <c r="Z466" s="18"/>
    </row>
    <row r="467" spans="1:26" ht="16.5" customHeight="1" x14ac:dyDescent="0.35">
      <c r="A467" s="229">
        <v>28</v>
      </c>
      <c r="B467" s="238" t="s">
        <v>283</v>
      </c>
      <c r="C467" s="245" t="s">
        <v>109</v>
      </c>
      <c r="D467" s="224">
        <v>3</v>
      </c>
      <c r="E467" s="225">
        <v>3</v>
      </c>
      <c r="F467" s="224" t="s">
        <v>51</v>
      </c>
      <c r="G467" s="224" t="s">
        <v>45</v>
      </c>
      <c r="H467" s="85" t="s">
        <v>35</v>
      </c>
      <c r="I467" s="85" t="s">
        <v>40</v>
      </c>
      <c r="J467" s="85" t="s">
        <v>65</v>
      </c>
      <c r="K467" s="224" t="s">
        <v>54</v>
      </c>
      <c r="L467" s="66"/>
      <c r="M467" s="17"/>
      <c r="N467" s="17"/>
      <c r="O467" s="17"/>
      <c r="P467" s="293"/>
      <c r="Q467" s="295"/>
      <c r="R467" s="294"/>
      <c r="S467" s="18"/>
      <c r="T467" s="293"/>
      <c r="U467" s="295"/>
      <c r="V467" s="294"/>
      <c r="W467" s="18"/>
      <c r="X467" s="18"/>
      <c r="Y467" s="18"/>
      <c r="Z467" s="18"/>
    </row>
    <row r="468" spans="1:26" ht="16.5" customHeight="1" x14ac:dyDescent="0.35">
      <c r="A468" s="230"/>
      <c r="B468" s="217"/>
      <c r="C468" s="217"/>
      <c r="D468" s="217"/>
      <c r="E468" s="217"/>
      <c r="F468" s="217"/>
      <c r="G468" s="217"/>
      <c r="H468" s="74" t="s">
        <v>55</v>
      </c>
      <c r="I468" s="74" t="s">
        <v>66</v>
      </c>
      <c r="J468" s="74" t="s">
        <v>111</v>
      </c>
      <c r="K468" s="217"/>
      <c r="L468" s="67"/>
      <c r="M468" s="26"/>
      <c r="N468" s="26"/>
      <c r="O468" s="26"/>
      <c r="P468" s="284"/>
      <c r="Q468" s="284"/>
      <c r="R468" s="284"/>
      <c r="S468" s="18"/>
      <c r="T468" s="284"/>
      <c r="U468" s="284"/>
      <c r="V468" s="284"/>
      <c r="W468" s="18"/>
      <c r="X468" s="18"/>
      <c r="Y468" s="18"/>
      <c r="Z468" s="18"/>
    </row>
    <row r="469" spans="1:26" ht="16.5" customHeight="1" x14ac:dyDescent="0.35">
      <c r="A469" s="217"/>
      <c r="B469" s="228" t="s">
        <v>72</v>
      </c>
      <c r="C469" s="221"/>
      <c r="D469" s="222"/>
      <c r="E469" s="71">
        <f>SUM(E452:E468)</f>
        <v>12</v>
      </c>
      <c r="F469" s="220"/>
      <c r="G469" s="221"/>
      <c r="H469" s="221"/>
      <c r="I469" s="221"/>
      <c r="J469" s="221"/>
      <c r="K469" s="222"/>
      <c r="L469" s="66"/>
      <c r="M469" s="18"/>
      <c r="N469" s="18"/>
      <c r="O469" s="18"/>
      <c r="P469" s="18"/>
      <c r="Q469" s="18"/>
      <c r="R469" s="18"/>
      <c r="S469" s="18"/>
      <c r="T469" s="293"/>
      <c r="U469" s="295"/>
      <c r="V469" s="294"/>
      <c r="W469" s="18"/>
      <c r="X469" s="18"/>
      <c r="Y469" s="18"/>
      <c r="Z469" s="18"/>
    </row>
    <row r="470" spans="1:26" ht="16.5" customHeight="1" x14ac:dyDescent="0.35">
      <c r="A470" s="248">
        <v>29</v>
      </c>
      <c r="B470" s="238" t="s">
        <v>285</v>
      </c>
      <c r="C470" s="227" t="s">
        <v>286</v>
      </c>
      <c r="D470" s="218">
        <v>3</v>
      </c>
      <c r="E470" s="216">
        <v>3</v>
      </c>
      <c r="F470" s="218" t="s">
        <v>75</v>
      </c>
      <c r="G470" s="218" t="s">
        <v>104</v>
      </c>
      <c r="H470" s="74" t="s">
        <v>35</v>
      </c>
      <c r="I470" s="74" t="s">
        <v>44</v>
      </c>
      <c r="J470" s="74" t="s">
        <v>152</v>
      </c>
      <c r="K470" s="218" t="s">
        <v>38</v>
      </c>
      <c r="L470" s="66"/>
      <c r="M470" s="17"/>
      <c r="N470" s="17"/>
      <c r="O470" s="17"/>
      <c r="P470" s="293"/>
      <c r="Q470" s="295"/>
      <c r="R470" s="294"/>
      <c r="S470" s="18"/>
      <c r="T470" s="284"/>
      <c r="U470" s="284"/>
      <c r="V470" s="284"/>
      <c r="W470" s="18"/>
      <c r="X470" s="18"/>
      <c r="Y470" s="18"/>
      <c r="Z470" s="18"/>
    </row>
    <row r="471" spans="1:26" ht="16.5" customHeight="1" x14ac:dyDescent="0.35">
      <c r="A471" s="230"/>
      <c r="B471" s="230"/>
      <c r="C471" s="217"/>
      <c r="D471" s="217"/>
      <c r="E471" s="217"/>
      <c r="F471" s="217"/>
      <c r="G471" s="217"/>
      <c r="H471" s="74" t="s">
        <v>55</v>
      </c>
      <c r="I471" s="74" t="s">
        <v>44</v>
      </c>
      <c r="J471" s="74" t="s">
        <v>132</v>
      </c>
      <c r="K471" s="217"/>
      <c r="L471" s="66"/>
      <c r="M471" s="17"/>
      <c r="N471" s="17"/>
      <c r="O471" s="17"/>
      <c r="P471" s="284"/>
      <c r="Q471" s="284"/>
      <c r="R471" s="284"/>
      <c r="S471" s="18"/>
      <c r="T471" s="293"/>
      <c r="U471" s="295"/>
      <c r="V471" s="294"/>
      <c r="W471" s="18"/>
      <c r="X471" s="18"/>
      <c r="Y471" s="18"/>
      <c r="Z471" s="18"/>
    </row>
    <row r="472" spans="1:26" ht="16.5" customHeight="1" x14ac:dyDescent="0.35">
      <c r="A472" s="230"/>
      <c r="B472" s="230"/>
      <c r="C472" s="227" t="s">
        <v>207</v>
      </c>
      <c r="D472" s="218">
        <v>2</v>
      </c>
      <c r="E472" s="216">
        <v>2</v>
      </c>
      <c r="F472" s="218" t="s">
        <v>75</v>
      </c>
      <c r="G472" s="218" t="s">
        <v>247</v>
      </c>
      <c r="H472" s="74" t="s">
        <v>35</v>
      </c>
      <c r="I472" s="74" t="s">
        <v>56</v>
      </c>
      <c r="J472" s="74" t="s">
        <v>78</v>
      </c>
      <c r="K472" s="218" t="s">
        <v>54</v>
      </c>
      <c r="L472" s="66"/>
      <c r="M472" s="18"/>
      <c r="N472" s="18"/>
      <c r="O472" s="18"/>
      <c r="P472" s="293"/>
      <c r="Q472" s="295"/>
      <c r="R472" s="294"/>
      <c r="S472" s="18"/>
      <c r="T472" s="284"/>
      <c r="U472" s="284"/>
      <c r="V472" s="284"/>
      <c r="W472" s="18"/>
      <c r="X472" s="18"/>
      <c r="Y472" s="18"/>
      <c r="Z472" s="18"/>
    </row>
    <row r="473" spans="1:26" ht="16.5" customHeight="1" x14ac:dyDescent="0.35">
      <c r="A473" s="230"/>
      <c r="B473" s="230"/>
      <c r="C473" s="217"/>
      <c r="D473" s="217"/>
      <c r="E473" s="217"/>
      <c r="F473" s="217"/>
      <c r="G473" s="217"/>
      <c r="H473" s="74" t="s">
        <v>48</v>
      </c>
      <c r="I473" s="74" t="s">
        <v>52</v>
      </c>
      <c r="J473" s="74" t="s">
        <v>143</v>
      </c>
      <c r="K473" s="217"/>
      <c r="L473" s="66"/>
      <c r="M473" s="18"/>
      <c r="N473" s="18"/>
      <c r="O473" s="18"/>
      <c r="P473" s="284"/>
      <c r="Q473" s="284"/>
      <c r="R473" s="284"/>
      <c r="S473" s="18"/>
      <c r="T473" s="293"/>
      <c r="U473" s="295"/>
      <c r="V473" s="294"/>
      <c r="W473" s="18"/>
      <c r="X473" s="18"/>
      <c r="Y473" s="18"/>
      <c r="Z473" s="18"/>
    </row>
    <row r="474" spans="1:26" ht="16.5" customHeight="1" x14ac:dyDescent="0.35">
      <c r="A474" s="230"/>
      <c r="B474" s="230"/>
      <c r="C474" s="227" t="s">
        <v>287</v>
      </c>
      <c r="D474" s="218">
        <v>2</v>
      </c>
      <c r="E474" s="216">
        <v>2</v>
      </c>
      <c r="F474" s="218" t="s">
        <v>75</v>
      </c>
      <c r="G474" s="218" t="s">
        <v>97</v>
      </c>
      <c r="H474" s="74" t="s">
        <v>46</v>
      </c>
      <c r="I474" s="74" t="s">
        <v>288</v>
      </c>
      <c r="J474" s="74" t="s">
        <v>152</v>
      </c>
      <c r="K474" s="218" t="s">
        <v>54</v>
      </c>
      <c r="L474" s="66"/>
      <c r="M474" s="18"/>
      <c r="N474" s="18"/>
      <c r="O474" s="18"/>
      <c r="P474" s="293"/>
      <c r="Q474" s="295"/>
      <c r="R474" s="294"/>
      <c r="S474" s="18"/>
      <c r="T474" s="284"/>
      <c r="U474" s="284"/>
      <c r="V474" s="284"/>
      <c r="W474" s="18"/>
      <c r="X474" s="18"/>
      <c r="Y474" s="18"/>
      <c r="Z474" s="18"/>
    </row>
    <row r="475" spans="1:26" ht="16.5" customHeight="1" x14ac:dyDescent="0.35">
      <c r="A475" s="230"/>
      <c r="B475" s="230"/>
      <c r="C475" s="217"/>
      <c r="D475" s="217"/>
      <c r="E475" s="217"/>
      <c r="F475" s="217"/>
      <c r="G475" s="217"/>
      <c r="H475" s="84" t="s">
        <v>55</v>
      </c>
      <c r="I475" s="84" t="s">
        <v>56</v>
      </c>
      <c r="J475" s="84" t="s">
        <v>132</v>
      </c>
      <c r="K475" s="219"/>
      <c r="L475" s="66"/>
      <c r="M475" s="18"/>
      <c r="N475" s="18"/>
      <c r="O475" s="18"/>
      <c r="P475" s="284"/>
      <c r="Q475" s="284"/>
      <c r="R475" s="284"/>
      <c r="S475" s="18"/>
      <c r="T475" s="293"/>
      <c r="U475" s="295"/>
      <c r="V475" s="294"/>
      <c r="W475" s="18"/>
      <c r="X475" s="18"/>
      <c r="Y475" s="18"/>
      <c r="Z475" s="18"/>
    </row>
    <row r="476" spans="1:26" ht="16.5" customHeight="1" x14ac:dyDescent="0.35">
      <c r="A476" s="230"/>
      <c r="B476" s="230"/>
      <c r="C476" s="227" t="s">
        <v>50</v>
      </c>
      <c r="D476" s="218">
        <v>3</v>
      </c>
      <c r="E476" s="216">
        <v>1.5</v>
      </c>
      <c r="F476" s="218" t="s">
        <v>260</v>
      </c>
      <c r="G476" s="218" t="s">
        <v>289</v>
      </c>
      <c r="H476" s="74" t="s">
        <v>35</v>
      </c>
      <c r="I476" s="74" t="s">
        <v>56</v>
      </c>
      <c r="J476" s="74" t="s">
        <v>290</v>
      </c>
      <c r="K476" s="218" t="s">
        <v>54</v>
      </c>
      <c r="L476" s="66"/>
      <c r="M476" s="18"/>
      <c r="N476" s="18"/>
      <c r="O476" s="18"/>
      <c r="P476" s="293"/>
      <c r="Q476" s="295"/>
      <c r="R476" s="294"/>
      <c r="S476" s="18"/>
      <c r="T476" s="284"/>
      <c r="U476" s="284"/>
      <c r="V476" s="284"/>
      <c r="W476" s="18"/>
      <c r="X476" s="18"/>
      <c r="Y476" s="18"/>
      <c r="Z476" s="18"/>
    </row>
    <row r="477" spans="1:26" ht="16.5" customHeight="1" x14ac:dyDescent="0.35">
      <c r="A477" s="230"/>
      <c r="B477" s="230"/>
      <c r="C477" s="217"/>
      <c r="D477" s="217"/>
      <c r="E477" s="217"/>
      <c r="F477" s="217"/>
      <c r="G477" s="217"/>
      <c r="H477" s="74" t="s">
        <v>39</v>
      </c>
      <c r="I477" s="74" t="s">
        <v>56</v>
      </c>
      <c r="J477" s="74" t="s">
        <v>291</v>
      </c>
      <c r="K477" s="217"/>
      <c r="L477" s="66"/>
      <c r="M477" s="18"/>
      <c r="N477" s="18"/>
      <c r="O477" s="18"/>
      <c r="P477" s="284"/>
      <c r="Q477" s="284"/>
      <c r="R477" s="284"/>
      <c r="S477" s="18"/>
      <c r="T477" s="293"/>
      <c r="U477" s="295"/>
      <c r="V477" s="294"/>
      <c r="W477" s="18"/>
      <c r="X477" s="18"/>
      <c r="Y477" s="18"/>
      <c r="Z477" s="18"/>
    </row>
    <row r="478" spans="1:26" ht="16.5" customHeight="1" x14ac:dyDescent="0.35">
      <c r="A478" s="230"/>
      <c r="B478" s="230"/>
      <c r="C478" s="227" t="s">
        <v>58</v>
      </c>
      <c r="D478" s="218">
        <v>3</v>
      </c>
      <c r="E478" s="216">
        <v>1.5</v>
      </c>
      <c r="F478" s="218" t="s">
        <v>250</v>
      </c>
      <c r="G478" s="218" t="s">
        <v>45</v>
      </c>
      <c r="H478" s="74" t="s">
        <v>46</v>
      </c>
      <c r="I478" s="74" t="s">
        <v>61</v>
      </c>
      <c r="J478" s="74" t="s">
        <v>292</v>
      </c>
      <c r="K478" s="218" t="s">
        <v>54</v>
      </c>
      <c r="L478" s="66"/>
      <c r="M478" s="18"/>
      <c r="N478" s="18"/>
      <c r="O478" s="18"/>
      <c r="P478" s="293"/>
      <c r="Q478" s="295"/>
      <c r="R478" s="294"/>
      <c r="S478" s="18"/>
      <c r="T478" s="284"/>
      <c r="U478" s="284"/>
      <c r="V478" s="284"/>
      <c r="W478" s="18"/>
      <c r="X478" s="18"/>
      <c r="Y478" s="18"/>
      <c r="Z478" s="18"/>
    </row>
    <row r="479" spans="1:26" ht="16.5" customHeight="1" x14ac:dyDescent="0.35">
      <c r="A479" s="230"/>
      <c r="B479" s="230"/>
      <c r="C479" s="217"/>
      <c r="D479" s="217"/>
      <c r="E479" s="217"/>
      <c r="F479" s="217"/>
      <c r="G479" s="217"/>
      <c r="H479" s="74" t="s">
        <v>293</v>
      </c>
      <c r="I479" s="74" t="s">
        <v>56</v>
      </c>
      <c r="J479" s="74" t="s">
        <v>292</v>
      </c>
      <c r="K479" s="217"/>
      <c r="L479" s="66"/>
      <c r="M479" s="18"/>
      <c r="N479" s="18"/>
      <c r="O479" s="18"/>
      <c r="P479" s="284"/>
      <c r="Q479" s="284"/>
      <c r="R479" s="284"/>
      <c r="S479" s="18"/>
      <c r="T479" s="293"/>
      <c r="U479" s="295"/>
      <c r="V479" s="294"/>
      <c r="W479" s="18"/>
      <c r="X479" s="18"/>
      <c r="Y479" s="18"/>
      <c r="Z479" s="18"/>
    </row>
    <row r="480" spans="1:26" ht="16.5" customHeight="1" x14ac:dyDescent="0.35">
      <c r="A480" s="230"/>
      <c r="B480" s="230"/>
      <c r="C480" s="227" t="s">
        <v>50</v>
      </c>
      <c r="D480" s="218">
        <v>3</v>
      </c>
      <c r="E480" s="216">
        <v>1.5</v>
      </c>
      <c r="F480" s="218" t="s">
        <v>294</v>
      </c>
      <c r="G480" s="218" t="s">
        <v>34</v>
      </c>
      <c r="H480" s="74" t="s">
        <v>39</v>
      </c>
      <c r="I480" s="74" t="s">
        <v>44</v>
      </c>
      <c r="J480" s="74" t="s">
        <v>295</v>
      </c>
      <c r="K480" s="218" t="s">
        <v>54</v>
      </c>
      <c r="L480" s="66"/>
      <c r="M480" s="18"/>
      <c r="N480" s="18"/>
      <c r="O480" s="18"/>
      <c r="P480" s="293"/>
      <c r="Q480" s="295"/>
      <c r="R480" s="294"/>
      <c r="S480" s="18"/>
      <c r="T480" s="284"/>
      <c r="U480" s="284"/>
      <c r="V480" s="284"/>
      <c r="W480" s="18"/>
      <c r="X480" s="18"/>
      <c r="Y480" s="18"/>
      <c r="Z480" s="18"/>
    </row>
    <row r="481" spans="1:26" ht="16.5" customHeight="1" x14ac:dyDescent="0.35">
      <c r="A481" s="230"/>
      <c r="B481" s="230"/>
      <c r="C481" s="217"/>
      <c r="D481" s="217"/>
      <c r="E481" s="217"/>
      <c r="F481" s="217"/>
      <c r="G481" s="217"/>
      <c r="H481" s="74" t="s">
        <v>119</v>
      </c>
      <c r="I481" s="74" t="s">
        <v>36</v>
      </c>
      <c r="J481" s="74" t="s">
        <v>296</v>
      </c>
      <c r="K481" s="217"/>
      <c r="L481" s="66"/>
      <c r="M481" s="18"/>
      <c r="N481" s="18"/>
      <c r="O481" s="18"/>
      <c r="P481" s="284"/>
      <c r="Q481" s="284"/>
      <c r="R481" s="284"/>
      <c r="S481" s="18"/>
      <c r="T481" s="18"/>
      <c r="U481" s="18"/>
      <c r="V481" s="18"/>
      <c r="W481" s="18"/>
      <c r="X481" s="18"/>
      <c r="Y481" s="18"/>
      <c r="Z481" s="18"/>
    </row>
    <row r="482" spans="1:26" ht="16.5" customHeight="1" x14ac:dyDescent="0.35">
      <c r="A482" s="230"/>
      <c r="B482" s="230"/>
      <c r="C482" s="227" t="s">
        <v>58</v>
      </c>
      <c r="D482" s="218">
        <v>3</v>
      </c>
      <c r="E482" s="216">
        <v>1.5</v>
      </c>
      <c r="F482" s="218" t="s">
        <v>294</v>
      </c>
      <c r="G482" s="218" t="s">
        <v>49</v>
      </c>
      <c r="H482" s="74" t="s">
        <v>48</v>
      </c>
      <c r="I482" s="74" t="s">
        <v>61</v>
      </c>
      <c r="J482" s="74" t="s">
        <v>60</v>
      </c>
      <c r="K482" s="218" t="s">
        <v>54</v>
      </c>
      <c r="L482" s="66"/>
      <c r="M482" s="18"/>
      <c r="N482" s="18"/>
      <c r="O482" s="18"/>
      <c r="P482" s="293"/>
      <c r="Q482" s="295"/>
      <c r="R482" s="294"/>
      <c r="S482" s="18"/>
      <c r="T482" s="293"/>
      <c r="U482" s="295"/>
      <c r="V482" s="294"/>
      <c r="W482" s="18"/>
      <c r="X482" s="18"/>
      <c r="Y482" s="18"/>
      <c r="Z482" s="18"/>
    </row>
    <row r="483" spans="1:26" ht="16.5" customHeight="1" x14ac:dyDescent="0.35">
      <c r="A483" s="230"/>
      <c r="B483" s="230"/>
      <c r="C483" s="217"/>
      <c r="D483" s="217"/>
      <c r="E483" s="217"/>
      <c r="F483" s="217"/>
      <c r="G483" s="217"/>
      <c r="H483" s="74" t="s">
        <v>55</v>
      </c>
      <c r="I483" s="74" t="s">
        <v>61</v>
      </c>
      <c r="J483" s="74" t="s">
        <v>60</v>
      </c>
      <c r="K483" s="217"/>
      <c r="L483" s="66"/>
      <c r="M483" s="18"/>
      <c r="N483" s="18"/>
      <c r="O483" s="18"/>
      <c r="P483" s="284"/>
      <c r="Q483" s="284"/>
      <c r="R483" s="284"/>
      <c r="S483" s="18"/>
      <c r="T483" s="284"/>
      <c r="U483" s="284"/>
      <c r="V483" s="284"/>
      <c r="W483" s="18"/>
      <c r="X483" s="18"/>
      <c r="Y483" s="18"/>
      <c r="Z483" s="18"/>
    </row>
    <row r="484" spans="1:26" ht="16.5" customHeight="1" x14ac:dyDescent="0.35">
      <c r="A484" s="230"/>
      <c r="B484" s="217"/>
      <c r="C484" s="94" t="s">
        <v>191</v>
      </c>
      <c r="D484" s="74">
        <v>3</v>
      </c>
      <c r="E484" s="81">
        <v>3</v>
      </c>
      <c r="F484" s="74" t="s">
        <v>75</v>
      </c>
      <c r="G484" s="74" t="s">
        <v>297</v>
      </c>
      <c r="H484" s="74" t="s">
        <v>119</v>
      </c>
      <c r="I484" s="74" t="s">
        <v>82</v>
      </c>
      <c r="J484" s="75" t="s">
        <v>159</v>
      </c>
      <c r="K484" s="85" t="s">
        <v>93</v>
      </c>
      <c r="L484" s="66"/>
      <c r="M484" s="18"/>
      <c r="N484" s="18"/>
      <c r="O484" s="18"/>
      <c r="P484" s="18"/>
      <c r="Q484" s="18"/>
      <c r="R484" s="18"/>
      <c r="S484" s="18"/>
      <c r="T484" s="293"/>
      <c r="U484" s="295"/>
      <c r="V484" s="294"/>
      <c r="W484" s="18"/>
      <c r="X484" s="18"/>
      <c r="Y484" s="18"/>
      <c r="Z484" s="18"/>
    </row>
    <row r="485" spans="1:26" ht="16.5" customHeight="1" x14ac:dyDescent="0.35">
      <c r="A485" s="217"/>
      <c r="B485" s="228" t="s">
        <v>72</v>
      </c>
      <c r="C485" s="221"/>
      <c r="D485" s="222"/>
      <c r="E485" s="100">
        <f>SUM(E470:E483)</f>
        <v>13</v>
      </c>
      <c r="F485" s="220"/>
      <c r="G485" s="221"/>
      <c r="H485" s="221"/>
      <c r="I485" s="221"/>
      <c r="J485" s="221"/>
      <c r="K485" s="222"/>
      <c r="L485" s="66"/>
      <c r="M485" s="18"/>
      <c r="N485" s="18"/>
      <c r="O485" s="18"/>
      <c r="P485" s="18"/>
      <c r="Q485" s="18"/>
      <c r="R485" s="18"/>
      <c r="S485" s="18"/>
      <c r="T485" s="284"/>
      <c r="U485" s="284"/>
      <c r="V485" s="284"/>
      <c r="W485" s="18"/>
      <c r="X485" s="18"/>
      <c r="Y485" s="18"/>
      <c r="Z485" s="18"/>
    </row>
    <row r="486" spans="1:26" ht="16.5" customHeight="1" x14ac:dyDescent="0.35">
      <c r="A486" s="229">
        <v>30</v>
      </c>
      <c r="B486" s="235" t="s">
        <v>298</v>
      </c>
      <c r="C486" s="227" t="s">
        <v>276</v>
      </c>
      <c r="D486" s="218">
        <v>2</v>
      </c>
      <c r="E486" s="216">
        <v>2</v>
      </c>
      <c r="F486" s="218" t="s">
        <v>158</v>
      </c>
      <c r="G486" s="218" t="s">
        <v>34</v>
      </c>
      <c r="H486" s="74" t="s">
        <v>35</v>
      </c>
      <c r="I486" s="74" t="s">
        <v>123</v>
      </c>
      <c r="J486" s="74" t="s">
        <v>159</v>
      </c>
      <c r="K486" s="218" t="s">
        <v>38</v>
      </c>
      <c r="L486" s="66"/>
      <c r="M486" s="18"/>
      <c r="N486" s="18"/>
      <c r="O486" s="18"/>
      <c r="P486" s="293"/>
      <c r="Q486" s="295"/>
      <c r="R486" s="294"/>
      <c r="S486" s="18"/>
      <c r="T486" s="293"/>
      <c r="U486" s="295"/>
      <c r="V486" s="294"/>
      <c r="W486" s="18"/>
      <c r="X486" s="18"/>
      <c r="Y486" s="18"/>
      <c r="Z486" s="18"/>
    </row>
    <row r="487" spans="1:26" ht="16.5" customHeight="1" x14ac:dyDescent="0.35">
      <c r="A487" s="230"/>
      <c r="B487" s="236"/>
      <c r="C487" s="217"/>
      <c r="D487" s="217"/>
      <c r="E487" s="217"/>
      <c r="F487" s="217"/>
      <c r="G487" s="217"/>
      <c r="H487" s="74" t="s">
        <v>48</v>
      </c>
      <c r="I487" s="74" t="s">
        <v>56</v>
      </c>
      <c r="J487" s="74" t="s">
        <v>174</v>
      </c>
      <c r="K487" s="217"/>
      <c r="L487" s="66"/>
      <c r="M487" s="18"/>
      <c r="N487" s="18"/>
      <c r="O487" s="18"/>
      <c r="P487" s="284"/>
      <c r="Q487" s="284"/>
      <c r="R487" s="284"/>
      <c r="S487" s="18"/>
      <c r="T487" s="284"/>
      <c r="U487" s="284"/>
      <c r="V487" s="284"/>
      <c r="W487" s="18"/>
      <c r="X487" s="18"/>
      <c r="Y487" s="18"/>
      <c r="Z487" s="18"/>
    </row>
    <row r="488" spans="1:26" ht="16.5" customHeight="1" x14ac:dyDescent="0.35">
      <c r="A488" s="230"/>
      <c r="B488" s="236"/>
      <c r="C488" s="227" t="s">
        <v>276</v>
      </c>
      <c r="D488" s="218">
        <v>2</v>
      </c>
      <c r="E488" s="216">
        <v>2</v>
      </c>
      <c r="F488" s="218" t="s">
        <v>75</v>
      </c>
      <c r="G488" s="218" t="s">
        <v>34</v>
      </c>
      <c r="H488" s="74" t="s">
        <v>35</v>
      </c>
      <c r="I488" s="74" t="s">
        <v>131</v>
      </c>
      <c r="J488" s="74" t="s">
        <v>174</v>
      </c>
      <c r="K488" s="218" t="s">
        <v>38</v>
      </c>
      <c r="L488" s="66"/>
      <c r="M488" s="18"/>
      <c r="N488" s="18"/>
      <c r="O488" s="18"/>
      <c r="P488" s="293"/>
      <c r="Q488" s="295"/>
      <c r="R488" s="294"/>
      <c r="S488" s="18"/>
      <c r="T488" s="293"/>
      <c r="U488" s="295"/>
      <c r="V488" s="294"/>
      <c r="W488" s="18"/>
      <c r="X488" s="18"/>
      <c r="Y488" s="18"/>
      <c r="Z488" s="18"/>
    </row>
    <row r="489" spans="1:26" ht="16.5" customHeight="1" x14ac:dyDescent="0.35">
      <c r="A489" s="230"/>
      <c r="B489" s="236"/>
      <c r="C489" s="217"/>
      <c r="D489" s="217"/>
      <c r="E489" s="217"/>
      <c r="F489" s="217"/>
      <c r="G489" s="217"/>
      <c r="H489" s="74" t="s">
        <v>48</v>
      </c>
      <c r="I489" s="74" t="s">
        <v>123</v>
      </c>
      <c r="J489" s="74" t="s">
        <v>174</v>
      </c>
      <c r="K489" s="217"/>
      <c r="L489" s="66"/>
      <c r="M489" s="18"/>
      <c r="N489" s="18"/>
      <c r="O489" s="18"/>
      <c r="P489" s="284"/>
      <c r="Q489" s="284"/>
      <c r="R489" s="284"/>
      <c r="S489" s="18"/>
      <c r="T489" s="284"/>
      <c r="U489" s="284"/>
      <c r="V489" s="284"/>
      <c r="W489" s="18"/>
      <c r="X489" s="18"/>
      <c r="Y489" s="18"/>
      <c r="Z489" s="18"/>
    </row>
    <row r="490" spans="1:26" ht="16.5" customHeight="1" x14ac:dyDescent="0.35">
      <c r="A490" s="230"/>
      <c r="B490" s="236"/>
      <c r="C490" s="227" t="s">
        <v>276</v>
      </c>
      <c r="D490" s="218">
        <v>2</v>
      </c>
      <c r="E490" s="216">
        <v>2</v>
      </c>
      <c r="F490" s="218" t="s">
        <v>75</v>
      </c>
      <c r="G490" s="218" t="s">
        <v>42</v>
      </c>
      <c r="H490" s="74" t="s">
        <v>35</v>
      </c>
      <c r="I490" s="74" t="s">
        <v>56</v>
      </c>
      <c r="J490" s="74" t="s">
        <v>150</v>
      </c>
      <c r="K490" s="218" t="s">
        <v>38</v>
      </c>
      <c r="L490" s="66"/>
      <c r="M490" s="18"/>
      <c r="N490" s="18"/>
      <c r="O490" s="18"/>
      <c r="P490" s="293"/>
      <c r="Q490" s="295"/>
      <c r="R490" s="294"/>
      <c r="S490" s="18"/>
      <c r="T490" s="293"/>
      <c r="U490" s="295"/>
      <c r="V490" s="294"/>
      <c r="W490" s="18"/>
      <c r="X490" s="18"/>
      <c r="Y490" s="18"/>
      <c r="Z490" s="18"/>
    </row>
    <row r="491" spans="1:26" ht="16.5" customHeight="1" x14ac:dyDescent="0.35">
      <c r="A491" s="230"/>
      <c r="B491" s="236"/>
      <c r="C491" s="217"/>
      <c r="D491" s="217"/>
      <c r="E491" s="217"/>
      <c r="F491" s="217"/>
      <c r="G491" s="217"/>
      <c r="H491" s="74" t="s">
        <v>48</v>
      </c>
      <c r="I491" s="74" t="s">
        <v>61</v>
      </c>
      <c r="J491" s="74" t="s">
        <v>208</v>
      </c>
      <c r="K491" s="217"/>
      <c r="L491" s="66"/>
      <c r="M491" s="18"/>
      <c r="N491" s="18"/>
      <c r="O491" s="18"/>
      <c r="P491" s="284"/>
      <c r="Q491" s="284"/>
      <c r="R491" s="284"/>
      <c r="S491" s="18"/>
      <c r="T491" s="284"/>
      <c r="U491" s="284"/>
      <c r="V491" s="284"/>
      <c r="W491" s="18"/>
      <c r="X491" s="18"/>
      <c r="Y491" s="18"/>
      <c r="Z491" s="18"/>
    </row>
    <row r="492" spans="1:26" ht="16.5" customHeight="1" x14ac:dyDescent="0.35">
      <c r="A492" s="230"/>
      <c r="B492" s="236"/>
      <c r="C492" s="227" t="s">
        <v>58</v>
      </c>
      <c r="D492" s="218">
        <v>3</v>
      </c>
      <c r="E492" s="216">
        <v>1.5</v>
      </c>
      <c r="F492" s="218" t="s">
        <v>250</v>
      </c>
      <c r="G492" s="218" t="s">
        <v>34</v>
      </c>
      <c r="H492" s="74" t="s">
        <v>46</v>
      </c>
      <c r="I492" s="74" t="s">
        <v>61</v>
      </c>
      <c r="J492" s="74" t="s">
        <v>251</v>
      </c>
      <c r="K492" s="218" t="s">
        <v>54</v>
      </c>
      <c r="L492" s="66"/>
      <c r="M492" s="18"/>
      <c r="N492" s="18"/>
      <c r="O492" s="18"/>
      <c r="P492" s="293"/>
      <c r="Q492" s="295"/>
      <c r="R492" s="294"/>
      <c r="S492" s="18"/>
      <c r="T492" s="18"/>
      <c r="U492" s="18"/>
      <c r="V492" s="18"/>
      <c r="W492" s="18"/>
      <c r="X492" s="18"/>
      <c r="Y492" s="18"/>
      <c r="Z492" s="18"/>
    </row>
    <row r="493" spans="1:26" ht="16.5" customHeight="1" x14ac:dyDescent="0.35">
      <c r="A493" s="230"/>
      <c r="B493" s="236"/>
      <c r="C493" s="217"/>
      <c r="D493" s="217"/>
      <c r="E493" s="217"/>
      <c r="F493" s="217"/>
      <c r="G493" s="217"/>
      <c r="H493" s="74" t="s">
        <v>293</v>
      </c>
      <c r="I493" s="74" t="s">
        <v>56</v>
      </c>
      <c r="J493" s="74" t="s">
        <v>251</v>
      </c>
      <c r="K493" s="217"/>
      <c r="L493" s="66"/>
      <c r="M493" s="18"/>
      <c r="N493" s="18"/>
      <c r="O493" s="18"/>
      <c r="P493" s="284"/>
      <c r="Q493" s="284"/>
      <c r="R493" s="284"/>
      <c r="S493" s="18"/>
      <c r="T493" s="18"/>
      <c r="U493" s="18"/>
      <c r="V493" s="18"/>
      <c r="W493" s="18"/>
      <c r="X493" s="18"/>
      <c r="Y493" s="18"/>
      <c r="Z493" s="18"/>
    </row>
    <row r="494" spans="1:26" ht="16.5" customHeight="1" x14ac:dyDescent="0.35">
      <c r="A494" s="230"/>
      <c r="B494" s="236"/>
      <c r="C494" s="227" t="s">
        <v>50</v>
      </c>
      <c r="D494" s="218">
        <v>3</v>
      </c>
      <c r="E494" s="216">
        <v>1.5</v>
      </c>
      <c r="F494" s="218" t="s">
        <v>250</v>
      </c>
      <c r="G494" s="218" t="s">
        <v>42</v>
      </c>
      <c r="H494" s="67" t="s">
        <v>46</v>
      </c>
      <c r="I494" s="74" t="s">
        <v>123</v>
      </c>
      <c r="J494" s="74" t="s">
        <v>252</v>
      </c>
      <c r="K494" s="218" t="s">
        <v>54</v>
      </c>
      <c r="L494" s="66"/>
      <c r="M494" s="18"/>
      <c r="N494" s="18"/>
      <c r="O494" s="18"/>
      <c r="P494" s="293"/>
      <c r="Q494" s="295"/>
      <c r="R494" s="294"/>
      <c r="S494" s="18"/>
      <c r="T494" s="293"/>
      <c r="U494" s="295"/>
      <c r="V494" s="294"/>
      <c r="W494" s="18"/>
      <c r="X494" s="18"/>
      <c r="Y494" s="18"/>
      <c r="Z494" s="18"/>
    </row>
    <row r="495" spans="1:26" ht="16.5" customHeight="1" x14ac:dyDescent="0.35">
      <c r="A495" s="230"/>
      <c r="B495" s="236"/>
      <c r="C495" s="217"/>
      <c r="D495" s="217"/>
      <c r="E495" s="217"/>
      <c r="F495" s="217"/>
      <c r="G495" s="217"/>
      <c r="H495" s="74" t="s">
        <v>48</v>
      </c>
      <c r="I495" s="74" t="s">
        <v>59</v>
      </c>
      <c r="J495" s="74" t="s">
        <v>252</v>
      </c>
      <c r="K495" s="217"/>
      <c r="L495" s="66"/>
      <c r="M495" s="18"/>
      <c r="N495" s="18"/>
      <c r="O495" s="18"/>
      <c r="P495" s="284"/>
      <c r="Q495" s="284"/>
      <c r="R495" s="284"/>
      <c r="S495" s="18"/>
      <c r="T495" s="284"/>
      <c r="U495" s="284"/>
      <c r="V495" s="284"/>
      <c r="W495" s="18"/>
      <c r="X495" s="18"/>
      <c r="Y495" s="18"/>
      <c r="Z495" s="18"/>
    </row>
    <row r="496" spans="1:26" ht="16.5" customHeight="1" x14ac:dyDescent="0.35">
      <c r="A496" s="230"/>
      <c r="B496" s="236"/>
      <c r="C496" s="227" t="s">
        <v>50</v>
      </c>
      <c r="D496" s="218">
        <v>3</v>
      </c>
      <c r="E496" s="216">
        <v>1.5</v>
      </c>
      <c r="F496" s="218" t="s">
        <v>299</v>
      </c>
      <c r="G496" s="218" t="s">
        <v>34</v>
      </c>
      <c r="H496" s="74" t="s">
        <v>35</v>
      </c>
      <c r="I496" s="74" t="s">
        <v>59</v>
      </c>
      <c r="J496" s="74" t="s">
        <v>252</v>
      </c>
      <c r="K496" s="218" t="s">
        <v>54</v>
      </c>
      <c r="L496" s="66"/>
      <c r="M496" s="18"/>
      <c r="N496" s="18"/>
      <c r="O496" s="18"/>
      <c r="P496" s="293"/>
      <c r="Q496" s="295"/>
      <c r="R496" s="294"/>
      <c r="S496" s="18"/>
      <c r="T496" s="293"/>
      <c r="U496" s="295"/>
      <c r="V496" s="294"/>
      <c r="W496" s="18"/>
      <c r="X496" s="18"/>
      <c r="Y496" s="18"/>
      <c r="Z496" s="18"/>
    </row>
    <row r="497" spans="1:26" ht="16.5" customHeight="1" x14ac:dyDescent="0.35">
      <c r="A497" s="230"/>
      <c r="B497" s="236"/>
      <c r="C497" s="217"/>
      <c r="D497" s="217"/>
      <c r="E497" s="217"/>
      <c r="F497" s="217"/>
      <c r="G497" s="217"/>
      <c r="H497" s="74" t="s">
        <v>39</v>
      </c>
      <c r="I497" s="74" t="s">
        <v>56</v>
      </c>
      <c r="J497" s="74" t="s">
        <v>252</v>
      </c>
      <c r="K497" s="217"/>
      <c r="L497" s="66"/>
      <c r="M497" s="18"/>
      <c r="N497" s="18"/>
      <c r="O497" s="18"/>
      <c r="P497" s="284"/>
      <c r="Q497" s="284"/>
      <c r="R497" s="284"/>
      <c r="S497" s="18"/>
      <c r="T497" s="284"/>
      <c r="U497" s="284"/>
      <c r="V497" s="284"/>
      <c r="W497" s="18"/>
      <c r="X497" s="18"/>
      <c r="Y497" s="18"/>
      <c r="Z497" s="18"/>
    </row>
    <row r="498" spans="1:26" ht="16.5" customHeight="1" x14ac:dyDescent="0.35">
      <c r="A498" s="230"/>
      <c r="B498" s="236"/>
      <c r="C498" s="227" t="s">
        <v>161</v>
      </c>
      <c r="D498" s="218">
        <v>2</v>
      </c>
      <c r="E498" s="216">
        <v>2</v>
      </c>
      <c r="F498" s="218" t="s">
        <v>75</v>
      </c>
      <c r="G498" s="218" t="s">
        <v>300</v>
      </c>
      <c r="H498" s="74" t="s">
        <v>35</v>
      </c>
      <c r="I498" s="74" t="s">
        <v>56</v>
      </c>
      <c r="J498" s="74" t="s">
        <v>165</v>
      </c>
      <c r="K498" s="218" t="s">
        <v>54</v>
      </c>
      <c r="L498" s="66"/>
      <c r="M498" s="18"/>
      <c r="N498" s="18"/>
      <c r="O498" s="18"/>
      <c r="P498" s="293"/>
      <c r="Q498" s="295"/>
      <c r="R498" s="294"/>
      <c r="S498" s="18"/>
      <c r="T498" s="293"/>
      <c r="U498" s="295"/>
      <c r="V498" s="294"/>
      <c r="W498" s="18"/>
      <c r="X498" s="18"/>
      <c r="Y498" s="18"/>
      <c r="Z498" s="18"/>
    </row>
    <row r="499" spans="1:26" ht="16.5" customHeight="1" x14ac:dyDescent="0.35">
      <c r="A499" s="230"/>
      <c r="B499" s="236"/>
      <c r="C499" s="217"/>
      <c r="D499" s="217"/>
      <c r="E499" s="217"/>
      <c r="F499" s="217"/>
      <c r="G499" s="217"/>
      <c r="H499" s="74" t="s">
        <v>48</v>
      </c>
      <c r="I499" s="74" t="s">
        <v>56</v>
      </c>
      <c r="J499" s="74" t="s">
        <v>165</v>
      </c>
      <c r="K499" s="217"/>
      <c r="L499" s="66"/>
      <c r="M499" s="18"/>
      <c r="N499" s="18"/>
      <c r="O499" s="18"/>
      <c r="P499" s="284"/>
      <c r="Q499" s="284"/>
      <c r="R499" s="284"/>
      <c r="S499" s="18"/>
      <c r="T499" s="284"/>
      <c r="U499" s="284"/>
      <c r="V499" s="284"/>
      <c r="W499" s="18"/>
      <c r="X499" s="18"/>
      <c r="Y499" s="18"/>
      <c r="Z499" s="18"/>
    </row>
    <row r="500" spans="1:26" ht="16.5" customHeight="1" x14ac:dyDescent="0.35">
      <c r="A500" s="230"/>
      <c r="B500" s="240"/>
      <c r="C500" s="94" t="s">
        <v>191</v>
      </c>
      <c r="D500" s="74">
        <v>3</v>
      </c>
      <c r="E500" s="81">
        <v>3</v>
      </c>
      <c r="F500" s="74" t="s">
        <v>75</v>
      </c>
      <c r="G500" s="74" t="s">
        <v>301</v>
      </c>
      <c r="H500" s="74" t="s">
        <v>119</v>
      </c>
      <c r="I500" s="74" t="s">
        <v>82</v>
      </c>
      <c r="J500" s="74" t="s">
        <v>65</v>
      </c>
      <c r="K500" s="74" t="s">
        <v>93</v>
      </c>
      <c r="L500" s="66"/>
      <c r="M500" s="18"/>
      <c r="N500" s="18"/>
      <c r="O500" s="18"/>
      <c r="P500" s="18"/>
      <c r="Q500" s="18"/>
      <c r="R500" s="18"/>
      <c r="S500" s="18"/>
      <c r="T500" s="293"/>
      <c r="U500" s="295"/>
      <c r="V500" s="294"/>
      <c r="W500" s="18"/>
      <c r="X500" s="18"/>
      <c r="Y500" s="18"/>
      <c r="Z500" s="18"/>
    </row>
    <row r="501" spans="1:26" ht="16.5" customHeight="1" x14ac:dyDescent="0.35">
      <c r="A501" s="217"/>
      <c r="B501" s="228" t="s">
        <v>72</v>
      </c>
      <c r="C501" s="221"/>
      <c r="D501" s="222"/>
      <c r="E501" s="71">
        <f>SUM(E486:E500)</f>
        <v>15.5</v>
      </c>
      <c r="F501" s="220"/>
      <c r="G501" s="221"/>
      <c r="H501" s="221"/>
      <c r="I501" s="221"/>
      <c r="J501" s="221"/>
      <c r="K501" s="222"/>
      <c r="L501" s="66"/>
      <c r="M501" s="18"/>
      <c r="N501" s="18"/>
      <c r="O501" s="18"/>
      <c r="P501" s="18"/>
      <c r="Q501" s="18"/>
      <c r="R501" s="18"/>
      <c r="S501" s="18"/>
      <c r="T501" s="284"/>
      <c r="U501" s="284"/>
      <c r="V501" s="284"/>
      <c r="W501" s="18"/>
      <c r="X501" s="18"/>
      <c r="Y501" s="18"/>
      <c r="Z501" s="18"/>
    </row>
    <row r="502" spans="1:26" ht="16.5" customHeight="1" x14ac:dyDescent="0.35">
      <c r="A502" s="275">
        <v>31</v>
      </c>
      <c r="B502" s="252" t="s">
        <v>302</v>
      </c>
      <c r="C502" s="227" t="s">
        <v>122</v>
      </c>
      <c r="D502" s="218">
        <v>2</v>
      </c>
      <c r="E502" s="216">
        <v>2</v>
      </c>
      <c r="F502" s="218" t="s">
        <v>51</v>
      </c>
      <c r="G502" s="218" t="s">
        <v>42</v>
      </c>
      <c r="H502" s="74" t="s">
        <v>46</v>
      </c>
      <c r="I502" s="74" t="s">
        <v>82</v>
      </c>
      <c r="J502" s="74" t="s">
        <v>160</v>
      </c>
      <c r="K502" s="218" t="s">
        <v>54</v>
      </c>
      <c r="L502" s="106"/>
      <c r="M502" s="107"/>
      <c r="N502" s="107"/>
      <c r="O502" s="107"/>
      <c r="P502" s="293"/>
      <c r="Q502" s="295"/>
      <c r="R502" s="294"/>
      <c r="S502" s="18"/>
      <c r="T502" s="293"/>
      <c r="U502" s="295"/>
      <c r="V502" s="294"/>
      <c r="W502" s="18"/>
      <c r="X502" s="18"/>
      <c r="Y502" s="18"/>
      <c r="Z502" s="18"/>
    </row>
    <row r="503" spans="1:26" ht="16.5" customHeight="1" x14ac:dyDescent="0.35">
      <c r="A503" s="230"/>
      <c r="B503" s="236"/>
      <c r="C503" s="217"/>
      <c r="D503" s="217"/>
      <c r="E503" s="217"/>
      <c r="F503" s="217"/>
      <c r="G503" s="217"/>
      <c r="H503" s="74" t="s">
        <v>55</v>
      </c>
      <c r="I503" s="74" t="s">
        <v>56</v>
      </c>
      <c r="J503" s="74" t="s">
        <v>114</v>
      </c>
      <c r="K503" s="217"/>
      <c r="L503" s="106"/>
      <c r="M503" s="107"/>
      <c r="N503" s="107"/>
      <c r="O503" s="107"/>
      <c r="P503" s="284"/>
      <c r="Q503" s="284"/>
      <c r="R503" s="284"/>
      <c r="S503" s="18"/>
      <c r="T503" s="284"/>
      <c r="U503" s="284"/>
      <c r="V503" s="284"/>
      <c r="W503" s="18"/>
      <c r="X503" s="18"/>
      <c r="Y503" s="18"/>
      <c r="Z503" s="18"/>
    </row>
    <row r="504" spans="1:26" ht="16.5" customHeight="1" x14ac:dyDescent="0.35">
      <c r="A504" s="230"/>
      <c r="B504" s="236"/>
      <c r="C504" s="227" t="s">
        <v>303</v>
      </c>
      <c r="D504" s="218">
        <v>3</v>
      </c>
      <c r="E504" s="216">
        <v>1.5</v>
      </c>
      <c r="F504" s="218" t="s">
        <v>51</v>
      </c>
      <c r="G504" s="218" t="s">
        <v>101</v>
      </c>
      <c r="H504" s="74" t="s">
        <v>35</v>
      </c>
      <c r="I504" s="74" t="s">
        <v>108</v>
      </c>
      <c r="J504" s="74" t="s">
        <v>132</v>
      </c>
      <c r="K504" s="218" t="s">
        <v>54</v>
      </c>
      <c r="L504" s="106"/>
      <c r="M504" s="107"/>
      <c r="N504" s="107"/>
      <c r="O504" s="107"/>
      <c r="P504" s="293"/>
      <c r="Q504" s="295"/>
      <c r="R504" s="294"/>
      <c r="S504" s="18"/>
      <c r="T504" s="293"/>
      <c r="U504" s="295"/>
      <c r="V504" s="294"/>
      <c r="W504" s="18"/>
      <c r="X504" s="18"/>
      <c r="Y504" s="18"/>
      <c r="Z504" s="18"/>
    </row>
    <row r="505" spans="1:26" ht="16.5" customHeight="1" x14ac:dyDescent="0.35">
      <c r="A505" s="230"/>
      <c r="B505" s="236"/>
      <c r="C505" s="217"/>
      <c r="D505" s="217"/>
      <c r="E505" s="217"/>
      <c r="F505" s="217"/>
      <c r="G505" s="217"/>
      <c r="H505" s="74" t="s">
        <v>39</v>
      </c>
      <c r="I505" s="74" t="s">
        <v>108</v>
      </c>
      <c r="J505" s="74" t="s">
        <v>150</v>
      </c>
      <c r="K505" s="217"/>
      <c r="L505" s="106"/>
      <c r="M505" s="107"/>
      <c r="N505" s="107"/>
      <c r="O505" s="107"/>
      <c r="P505" s="284"/>
      <c r="Q505" s="284"/>
      <c r="R505" s="284"/>
      <c r="S505" s="18"/>
      <c r="T505" s="284"/>
      <c r="U505" s="284"/>
      <c r="V505" s="284"/>
      <c r="W505" s="18"/>
      <c r="X505" s="18"/>
      <c r="Y505" s="18"/>
      <c r="Z505" s="18"/>
    </row>
    <row r="506" spans="1:26" ht="16.5" customHeight="1" x14ac:dyDescent="0.35">
      <c r="A506" s="230"/>
      <c r="B506" s="236"/>
      <c r="C506" s="227" t="s">
        <v>303</v>
      </c>
      <c r="D506" s="218">
        <v>3</v>
      </c>
      <c r="E506" s="216">
        <v>1.5</v>
      </c>
      <c r="F506" s="218" t="s">
        <v>51</v>
      </c>
      <c r="G506" s="218" t="s">
        <v>64</v>
      </c>
      <c r="H506" s="74" t="s">
        <v>46</v>
      </c>
      <c r="I506" s="74" t="s">
        <v>40</v>
      </c>
      <c r="J506" s="74" t="s">
        <v>80</v>
      </c>
      <c r="K506" s="218" t="s">
        <v>54</v>
      </c>
      <c r="L506" s="66"/>
      <c r="M506" s="18"/>
      <c r="N506" s="18"/>
      <c r="O506" s="18"/>
      <c r="P506" s="293"/>
      <c r="Q506" s="295"/>
      <c r="R506" s="294"/>
      <c r="S506" s="18"/>
      <c r="T506" s="293"/>
      <c r="U506" s="295"/>
      <c r="V506" s="294"/>
      <c r="W506" s="18"/>
      <c r="X506" s="18"/>
      <c r="Y506" s="18"/>
      <c r="Z506" s="18"/>
    </row>
    <row r="507" spans="1:26" ht="16.5" customHeight="1" x14ac:dyDescent="0.35">
      <c r="A507" s="230"/>
      <c r="B507" s="236"/>
      <c r="C507" s="217"/>
      <c r="D507" s="217"/>
      <c r="E507" s="217"/>
      <c r="F507" s="217"/>
      <c r="G507" s="217"/>
      <c r="H507" s="74" t="s">
        <v>39</v>
      </c>
      <c r="I507" s="74" t="s">
        <v>91</v>
      </c>
      <c r="J507" s="74" t="s">
        <v>133</v>
      </c>
      <c r="K507" s="217"/>
      <c r="L507" s="66"/>
      <c r="M507" s="18"/>
      <c r="N507" s="18"/>
      <c r="O507" s="18"/>
      <c r="P507" s="284"/>
      <c r="Q507" s="284"/>
      <c r="R507" s="284"/>
      <c r="S507" s="18"/>
      <c r="T507" s="284"/>
      <c r="U507" s="284"/>
      <c r="V507" s="284"/>
      <c r="W507" s="18"/>
      <c r="X507" s="18"/>
      <c r="Y507" s="18"/>
      <c r="Z507" s="18"/>
    </row>
    <row r="508" spans="1:26" ht="16.5" customHeight="1" x14ac:dyDescent="0.35">
      <c r="A508" s="230"/>
      <c r="B508" s="236"/>
      <c r="C508" s="227" t="s">
        <v>112</v>
      </c>
      <c r="D508" s="218">
        <v>3</v>
      </c>
      <c r="E508" s="216">
        <v>1.5</v>
      </c>
      <c r="F508" s="218" t="s">
        <v>51</v>
      </c>
      <c r="G508" s="218" t="s">
        <v>64</v>
      </c>
      <c r="H508" s="74" t="s">
        <v>35</v>
      </c>
      <c r="I508" s="74" t="s">
        <v>36</v>
      </c>
      <c r="J508" s="74" t="s">
        <v>113</v>
      </c>
      <c r="K508" s="218" t="s">
        <v>38</v>
      </c>
      <c r="L508" s="97"/>
      <c r="M508" s="37"/>
      <c r="N508" s="37"/>
      <c r="O508" s="37"/>
      <c r="P508" s="293"/>
      <c r="Q508" s="295"/>
      <c r="R508" s="294"/>
      <c r="S508" s="18"/>
      <c r="T508" s="288"/>
      <c r="U508" s="18"/>
      <c r="V508" s="290"/>
      <c r="W508" s="18"/>
      <c r="X508" s="18"/>
      <c r="Y508" s="18"/>
      <c r="Z508" s="18"/>
    </row>
    <row r="509" spans="1:26" ht="16.5" customHeight="1" x14ac:dyDescent="0.35">
      <c r="A509" s="230"/>
      <c r="B509" s="236"/>
      <c r="C509" s="217"/>
      <c r="D509" s="217"/>
      <c r="E509" s="217"/>
      <c r="F509" s="217"/>
      <c r="G509" s="217"/>
      <c r="H509" s="74" t="s">
        <v>55</v>
      </c>
      <c r="I509" s="74" t="s">
        <v>44</v>
      </c>
      <c r="J509" s="74" t="s">
        <v>80</v>
      </c>
      <c r="K509" s="217"/>
      <c r="L509" s="66"/>
      <c r="M509" s="18"/>
      <c r="N509" s="18"/>
      <c r="O509" s="18"/>
      <c r="P509" s="284"/>
      <c r="Q509" s="284"/>
      <c r="R509" s="284"/>
      <c r="S509" s="18"/>
      <c r="T509" s="289"/>
      <c r="U509" s="18"/>
      <c r="V509" s="289"/>
      <c r="W509" s="18"/>
      <c r="X509" s="18"/>
      <c r="Y509" s="18"/>
      <c r="Z509" s="18"/>
    </row>
    <row r="510" spans="1:26" ht="16.5" customHeight="1" x14ac:dyDescent="0.35">
      <c r="A510" s="230"/>
      <c r="B510" s="236"/>
      <c r="C510" s="227" t="s">
        <v>112</v>
      </c>
      <c r="D510" s="218">
        <v>3</v>
      </c>
      <c r="E510" s="216">
        <v>1.5</v>
      </c>
      <c r="F510" s="218" t="s">
        <v>51</v>
      </c>
      <c r="G510" s="218" t="s">
        <v>103</v>
      </c>
      <c r="H510" s="74" t="s">
        <v>46</v>
      </c>
      <c r="I510" s="74" t="s">
        <v>44</v>
      </c>
      <c r="J510" s="74" t="s">
        <v>114</v>
      </c>
      <c r="K510" s="218" t="s">
        <v>54</v>
      </c>
      <c r="L510" s="66"/>
      <c r="M510" s="18"/>
      <c r="N510" s="18"/>
      <c r="O510" s="18"/>
      <c r="P510" s="293"/>
      <c r="Q510" s="295"/>
      <c r="R510" s="294"/>
      <c r="S510" s="18"/>
      <c r="T510" s="293"/>
      <c r="U510" s="295"/>
      <c r="V510" s="294"/>
      <c r="W510" s="18"/>
      <c r="X510" s="18"/>
      <c r="Y510" s="18"/>
      <c r="Z510" s="18"/>
    </row>
    <row r="511" spans="1:26" ht="16.5" customHeight="1" x14ac:dyDescent="0.35">
      <c r="A511" s="230"/>
      <c r="B511" s="236"/>
      <c r="C511" s="217"/>
      <c r="D511" s="217"/>
      <c r="E511" s="217"/>
      <c r="F511" s="217"/>
      <c r="G511" s="217"/>
      <c r="H511" s="74" t="s">
        <v>55</v>
      </c>
      <c r="I511" s="74" t="s">
        <v>44</v>
      </c>
      <c r="J511" s="74" t="s">
        <v>110</v>
      </c>
      <c r="K511" s="217"/>
      <c r="L511" s="66"/>
      <c r="M511" s="18"/>
      <c r="N511" s="18"/>
      <c r="O511" s="18"/>
      <c r="P511" s="284"/>
      <c r="Q511" s="284"/>
      <c r="R511" s="284"/>
      <c r="S511" s="18"/>
      <c r="T511" s="284"/>
      <c r="U511" s="284"/>
      <c r="V511" s="284"/>
      <c r="W511" s="18"/>
      <c r="X511" s="18"/>
      <c r="Y511" s="18"/>
      <c r="Z511" s="18"/>
    </row>
    <row r="512" spans="1:26" ht="16.5" customHeight="1" x14ac:dyDescent="0.35">
      <c r="A512" s="230"/>
      <c r="B512" s="236"/>
      <c r="C512" s="227" t="s">
        <v>115</v>
      </c>
      <c r="D512" s="218">
        <v>3</v>
      </c>
      <c r="E512" s="216">
        <v>1.5</v>
      </c>
      <c r="F512" s="218" t="s">
        <v>51</v>
      </c>
      <c r="G512" s="218" t="s">
        <v>90</v>
      </c>
      <c r="H512" s="84" t="s">
        <v>48</v>
      </c>
      <c r="I512" s="74" t="s">
        <v>36</v>
      </c>
      <c r="J512" s="74" t="s">
        <v>57</v>
      </c>
      <c r="K512" s="218" t="s">
        <v>54</v>
      </c>
      <c r="L512" s="84"/>
      <c r="M512" s="108"/>
      <c r="N512" s="18"/>
      <c r="O512" s="18"/>
      <c r="P512" s="293"/>
      <c r="Q512" s="295"/>
      <c r="R512" s="294"/>
      <c r="S512" s="18"/>
      <c r="T512" s="293"/>
      <c r="U512" s="295"/>
      <c r="V512" s="294"/>
      <c r="W512" s="18"/>
      <c r="X512" s="18"/>
      <c r="Y512" s="18"/>
      <c r="Z512" s="18"/>
    </row>
    <row r="513" spans="1:26" ht="16.5" customHeight="1" x14ac:dyDescent="0.35">
      <c r="A513" s="230"/>
      <c r="B513" s="236"/>
      <c r="C513" s="219"/>
      <c r="D513" s="219"/>
      <c r="E513" s="219"/>
      <c r="F513" s="219"/>
      <c r="G513" s="219"/>
      <c r="H513" s="84" t="s">
        <v>55</v>
      </c>
      <c r="I513" s="74" t="s">
        <v>304</v>
      </c>
      <c r="J513" s="74" t="s">
        <v>114</v>
      </c>
      <c r="K513" s="219"/>
      <c r="L513" s="66"/>
      <c r="M513" s="18"/>
      <c r="N513" s="18"/>
      <c r="O513" s="18"/>
      <c r="P513" s="284"/>
      <c r="Q513" s="284"/>
      <c r="R513" s="284"/>
      <c r="S513" s="18"/>
      <c r="T513" s="284"/>
      <c r="U513" s="284"/>
      <c r="V513" s="284"/>
      <c r="W513" s="18"/>
      <c r="X513" s="18"/>
      <c r="Y513" s="18"/>
      <c r="Z513" s="18"/>
    </row>
    <row r="514" spans="1:26" ht="16.5" customHeight="1" x14ac:dyDescent="0.35">
      <c r="A514" s="230"/>
      <c r="B514" s="236"/>
      <c r="C514" s="227" t="s">
        <v>305</v>
      </c>
      <c r="D514" s="218">
        <v>3</v>
      </c>
      <c r="E514" s="216">
        <v>3</v>
      </c>
      <c r="F514" s="218" t="s">
        <v>158</v>
      </c>
      <c r="G514" s="218" t="s">
        <v>101</v>
      </c>
      <c r="H514" s="74" t="s">
        <v>35</v>
      </c>
      <c r="I514" s="74" t="s">
        <v>40</v>
      </c>
      <c r="J514" s="74" t="s">
        <v>206</v>
      </c>
      <c r="K514" s="218" t="s">
        <v>38</v>
      </c>
      <c r="L514" s="66"/>
      <c r="M514" s="18"/>
      <c r="N514" s="18"/>
      <c r="O514" s="18"/>
      <c r="P514" s="293"/>
      <c r="Q514" s="295"/>
      <c r="R514" s="294"/>
      <c r="S514" s="18"/>
      <c r="T514" s="293"/>
      <c r="U514" s="295"/>
      <c r="V514" s="294"/>
      <c r="W514" s="18"/>
      <c r="X514" s="18"/>
      <c r="Y514" s="18"/>
      <c r="Z514" s="18"/>
    </row>
    <row r="515" spans="1:26" ht="16.5" customHeight="1" x14ac:dyDescent="0.35">
      <c r="A515" s="230"/>
      <c r="B515" s="236"/>
      <c r="C515" s="217"/>
      <c r="D515" s="217"/>
      <c r="E515" s="217"/>
      <c r="F515" s="217"/>
      <c r="G515" s="217"/>
      <c r="H515" s="74" t="s">
        <v>55</v>
      </c>
      <c r="I515" s="74" t="s">
        <v>36</v>
      </c>
      <c r="J515" s="74" t="s">
        <v>150</v>
      </c>
      <c r="K515" s="217"/>
      <c r="L515" s="66"/>
      <c r="M515" s="18"/>
      <c r="N515" s="18"/>
      <c r="O515" s="18"/>
      <c r="P515" s="284"/>
      <c r="Q515" s="284"/>
      <c r="R515" s="284"/>
      <c r="S515" s="18"/>
      <c r="T515" s="284"/>
      <c r="U515" s="284"/>
      <c r="V515" s="284"/>
      <c r="W515" s="18"/>
      <c r="X515" s="18"/>
      <c r="Y515" s="18"/>
      <c r="Z515" s="18"/>
    </row>
    <row r="516" spans="1:26" ht="16.5" customHeight="1" x14ac:dyDescent="0.35">
      <c r="A516" s="230"/>
      <c r="B516" s="236"/>
      <c r="C516" s="245" t="s">
        <v>166</v>
      </c>
      <c r="D516" s="224">
        <v>3</v>
      </c>
      <c r="E516" s="225">
        <v>1.5</v>
      </c>
      <c r="F516" s="218" t="s">
        <v>63</v>
      </c>
      <c r="G516" s="224" t="s">
        <v>101</v>
      </c>
      <c r="H516" s="85" t="s">
        <v>35</v>
      </c>
      <c r="I516" s="85" t="s">
        <v>36</v>
      </c>
      <c r="J516" s="85" t="s">
        <v>65</v>
      </c>
      <c r="K516" s="224" t="s">
        <v>54</v>
      </c>
      <c r="L516" s="66"/>
      <c r="M516" s="18"/>
      <c r="N516" s="18"/>
      <c r="O516" s="18"/>
      <c r="P516" s="293"/>
      <c r="Q516" s="295"/>
      <c r="R516" s="294"/>
      <c r="S516" s="18"/>
      <c r="T516" s="293"/>
      <c r="U516" s="295"/>
      <c r="V516" s="294"/>
      <c r="W516" s="18"/>
      <c r="X516" s="18"/>
      <c r="Y516" s="18"/>
      <c r="Z516" s="18"/>
    </row>
    <row r="517" spans="1:26" ht="16.5" customHeight="1" x14ac:dyDescent="0.35">
      <c r="A517" s="230"/>
      <c r="B517" s="236"/>
      <c r="C517" s="217"/>
      <c r="D517" s="217"/>
      <c r="E517" s="217"/>
      <c r="F517" s="217"/>
      <c r="G517" s="217"/>
      <c r="H517" s="74" t="s">
        <v>46</v>
      </c>
      <c r="I517" s="85" t="s">
        <v>36</v>
      </c>
      <c r="J517" s="85" t="s">
        <v>111</v>
      </c>
      <c r="K517" s="217"/>
      <c r="L517" s="66"/>
      <c r="M517" s="18"/>
      <c r="N517" s="18"/>
      <c r="O517" s="18"/>
      <c r="P517" s="284"/>
      <c r="Q517" s="284"/>
      <c r="R517" s="284"/>
      <c r="S517" s="18"/>
      <c r="T517" s="284"/>
      <c r="U517" s="284"/>
      <c r="V517" s="284"/>
      <c r="W517" s="18"/>
      <c r="X517" s="18"/>
      <c r="Y517" s="18"/>
      <c r="Z517" s="18"/>
    </row>
    <row r="518" spans="1:26" ht="16.5" customHeight="1" x14ac:dyDescent="0.35">
      <c r="A518" s="230"/>
      <c r="B518" s="236"/>
      <c r="C518" s="231" t="s">
        <v>233</v>
      </c>
      <c r="D518" s="218">
        <v>3</v>
      </c>
      <c r="E518" s="216">
        <v>1.5</v>
      </c>
      <c r="F518" s="218" t="s">
        <v>68</v>
      </c>
      <c r="G518" s="218" t="s">
        <v>64</v>
      </c>
      <c r="H518" s="74" t="s">
        <v>46</v>
      </c>
      <c r="I518" s="76" t="s">
        <v>44</v>
      </c>
      <c r="J518" s="74" t="s">
        <v>149</v>
      </c>
      <c r="K518" s="218" t="s">
        <v>38</v>
      </c>
      <c r="L518" s="66"/>
      <c r="M518" s="18"/>
      <c r="N518" s="18"/>
      <c r="O518" s="18"/>
      <c r="P518" s="293"/>
      <c r="Q518" s="295"/>
      <c r="R518" s="294"/>
      <c r="S518" s="18"/>
      <c r="T518" s="293"/>
      <c r="U518" s="295"/>
      <c r="V518" s="294"/>
      <c r="W518" s="18"/>
      <c r="X518" s="18"/>
      <c r="Y518" s="18"/>
      <c r="Z518" s="18"/>
    </row>
    <row r="519" spans="1:26" ht="16.5" customHeight="1" x14ac:dyDescent="0.35">
      <c r="A519" s="230"/>
      <c r="B519" s="236"/>
      <c r="C519" s="217"/>
      <c r="D519" s="217"/>
      <c r="E519" s="217"/>
      <c r="F519" s="217"/>
      <c r="G519" s="217"/>
      <c r="H519" s="84" t="s">
        <v>48</v>
      </c>
      <c r="I519" s="76" t="s">
        <v>44</v>
      </c>
      <c r="J519" s="76" t="s">
        <v>149</v>
      </c>
      <c r="K519" s="217"/>
      <c r="L519" s="66"/>
      <c r="M519" s="18"/>
      <c r="N519" s="18"/>
      <c r="O519" s="18"/>
      <c r="P519" s="284"/>
      <c r="Q519" s="284"/>
      <c r="R519" s="284"/>
      <c r="S519" s="18"/>
      <c r="T519" s="284"/>
      <c r="U519" s="284"/>
      <c r="V519" s="284"/>
      <c r="W519" s="18"/>
      <c r="X519" s="18"/>
      <c r="Y519" s="18"/>
      <c r="Z519" s="18"/>
    </row>
    <row r="520" spans="1:26" ht="16.5" customHeight="1" x14ac:dyDescent="0.35">
      <c r="A520" s="230"/>
      <c r="B520" s="236"/>
      <c r="C520" s="227" t="s">
        <v>145</v>
      </c>
      <c r="D520" s="218">
        <v>3</v>
      </c>
      <c r="E520" s="216">
        <v>1.5</v>
      </c>
      <c r="F520" s="218" t="s">
        <v>68</v>
      </c>
      <c r="G520" s="218" t="s">
        <v>104</v>
      </c>
      <c r="H520" s="74" t="s">
        <v>35</v>
      </c>
      <c r="I520" s="76" t="s">
        <v>146</v>
      </c>
      <c r="J520" s="76" t="s">
        <v>149</v>
      </c>
      <c r="K520" s="218" t="s">
        <v>54</v>
      </c>
      <c r="L520" s="66"/>
      <c r="M520" s="18"/>
      <c r="N520" s="18"/>
      <c r="O520" s="18"/>
      <c r="P520" s="293"/>
      <c r="Q520" s="295"/>
      <c r="R520" s="294"/>
      <c r="S520" s="18"/>
      <c r="T520" s="293"/>
      <c r="U520" s="295"/>
      <c r="V520" s="294"/>
      <c r="W520" s="18"/>
      <c r="X520" s="18"/>
      <c r="Y520" s="18"/>
      <c r="Z520" s="18"/>
    </row>
    <row r="521" spans="1:26" ht="16.5" customHeight="1" x14ac:dyDescent="0.35">
      <c r="A521" s="230"/>
      <c r="B521" s="236"/>
      <c r="C521" s="217"/>
      <c r="D521" s="217"/>
      <c r="E521" s="217"/>
      <c r="F521" s="217"/>
      <c r="G521" s="217"/>
      <c r="H521" s="84" t="s">
        <v>48</v>
      </c>
      <c r="I521" s="76" t="s">
        <v>146</v>
      </c>
      <c r="J521" s="76" t="s">
        <v>149</v>
      </c>
      <c r="K521" s="219"/>
      <c r="L521" s="66"/>
      <c r="M521" s="18"/>
      <c r="N521" s="18"/>
      <c r="O521" s="18"/>
      <c r="P521" s="284"/>
      <c r="Q521" s="284"/>
      <c r="R521" s="284"/>
      <c r="S521" s="18"/>
      <c r="T521" s="284"/>
      <c r="U521" s="284"/>
      <c r="V521" s="284"/>
      <c r="W521" s="18"/>
      <c r="X521" s="18"/>
      <c r="Y521" s="18"/>
      <c r="Z521" s="18"/>
    </row>
    <row r="522" spans="1:26" ht="16.5" customHeight="1" x14ac:dyDescent="0.35">
      <c r="A522" s="230"/>
      <c r="B522" s="240"/>
      <c r="C522" s="94" t="s">
        <v>89</v>
      </c>
      <c r="D522" s="74">
        <v>3</v>
      </c>
      <c r="E522" s="81">
        <v>3</v>
      </c>
      <c r="F522" s="67" t="s">
        <v>51</v>
      </c>
      <c r="G522" s="67" t="s">
        <v>192</v>
      </c>
      <c r="H522" s="74" t="s">
        <v>35</v>
      </c>
      <c r="I522" s="74" t="s">
        <v>91</v>
      </c>
      <c r="J522" s="83" t="s">
        <v>163</v>
      </c>
      <c r="K522" s="74" t="s">
        <v>93</v>
      </c>
      <c r="L522" s="66"/>
      <c r="M522" s="18"/>
      <c r="N522" s="18"/>
      <c r="O522" s="18"/>
      <c r="P522" s="18"/>
      <c r="Q522" s="18"/>
      <c r="R522" s="18"/>
      <c r="S522" s="18"/>
      <c r="T522" s="293"/>
      <c r="U522" s="295"/>
      <c r="V522" s="294"/>
      <c r="W522" s="18"/>
      <c r="X522" s="18"/>
      <c r="Y522" s="18"/>
      <c r="Z522" s="18"/>
    </row>
    <row r="523" spans="1:26" ht="16.5" customHeight="1" x14ac:dyDescent="0.35">
      <c r="A523" s="217"/>
      <c r="B523" s="228" t="s">
        <v>72</v>
      </c>
      <c r="C523" s="221"/>
      <c r="D523" s="222"/>
      <c r="E523" s="71">
        <f>SUM(E502:E522)</f>
        <v>20</v>
      </c>
      <c r="F523" s="220"/>
      <c r="G523" s="221"/>
      <c r="H523" s="221"/>
      <c r="I523" s="221"/>
      <c r="J523" s="221"/>
      <c r="K523" s="222"/>
      <c r="L523" s="66"/>
      <c r="M523" s="18"/>
      <c r="N523" s="18"/>
      <c r="O523" s="18"/>
      <c r="P523" s="18"/>
      <c r="Q523" s="18"/>
      <c r="R523" s="18"/>
      <c r="S523" s="18"/>
      <c r="T523" s="284"/>
      <c r="U523" s="284"/>
      <c r="V523" s="284"/>
      <c r="W523" s="18"/>
      <c r="X523" s="18"/>
      <c r="Y523" s="18"/>
      <c r="Z523" s="18"/>
    </row>
    <row r="524" spans="1:26" ht="16.5" customHeight="1" x14ac:dyDescent="0.35">
      <c r="A524" s="229">
        <v>32</v>
      </c>
      <c r="B524" s="238" t="s">
        <v>306</v>
      </c>
      <c r="C524" s="243" t="s">
        <v>50</v>
      </c>
      <c r="D524" s="242">
        <v>3</v>
      </c>
      <c r="E524" s="244">
        <v>1.5</v>
      </c>
      <c r="F524" s="242" t="s">
        <v>106</v>
      </c>
      <c r="G524" s="242" t="s">
        <v>42</v>
      </c>
      <c r="H524" s="109" t="s">
        <v>35</v>
      </c>
      <c r="I524" s="109" t="s">
        <v>56</v>
      </c>
      <c r="J524" s="109" t="s">
        <v>143</v>
      </c>
      <c r="K524" s="218" t="s">
        <v>54</v>
      </c>
      <c r="L524" s="66" t="s">
        <v>102</v>
      </c>
      <c r="M524" s="18"/>
      <c r="N524" s="18"/>
      <c r="O524" s="18"/>
      <c r="P524" s="293"/>
      <c r="Q524" s="295"/>
      <c r="R524" s="294"/>
      <c r="S524" s="18"/>
      <c r="T524" s="293"/>
      <c r="U524" s="295"/>
      <c r="V524" s="294"/>
      <c r="W524" s="18"/>
      <c r="X524" s="18"/>
      <c r="Y524" s="18"/>
      <c r="Z524" s="18"/>
    </row>
    <row r="525" spans="1:26" ht="16.5" customHeight="1" x14ac:dyDescent="0.35">
      <c r="A525" s="230"/>
      <c r="B525" s="230"/>
      <c r="C525" s="217"/>
      <c r="D525" s="217"/>
      <c r="E525" s="217"/>
      <c r="F525" s="217"/>
      <c r="G525" s="217"/>
      <c r="H525" s="109" t="s">
        <v>55</v>
      </c>
      <c r="I525" s="109" t="s">
        <v>123</v>
      </c>
      <c r="J525" s="109" t="s">
        <v>41</v>
      </c>
      <c r="K525" s="217"/>
      <c r="L525" s="66" t="s">
        <v>102</v>
      </c>
      <c r="M525" s="18"/>
      <c r="N525" s="18"/>
      <c r="O525" s="18"/>
      <c r="P525" s="284"/>
      <c r="Q525" s="284"/>
      <c r="R525" s="284"/>
      <c r="S525" s="18"/>
      <c r="T525" s="284"/>
      <c r="U525" s="284"/>
      <c r="V525" s="284"/>
      <c r="W525" s="18"/>
      <c r="X525" s="18"/>
      <c r="Y525" s="18"/>
      <c r="Z525" s="18"/>
    </row>
    <row r="526" spans="1:26" ht="16.5" customHeight="1" x14ac:dyDescent="0.35">
      <c r="A526" s="230"/>
      <c r="B526" s="230"/>
      <c r="C526" s="243" t="s">
        <v>58</v>
      </c>
      <c r="D526" s="242">
        <v>3</v>
      </c>
      <c r="E526" s="244">
        <v>1.5</v>
      </c>
      <c r="F526" s="242" t="s">
        <v>106</v>
      </c>
      <c r="G526" s="242" t="s">
        <v>45</v>
      </c>
      <c r="H526" s="109" t="s">
        <v>46</v>
      </c>
      <c r="I526" s="109" t="s">
        <v>61</v>
      </c>
      <c r="J526" s="110" t="s">
        <v>60</v>
      </c>
      <c r="K526" s="218" t="s">
        <v>38</v>
      </c>
      <c r="L526" s="66"/>
      <c r="M526" s="18"/>
      <c r="N526" s="18"/>
      <c r="O526" s="18"/>
      <c r="P526" s="293"/>
      <c r="Q526" s="295"/>
      <c r="R526" s="294"/>
      <c r="S526" s="18"/>
      <c r="T526" s="18"/>
      <c r="U526" s="18"/>
      <c r="V526" s="18"/>
      <c r="W526" s="18"/>
      <c r="X526" s="18"/>
      <c r="Y526" s="18"/>
      <c r="Z526" s="18"/>
    </row>
    <row r="527" spans="1:26" ht="16.5" customHeight="1" x14ac:dyDescent="0.35">
      <c r="A527" s="230"/>
      <c r="B527" s="230"/>
      <c r="C527" s="217"/>
      <c r="D527" s="217"/>
      <c r="E527" s="217"/>
      <c r="F527" s="217"/>
      <c r="G527" s="217"/>
      <c r="H527" s="109" t="s">
        <v>55</v>
      </c>
      <c r="I527" s="109" t="s">
        <v>131</v>
      </c>
      <c r="J527" s="110" t="s">
        <v>60</v>
      </c>
      <c r="K527" s="217"/>
      <c r="L527" s="66"/>
      <c r="M527" s="18"/>
      <c r="N527" s="18"/>
      <c r="O527" s="18"/>
      <c r="P527" s="284"/>
      <c r="Q527" s="284"/>
      <c r="R527" s="284"/>
      <c r="S527" s="18"/>
      <c r="T527" s="293"/>
      <c r="U527" s="295"/>
      <c r="V527" s="294"/>
      <c r="W527" s="18"/>
      <c r="X527" s="18"/>
      <c r="Y527" s="18"/>
      <c r="Z527" s="18"/>
    </row>
    <row r="528" spans="1:26" ht="16.5" customHeight="1" x14ac:dyDescent="0.35">
      <c r="A528" s="230"/>
      <c r="B528" s="230"/>
      <c r="C528" s="227" t="s">
        <v>276</v>
      </c>
      <c r="D528" s="218">
        <v>2</v>
      </c>
      <c r="E528" s="216">
        <v>2</v>
      </c>
      <c r="F528" s="218" t="s">
        <v>106</v>
      </c>
      <c r="G528" s="218" t="s">
        <v>42</v>
      </c>
      <c r="H528" s="74" t="s">
        <v>46</v>
      </c>
      <c r="I528" s="74" t="s">
        <v>131</v>
      </c>
      <c r="J528" s="74" t="s">
        <v>133</v>
      </c>
      <c r="K528" s="218" t="s">
        <v>38</v>
      </c>
      <c r="L528" s="66"/>
      <c r="M528" s="18"/>
      <c r="N528" s="18"/>
      <c r="O528" s="18"/>
      <c r="P528" s="293"/>
      <c r="Q528" s="295"/>
      <c r="R528" s="294"/>
      <c r="S528" s="18"/>
      <c r="T528" s="284"/>
      <c r="U528" s="284"/>
      <c r="V528" s="284"/>
      <c r="W528" s="18"/>
      <c r="X528" s="18"/>
      <c r="Y528" s="18"/>
      <c r="Z528" s="18"/>
    </row>
    <row r="529" spans="1:26" ht="16.5" customHeight="1" x14ac:dyDescent="0.35">
      <c r="A529" s="230"/>
      <c r="B529" s="230"/>
      <c r="C529" s="217"/>
      <c r="D529" s="217"/>
      <c r="E529" s="217"/>
      <c r="F529" s="217"/>
      <c r="G529" s="217"/>
      <c r="H529" s="74" t="s">
        <v>39</v>
      </c>
      <c r="I529" s="74" t="s">
        <v>123</v>
      </c>
      <c r="J529" s="74" t="s">
        <v>71</v>
      </c>
      <c r="K529" s="217"/>
      <c r="L529" s="66" t="s">
        <v>102</v>
      </c>
      <c r="M529" s="18"/>
      <c r="N529" s="18"/>
      <c r="O529" s="18"/>
      <c r="P529" s="284"/>
      <c r="Q529" s="284"/>
      <c r="R529" s="284"/>
      <c r="S529" s="18"/>
      <c r="T529" s="293"/>
      <c r="U529" s="295"/>
      <c r="V529" s="294"/>
      <c r="W529" s="18"/>
      <c r="X529" s="18"/>
      <c r="Y529" s="18"/>
      <c r="Z529" s="18"/>
    </row>
    <row r="530" spans="1:26" ht="16.5" customHeight="1" x14ac:dyDescent="0.35">
      <c r="A530" s="230"/>
      <c r="B530" s="230"/>
      <c r="C530" s="227" t="s">
        <v>276</v>
      </c>
      <c r="D530" s="218">
        <v>2</v>
      </c>
      <c r="E530" s="216">
        <v>2</v>
      </c>
      <c r="F530" s="218" t="s">
        <v>106</v>
      </c>
      <c r="G530" s="218" t="s">
        <v>45</v>
      </c>
      <c r="H530" s="74" t="s">
        <v>35</v>
      </c>
      <c r="I530" s="74" t="s">
        <v>52</v>
      </c>
      <c r="J530" s="74" t="s">
        <v>114</v>
      </c>
      <c r="K530" s="218" t="s">
        <v>54</v>
      </c>
      <c r="L530" s="66"/>
      <c r="M530" s="18"/>
      <c r="N530" s="18"/>
      <c r="O530" s="18"/>
      <c r="P530" s="293"/>
      <c r="Q530" s="295"/>
      <c r="R530" s="294"/>
      <c r="S530" s="18"/>
      <c r="T530" s="284"/>
      <c r="U530" s="284"/>
      <c r="V530" s="284"/>
      <c r="W530" s="18"/>
      <c r="X530" s="18"/>
      <c r="Y530" s="18"/>
      <c r="Z530" s="18"/>
    </row>
    <row r="531" spans="1:26" ht="16.5" customHeight="1" x14ac:dyDescent="0.35">
      <c r="A531" s="230"/>
      <c r="B531" s="230"/>
      <c r="C531" s="217"/>
      <c r="D531" s="217"/>
      <c r="E531" s="217"/>
      <c r="F531" s="217"/>
      <c r="G531" s="217"/>
      <c r="H531" s="74" t="s">
        <v>46</v>
      </c>
      <c r="I531" s="74" t="s">
        <v>56</v>
      </c>
      <c r="J531" s="74" t="s">
        <v>114</v>
      </c>
      <c r="K531" s="217"/>
      <c r="L531" s="66"/>
      <c r="M531" s="18"/>
      <c r="N531" s="18"/>
      <c r="O531" s="18"/>
      <c r="P531" s="284"/>
      <c r="Q531" s="284"/>
      <c r="R531" s="284"/>
      <c r="S531" s="18"/>
      <c r="T531" s="293"/>
      <c r="U531" s="295"/>
      <c r="V531" s="294"/>
      <c r="W531" s="18"/>
      <c r="X531" s="18"/>
      <c r="Y531" s="18"/>
      <c r="Z531" s="18"/>
    </row>
    <row r="532" spans="1:26" ht="16.5" customHeight="1" x14ac:dyDescent="0.35">
      <c r="A532" s="230"/>
      <c r="B532" s="230"/>
      <c r="C532" s="227" t="s">
        <v>307</v>
      </c>
      <c r="D532" s="218">
        <v>2</v>
      </c>
      <c r="E532" s="216">
        <v>2</v>
      </c>
      <c r="F532" s="218" t="s">
        <v>106</v>
      </c>
      <c r="G532" s="218" t="s">
        <v>64</v>
      </c>
      <c r="H532" s="74" t="s">
        <v>46</v>
      </c>
      <c r="I532" s="74" t="s">
        <v>56</v>
      </c>
      <c r="J532" s="74" t="s">
        <v>53</v>
      </c>
      <c r="K532" s="218" t="s">
        <v>38</v>
      </c>
      <c r="L532" s="66"/>
      <c r="M532" s="18"/>
      <c r="N532" s="18"/>
      <c r="O532" s="18"/>
      <c r="P532" s="7"/>
      <c r="Q532" s="7"/>
      <c r="R532" s="7"/>
      <c r="S532" s="18"/>
      <c r="T532" s="284"/>
      <c r="U532" s="284"/>
      <c r="V532" s="284"/>
      <c r="W532" s="18"/>
      <c r="X532" s="18"/>
      <c r="Y532" s="18"/>
      <c r="Z532" s="18"/>
    </row>
    <row r="533" spans="1:26" ht="16.5" customHeight="1" x14ac:dyDescent="0.35">
      <c r="A533" s="230"/>
      <c r="B533" s="230"/>
      <c r="C533" s="217"/>
      <c r="D533" s="217"/>
      <c r="E533" s="217"/>
      <c r="F533" s="217"/>
      <c r="G533" s="217"/>
      <c r="H533" s="74" t="s">
        <v>39</v>
      </c>
      <c r="I533" s="74" t="s">
        <v>59</v>
      </c>
      <c r="J533" s="74" t="s">
        <v>98</v>
      </c>
      <c r="K533" s="217"/>
      <c r="L533" s="66"/>
      <c r="M533" s="18"/>
      <c r="N533" s="18"/>
      <c r="O533" s="18"/>
      <c r="P533" s="7"/>
      <c r="Q533" s="7"/>
      <c r="R533" s="7"/>
      <c r="S533" s="18"/>
      <c r="T533" s="284"/>
      <c r="U533" s="284"/>
      <c r="V533" s="284"/>
      <c r="W533" s="18"/>
      <c r="X533" s="18"/>
      <c r="Y533" s="18"/>
      <c r="Z533" s="18"/>
    </row>
    <row r="534" spans="1:26" ht="16.5" customHeight="1" x14ac:dyDescent="0.35">
      <c r="A534" s="230"/>
      <c r="B534" s="230"/>
      <c r="C534" s="227" t="s">
        <v>141</v>
      </c>
      <c r="D534" s="218">
        <v>3</v>
      </c>
      <c r="E534" s="216">
        <v>3</v>
      </c>
      <c r="F534" s="218" t="s">
        <v>106</v>
      </c>
      <c r="G534" s="218" t="s">
        <v>76</v>
      </c>
      <c r="H534" s="74" t="s">
        <v>35</v>
      </c>
      <c r="I534" s="74" t="s">
        <v>108</v>
      </c>
      <c r="J534" s="74" t="s">
        <v>98</v>
      </c>
      <c r="K534" s="218" t="s">
        <v>38</v>
      </c>
      <c r="L534" s="66"/>
      <c r="M534" s="18"/>
      <c r="N534" s="18"/>
      <c r="O534" s="18"/>
      <c r="P534" s="7"/>
      <c r="Q534" s="7"/>
      <c r="R534" s="7"/>
      <c r="S534" s="18"/>
      <c r="T534" s="284"/>
      <c r="U534" s="284"/>
      <c r="V534" s="284"/>
      <c r="W534" s="18"/>
      <c r="X534" s="18"/>
      <c r="Y534" s="18"/>
      <c r="Z534" s="18"/>
    </row>
    <row r="535" spans="1:26" ht="16.5" customHeight="1" x14ac:dyDescent="0.35">
      <c r="A535" s="217"/>
      <c r="B535" s="217"/>
      <c r="C535" s="219"/>
      <c r="D535" s="219"/>
      <c r="E535" s="219"/>
      <c r="F535" s="219"/>
      <c r="G535" s="219"/>
      <c r="H535" s="84" t="s">
        <v>46</v>
      </c>
      <c r="I535" s="84" t="s">
        <v>108</v>
      </c>
      <c r="J535" s="84" t="s">
        <v>98</v>
      </c>
      <c r="K535" s="219"/>
      <c r="L535" s="66"/>
      <c r="M535" s="18"/>
      <c r="N535" s="18"/>
      <c r="O535" s="18"/>
      <c r="P535" s="7"/>
      <c r="Q535" s="7"/>
      <c r="R535" s="7"/>
      <c r="S535" s="18"/>
      <c r="T535" s="284"/>
      <c r="U535" s="284"/>
      <c r="V535" s="284"/>
      <c r="W535" s="18"/>
      <c r="X535" s="18"/>
      <c r="Y535" s="18"/>
      <c r="Z535" s="18"/>
    </row>
    <row r="536" spans="1:26" ht="16.5" customHeight="1" x14ac:dyDescent="0.35">
      <c r="A536" s="104"/>
      <c r="B536" s="59"/>
      <c r="C536" s="60"/>
      <c r="D536" s="61"/>
      <c r="E536" s="62"/>
      <c r="F536" s="61"/>
      <c r="G536" s="61"/>
      <c r="H536" s="61"/>
      <c r="I536" s="61"/>
      <c r="J536" s="61"/>
      <c r="K536" s="61"/>
      <c r="L536" s="66"/>
      <c r="M536" s="18"/>
      <c r="N536" s="18"/>
      <c r="O536" s="18"/>
      <c r="P536" s="7"/>
      <c r="Q536" s="7"/>
      <c r="R536" s="7"/>
      <c r="S536" s="18"/>
      <c r="T536" s="284"/>
      <c r="U536" s="284"/>
      <c r="V536" s="284"/>
      <c r="W536" s="18"/>
      <c r="X536" s="18"/>
      <c r="Y536" s="18"/>
      <c r="Z536" s="18"/>
    </row>
    <row r="537" spans="1:26" ht="16.5" customHeight="1" x14ac:dyDescent="0.35">
      <c r="A537" s="105"/>
      <c r="B537" s="65"/>
      <c r="C537" s="66"/>
      <c r="D537" s="67"/>
      <c r="E537" s="68"/>
      <c r="F537" s="67"/>
      <c r="G537" s="67"/>
      <c r="H537" s="67"/>
      <c r="I537" s="67"/>
      <c r="J537" s="67"/>
      <c r="K537" s="67"/>
      <c r="L537" s="66"/>
      <c r="M537" s="18"/>
      <c r="N537" s="18"/>
      <c r="O537" s="18"/>
      <c r="P537" s="7"/>
      <c r="Q537" s="7"/>
      <c r="R537" s="7"/>
      <c r="S537" s="18"/>
      <c r="T537" s="284"/>
      <c r="U537" s="284"/>
      <c r="V537" s="284"/>
      <c r="W537" s="18"/>
      <c r="X537" s="18"/>
      <c r="Y537" s="18"/>
      <c r="Z537" s="18"/>
    </row>
    <row r="538" spans="1:26" ht="16.5" customHeight="1" x14ac:dyDescent="0.35">
      <c r="A538" s="105"/>
      <c r="B538" s="65"/>
      <c r="C538" s="66"/>
      <c r="D538" s="67"/>
      <c r="E538" s="68"/>
      <c r="F538" s="67"/>
      <c r="G538" s="67"/>
      <c r="H538" s="67"/>
      <c r="I538" s="67"/>
      <c r="J538" s="67"/>
      <c r="K538" s="67"/>
      <c r="L538" s="66"/>
      <c r="M538" s="18"/>
      <c r="N538" s="18"/>
      <c r="O538" s="18"/>
      <c r="P538" s="7"/>
      <c r="Q538" s="7"/>
      <c r="R538" s="7"/>
      <c r="S538" s="18"/>
      <c r="T538" s="284"/>
      <c r="U538" s="284"/>
      <c r="V538" s="284"/>
      <c r="W538" s="18"/>
      <c r="X538" s="18"/>
      <c r="Y538" s="18"/>
      <c r="Z538" s="18"/>
    </row>
    <row r="539" spans="1:26" ht="16.5" customHeight="1" x14ac:dyDescent="0.35">
      <c r="A539" s="105"/>
      <c r="B539" s="65"/>
      <c r="C539" s="66"/>
      <c r="D539" s="67"/>
      <c r="E539" s="68"/>
      <c r="F539" s="67"/>
      <c r="G539" s="67"/>
      <c r="H539" s="67"/>
      <c r="I539" s="67"/>
      <c r="J539" s="67"/>
      <c r="K539" s="67"/>
      <c r="L539" s="66"/>
      <c r="M539" s="18"/>
      <c r="N539" s="18"/>
      <c r="O539" s="18"/>
      <c r="P539" s="7"/>
      <c r="Q539" s="7"/>
      <c r="R539" s="7"/>
      <c r="S539" s="18"/>
      <c r="T539" s="284"/>
      <c r="U539" s="284"/>
      <c r="V539" s="284"/>
      <c r="W539" s="18"/>
      <c r="X539" s="18"/>
      <c r="Y539" s="18"/>
      <c r="Z539" s="18"/>
    </row>
    <row r="540" spans="1:26" ht="16.5" customHeight="1" x14ac:dyDescent="0.35">
      <c r="A540" s="105"/>
      <c r="B540" s="65"/>
      <c r="C540" s="66"/>
      <c r="D540" s="67"/>
      <c r="E540" s="68"/>
      <c r="F540" s="67"/>
      <c r="G540" s="67"/>
      <c r="H540" s="67"/>
      <c r="I540" s="67"/>
      <c r="J540" s="67"/>
      <c r="K540" s="67"/>
      <c r="L540" s="66"/>
      <c r="M540" s="18"/>
      <c r="N540" s="18"/>
      <c r="O540" s="18"/>
      <c r="P540" s="7"/>
      <c r="Q540" s="7"/>
      <c r="R540" s="7"/>
      <c r="S540" s="18"/>
      <c r="T540" s="284"/>
      <c r="U540" s="284"/>
      <c r="V540" s="284"/>
      <c r="W540" s="18"/>
      <c r="X540" s="18"/>
      <c r="Y540" s="18"/>
      <c r="Z540" s="18"/>
    </row>
    <row r="541" spans="1:26" ht="16.5" customHeight="1" x14ac:dyDescent="0.35">
      <c r="A541" s="223" t="s">
        <v>7</v>
      </c>
      <c r="B541" s="223" t="s">
        <v>8</v>
      </c>
      <c r="C541" s="223" t="s">
        <v>9</v>
      </c>
      <c r="D541" s="220" t="s">
        <v>10</v>
      </c>
      <c r="E541" s="222"/>
      <c r="F541" s="223" t="s">
        <v>11</v>
      </c>
      <c r="G541" s="223" t="s">
        <v>12</v>
      </c>
      <c r="H541" s="226" t="s">
        <v>13</v>
      </c>
      <c r="I541" s="221"/>
      <c r="J541" s="221"/>
      <c r="K541" s="222"/>
      <c r="L541" s="66"/>
      <c r="M541" s="18"/>
      <c r="N541" s="18"/>
      <c r="O541" s="18"/>
      <c r="P541" s="293"/>
      <c r="Q541" s="295"/>
      <c r="R541" s="294"/>
      <c r="S541" s="18"/>
      <c r="T541" s="284"/>
      <c r="U541" s="284"/>
      <c r="V541" s="284"/>
      <c r="W541" s="18"/>
      <c r="X541" s="18"/>
      <c r="Y541" s="18"/>
      <c r="Z541" s="18"/>
    </row>
    <row r="542" spans="1:26" ht="16.5" customHeight="1" x14ac:dyDescent="0.35">
      <c r="A542" s="217"/>
      <c r="B542" s="217"/>
      <c r="C542" s="217"/>
      <c r="D542" s="70" t="s">
        <v>14</v>
      </c>
      <c r="E542" s="71" t="s">
        <v>15</v>
      </c>
      <c r="F542" s="217"/>
      <c r="G542" s="217"/>
      <c r="H542" s="70" t="s">
        <v>16</v>
      </c>
      <c r="I542" s="70" t="s">
        <v>17</v>
      </c>
      <c r="J542" s="70" t="s">
        <v>18</v>
      </c>
      <c r="K542" s="70" t="s">
        <v>19</v>
      </c>
      <c r="L542" s="66"/>
      <c r="M542" s="18"/>
      <c r="N542" s="18"/>
      <c r="O542" s="18"/>
      <c r="P542" s="284"/>
      <c r="Q542" s="284"/>
      <c r="R542" s="284"/>
      <c r="S542" s="18"/>
      <c r="T542" s="293"/>
      <c r="U542" s="295"/>
      <c r="V542" s="294"/>
      <c r="W542" s="18"/>
      <c r="X542" s="18"/>
      <c r="Y542" s="18"/>
      <c r="Z542" s="18"/>
    </row>
    <row r="543" spans="1:26" ht="16.5" customHeight="1" x14ac:dyDescent="0.35">
      <c r="A543" s="72" t="s">
        <v>20</v>
      </c>
      <c r="B543" s="73" t="s">
        <v>21</v>
      </c>
      <c r="C543" s="73" t="s">
        <v>22</v>
      </c>
      <c r="D543" s="70" t="s">
        <v>23</v>
      </c>
      <c r="E543" s="71" t="s">
        <v>24</v>
      </c>
      <c r="F543" s="70" t="s">
        <v>25</v>
      </c>
      <c r="G543" s="70" t="s">
        <v>26</v>
      </c>
      <c r="H543" s="70" t="s">
        <v>27</v>
      </c>
      <c r="I543" s="70" t="s">
        <v>28</v>
      </c>
      <c r="J543" s="70" t="s">
        <v>29</v>
      </c>
      <c r="K543" s="70" t="s">
        <v>30</v>
      </c>
      <c r="L543" s="66"/>
      <c r="M543" s="18"/>
      <c r="N543" s="18"/>
      <c r="O543" s="18"/>
      <c r="P543" s="25"/>
      <c r="Q543" s="26"/>
      <c r="R543" s="27"/>
      <c r="S543" s="18"/>
      <c r="T543" s="284"/>
      <c r="U543" s="284"/>
      <c r="V543" s="284"/>
      <c r="W543" s="18"/>
      <c r="X543" s="18"/>
      <c r="Y543" s="18"/>
      <c r="Z543" s="18"/>
    </row>
    <row r="544" spans="1:26" ht="16.5" customHeight="1" x14ac:dyDescent="0.35">
      <c r="A544" s="229">
        <v>32</v>
      </c>
      <c r="B544" s="238" t="s">
        <v>306</v>
      </c>
      <c r="C544" s="227" t="s">
        <v>308</v>
      </c>
      <c r="D544" s="218">
        <v>3</v>
      </c>
      <c r="E544" s="216">
        <v>3</v>
      </c>
      <c r="F544" s="218" t="s">
        <v>106</v>
      </c>
      <c r="G544" s="218" t="s">
        <v>101</v>
      </c>
      <c r="H544" s="74" t="s">
        <v>46</v>
      </c>
      <c r="I544" s="74" t="s">
        <v>309</v>
      </c>
      <c r="J544" s="74" t="s">
        <v>98</v>
      </c>
      <c r="K544" s="218" t="s">
        <v>54</v>
      </c>
      <c r="L544" s="66"/>
      <c r="M544" s="18"/>
      <c r="N544" s="18"/>
      <c r="O544" s="18"/>
      <c r="P544" s="293"/>
      <c r="Q544" s="295"/>
      <c r="R544" s="294"/>
      <c r="S544" s="18"/>
      <c r="T544" s="7"/>
      <c r="U544" s="7"/>
      <c r="V544" s="7"/>
      <c r="W544" s="18"/>
      <c r="X544" s="18"/>
      <c r="Y544" s="18"/>
      <c r="Z544" s="18"/>
    </row>
    <row r="545" spans="1:26" ht="16.5" customHeight="1" x14ac:dyDescent="0.35">
      <c r="A545" s="230"/>
      <c r="B545" s="230"/>
      <c r="C545" s="217"/>
      <c r="D545" s="217"/>
      <c r="E545" s="217"/>
      <c r="F545" s="217"/>
      <c r="G545" s="217"/>
      <c r="H545" s="74" t="s">
        <v>39</v>
      </c>
      <c r="I545" s="74" t="s">
        <v>40</v>
      </c>
      <c r="J545" s="74" t="s">
        <v>98</v>
      </c>
      <c r="K545" s="217"/>
      <c r="L545" s="66"/>
      <c r="M545" s="18"/>
      <c r="N545" s="18"/>
      <c r="O545" s="18"/>
      <c r="P545" s="284"/>
      <c r="Q545" s="284"/>
      <c r="R545" s="284"/>
      <c r="S545" s="18"/>
      <c r="T545" s="18"/>
      <c r="U545" s="18"/>
      <c r="V545" s="18"/>
      <c r="W545" s="18"/>
      <c r="X545" s="18"/>
      <c r="Y545" s="18"/>
      <c r="Z545" s="18"/>
    </row>
    <row r="546" spans="1:26" ht="16.5" customHeight="1" x14ac:dyDescent="0.35">
      <c r="A546" s="230"/>
      <c r="B546" s="230"/>
      <c r="C546" s="227" t="s">
        <v>188</v>
      </c>
      <c r="D546" s="218">
        <v>2</v>
      </c>
      <c r="E546" s="216">
        <v>2</v>
      </c>
      <c r="F546" s="218" t="s">
        <v>33</v>
      </c>
      <c r="G546" s="218" t="s">
        <v>42</v>
      </c>
      <c r="H546" s="74" t="s">
        <v>46</v>
      </c>
      <c r="I546" s="74" t="s">
        <v>179</v>
      </c>
      <c r="J546" s="74" t="s">
        <v>41</v>
      </c>
      <c r="K546" s="218" t="s">
        <v>38</v>
      </c>
      <c r="L546" s="66"/>
      <c r="M546" s="18"/>
      <c r="N546" s="18"/>
      <c r="O546" s="18"/>
      <c r="P546" s="293"/>
      <c r="Q546" s="295"/>
      <c r="R546" s="294"/>
      <c r="S546" s="18"/>
      <c r="T546" s="18"/>
      <c r="U546" s="18"/>
      <c r="V546" s="18"/>
      <c r="W546" s="18"/>
      <c r="X546" s="18"/>
      <c r="Y546" s="18"/>
      <c r="Z546" s="18"/>
    </row>
    <row r="547" spans="1:26" ht="16.5" customHeight="1" x14ac:dyDescent="0.35">
      <c r="A547" s="230"/>
      <c r="B547" s="217"/>
      <c r="C547" s="217"/>
      <c r="D547" s="217"/>
      <c r="E547" s="217"/>
      <c r="F547" s="217"/>
      <c r="G547" s="217"/>
      <c r="H547" s="74" t="s">
        <v>55</v>
      </c>
      <c r="I547" s="74" t="s">
        <v>56</v>
      </c>
      <c r="J547" s="74" t="s">
        <v>77</v>
      </c>
      <c r="K547" s="217"/>
      <c r="L547" s="66"/>
      <c r="M547" s="18"/>
      <c r="N547" s="18"/>
      <c r="O547" s="18"/>
      <c r="P547" s="284"/>
      <c r="Q547" s="284"/>
      <c r="R547" s="284"/>
      <c r="S547" s="18"/>
      <c r="T547" s="293"/>
      <c r="U547" s="295"/>
      <c r="V547" s="294"/>
      <c r="W547" s="18"/>
      <c r="X547" s="18"/>
      <c r="Y547" s="18"/>
      <c r="Z547" s="18"/>
    </row>
    <row r="548" spans="1:26" ht="16.5" customHeight="1" x14ac:dyDescent="0.35">
      <c r="A548" s="217"/>
      <c r="B548" s="228" t="s">
        <v>72</v>
      </c>
      <c r="C548" s="221"/>
      <c r="D548" s="222"/>
      <c r="E548" s="71">
        <f>SUM(E524:E547)</f>
        <v>17</v>
      </c>
      <c r="F548" s="220"/>
      <c r="G548" s="221"/>
      <c r="H548" s="221"/>
      <c r="I548" s="221"/>
      <c r="J548" s="221"/>
      <c r="K548" s="222"/>
      <c r="L548" s="66"/>
      <c r="M548" s="18"/>
      <c r="N548" s="18"/>
      <c r="O548" s="18"/>
      <c r="P548" s="18"/>
      <c r="Q548" s="18"/>
      <c r="R548" s="18"/>
      <c r="S548" s="18"/>
      <c r="T548" s="284"/>
      <c r="U548" s="284"/>
      <c r="V548" s="284"/>
      <c r="W548" s="18"/>
      <c r="X548" s="18"/>
      <c r="Y548" s="18"/>
      <c r="Z548" s="18"/>
    </row>
    <row r="549" spans="1:26" ht="16.5" customHeight="1" x14ac:dyDescent="0.35">
      <c r="A549" s="229">
        <v>33</v>
      </c>
      <c r="B549" s="235" t="s">
        <v>310</v>
      </c>
      <c r="C549" s="227" t="s">
        <v>228</v>
      </c>
      <c r="D549" s="218">
        <v>3</v>
      </c>
      <c r="E549" s="216">
        <v>3</v>
      </c>
      <c r="F549" s="218" t="s">
        <v>75</v>
      </c>
      <c r="G549" s="218" t="s">
        <v>64</v>
      </c>
      <c r="H549" s="74" t="s">
        <v>39</v>
      </c>
      <c r="I549" s="74" t="s">
        <v>44</v>
      </c>
      <c r="J549" s="74" t="s">
        <v>155</v>
      </c>
      <c r="K549" s="218" t="s">
        <v>38</v>
      </c>
      <c r="L549" s="66"/>
      <c r="M549" s="17"/>
      <c r="N549" s="17"/>
      <c r="O549" s="17"/>
      <c r="P549" s="293"/>
      <c r="Q549" s="295"/>
      <c r="R549" s="294"/>
      <c r="S549" s="17"/>
      <c r="T549" s="293"/>
      <c r="U549" s="295"/>
      <c r="V549" s="294"/>
      <c r="W549" s="18"/>
      <c r="X549" s="18"/>
      <c r="Y549" s="18"/>
      <c r="Z549" s="18"/>
    </row>
    <row r="550" spans="1:26" ht="16.5" customHeight="1" x14ac:dyDescent="0.35">
      <c r="A550" s="230"/>
      <c r="B550" s="236"/>
      <c r="C550" s="217"/>
      <c r="D550" s="217"/>
      <c r="E550" s="217"/>
      <c r="F550" s="217"/>
      <c r="G550" s="217"/>
      <c r="H550" s="74" t="s">
        <v>55</v>
      </c>
      <c r="I550" s="74" t="s">
        <v>44</v>
      </c>
      <c r="J550" s="74" t="s">
        <v>133</v>
      </c>
      <c r="K550" s="217"/>
      <c r="L550" s="66"/>
      <c r="M550" s="17"/>
      <c r="N550" s="17"/>
      <c r="O550" s="17"/>
      <c r="P550" s="284"/>
      <c r="Q550" s="284"/>
      <c r="R550" s="284"/>
      <c r="S550" s="17"/>
      <c r="T550" s="284"/>
      <c r="U550" s="284"/>
      <c r="V550" s="284"/>
      <c r="W550" s="18"/>
      <c r="X550" s="18"/>
      <c r="Y550" s="18"/>
      <c r="Z550" s="18"/>
    </row>
    <row r="551" spans="1:26" ht="16.5" customHeight="1" x14ac:dyDescent="0.35">
      <c r="A551" s="230"/>
      <c r="B551" s="236"/>
      <c r="C551" s="227" t="s">
        <v>228</v>
      </c>
      <c r="D551" s="218">
        <v>3</v>
      </c>
      <c r="E551" s="216">
        <v>3</v>
      </c>
      <c r="F551" s="218" t="s">
        <v>75</v>
      </c>
      <c r="G551" s="218" t="s">
        <v>103</v>
      </c>
      <c r="H551" s="74" t="s">
        <v>35</v>
      </c>
      <c r="I551" s="74" t="s">
        <v>36</v>
      </c>
      <c r="J551" s="74" t="s">
        <v>152</v>
      </c>
      <c r="K551" s="218" t="s">
        <v>38</v>
      </c>
      <c r="L551" s="66"/>
      <c r="M551" s="17"/>
      <c r="N551" s="17"/>
      <c r="O551" s="17"/>
      <c r="P551" s="293"/>
      <c r="Q551" s="295"/>
      <c r="R551" s="294"/>
      <c r="S551" s="17"/>
      <c r="T551" s="293"/>
      <c r="U551" s="295"/>
      <c r="V551" s="294"/>
      <c r="W551" s="18"/>
      <c r="X551" s="18"/>
      <c r="Y551" s="18"/>
      <c r="Z551" s="18"/>
    </row>
    <row r="552" spans="1:26" ht="16.5" customHeight="1" x14ac:dyDescent="0.35">
      <c r="A552" s="230"/>
      <c r="B552" s="236"/>
      <c r="C552" s="217"/>
      <c r="D552" s="217"/>
      <c r="E552" s="217"/>
      <c r="F552" s="217"/>
      <c r="G552" s="217"/>
      <c r="H552" s="84" t="s">
        <v>48</v>
      </c>
      <c r="I552" s="84" t="s">
        <v>66</v>
      </c>
      <c r="J552" s="74" t="s">
        <v>174</v>
      </c>
      <c r="K552" s="219"/>
      <c r="L552" s="66"/>
      <c r="M552" s="17"/>
      <c r="N552" s="17"/>
      <c r="O552" s="17"/>
      <c r="P552" s="284"/>
      <c r="Q552" s="284"/>
      <c r="R552" s="284"/>
      <c r="S552" s="18"/>
      <c r="T552" s="284"/>
      <c r="U552" s="284"/>
      <c r="V552" s="284"/>
      <c r="W552" s="18"/>
      <c r="X552" s="18"/>
      <c r="Y552" s="18"/>
      <c r="Z552" s="18"/>
    </row>
    <row r="553" spans="1:26" ht="16.5" customHeight="1" x14ac:dyDescent="0.35">
      <c r="A553" s="230"/>
      <c r="B553" s="236"/>
      <c r="C553" s="227" t="s">
        <v>239</v>
      </c>
      <c r="D553" s="218">
        <v>3</v>
      </c>
      <c r="E553" s="216">
        <v>3</v>
      </c>
      <c r="F553" s="218" t="s">
        <v>75</v>
      </c>
      <c r="G553" s="218" t="s">
        <v>97</v>
      </c>
      <c r="H553" s="74" t="s">
        <v>35</v>
      </c>
      <c r="I553" s="74" t="s">
        <v>40</v>
      </c>
      <c r="J553" s="74" t="s">
        <v>80</v>
      </c>
      <c r="K553" s="218" t="s">
        <v>38</v>
      </c>
      <c r="L553" s="66"/>
      <c r="M553" s="17"/>
      <c r="N553" s="17"/>
      <c r="O553" s="17"/>
      <c r="P553" s="293"/>
      <c r="Q553" s="295"/>
      <c r="R553" s="294"/>
      <c r="S553" s="18"/>
      <c r="T553" s="293"/>
      <c r="U553" s="295"/>
      <c r="V553" s="294"/>
      <c r="W553" s="18"/>
      <c r="X553" s="18"/>
      <c r="Y553" s="18"/>
      <c r="Z553" s="18"/>
    </row>
    <row r="554" spans="1:26" ht="16.5" customHeight="1" x14ac:dyDescent="0.35">
      <c r="A554" s="230"/>
      <c r="B554" s="236"/>
      <c r="C554" s="217"/>
      <c r="D554" s="217"/>
      <c r="E554" s="217"/>
      <c r="F554" s="217"/>
      <c r="G554" s="217"/>
      <c r="H554" s="74" t="s">
        <v>48</v>
      </c>
      <c r="I554" s="74" t="s">
        <v>91</v>
      </c>
      <c r="J554" s="74" t="s">
        <v>143</v>
      </c>
      <c r="K554" s="217"/>
      <c r="L554" s="66"/>
      <c r="M554" s="17"/>
      <c r="N554" s="17"/>
      <c r="O554" s="17"/>
      <c r="P554" s="284"/>
      <c r="Q554" s="284"/>
      <c r="R554" s="284"/>
      <c r="S554" s="18"/>
      <c r="T554" s="284"/>
      <c r="U554" s="284"/>
      <c r="V554" s="284"/>
      <c r="W554" s="18"/>
      <c r="X554" s="18"/>
      <c r="Y554" s="18"/>
      <c r="Z554" s="18"/>
    </row>
    <row r="555" spans="1:26" ht="16.5" customHeight="1" x14ac:dyDescent="0.35">
      <c r="A555" s="230"/>
      <c r="B555" s="236"/>
      <c r="C555" s="227" t="s">
        <v>186</v>
      </c>
      <c r="D555" s="218">
        <v>3</v>
      </c>
      <c r="E555" s="216">
        <v>1</v>
      </c>
      <c r="F555" s="218" t="s">
        <v>63</v>
      </c>
      <c r="G555" s="218" t="s">
        <v>34</v>
      </c>
      <c r="H555" s="84" t="s">
        <v>35</v>
      </c>
      <c r="I555" s="84" t="s">
        <v>44</v>
      </c>
      <c r="J555" s="111" t="s">
        <v>155</v>
      </c>
      <c r="K555" s="218" t="s">
        <v>38</v>
      </c>
      <c r="L555" s="66"/>
      <c r="M555" s="18"/>
      <c r="N555" s="18"/>
      <c r="O555" s="18"/>
      <c r="P555" s="293"/>
      <c r="Q555" s="295"/>
      <c r="R555" s="294"/>
      <c r="S555" s="18"/>
      <c r="T555" s="293"/>
      <c r="U555" s="295"/>
      <c r="V555" s="294"/>
      <c r="W555" s="18"/>
      <c r="X555" s="18"/>
      <c r="Y555" s="18"/>
      <c r="Z555" s="18"/>
    </row>
    <row r="556" spans="1:26" ht="16.5" customHeight="1" x14ac:dyDescent="0.35">
      <c r="A556" s="230"/>
      <c r="B556" s="236"/>
      <c r="C556" s="217"/>
      <c r="D556" s="217"/>
      <c r="E556" s="217"/>
      <c r="F556" s="217"/>
      <c r="G556" s="217"/>
      <c r="H556" s="84" t="s">
        <v>46</v>
      </c>
      <c r="I556" s="84" t="s">
        <v>44</v>
      </c>
      <c r="J556" s="111" t="s">
        <v>155</v>
      </c>
      <c r="K556" s="217"/>
      <c r="L556" s="66"/>
      <c r="M556" s="18"/>
      <c r="N556" s="18"/>
      <c r="O556" s="18"/>
      <c r="P556" s="284"/>
      <c r="Q556" s="284"/>
      <c r="R556" s="284"/>
      <c r="S556" s="18"/>
      <c r="T556" s="284"/>
      <c r="U556" s="284"/>
      <c r="V556" s="284"/>
      <c r="W556" s="18"/>
      <c r="X556" s="18"/>
      <c r="Y556" s="18"/>
      <c r="Z556" s="18"/>
    </row>
    <row r="557" spans="1:26" ht="16.5" customHeight="1" x14ac:dyDescent="0.35">
      <c r="A557" s="230"/>
      <c r="B557" s="236"/>
      <c r="C557" s="227" t="s">
        <v>229</v>
      </c>
      <c r="D557" s="218">
        <v>2</v>
      </c>
      <c r="E557" s="216">
        <v>1</v>
      </c>
      <c r="F557" s="218" t="s">
        <v>63</v>
      </c>
      <c r="G557" s="218" t="s">
        <v>64</v>
      </c>
      <c r="H557" s="74" t="s">
        <v>48</v>
      </c>
      <c r="I557" s="74" t="s">
        <v>56</v>
      </c>
      <c r="J557" s="74" t="s">
        <v>155</v>
      </c>
      <c r="K557" s="218" t="s">
        <v>38</v>
      </c>
      <c r="L557" s="66"/>
      <c r="M557" s="18"/>
      <c r="N557" s="18"/>
      <c r="O557" s="18"/>
      <c r="P557" s="293"/>
      <c r="Q557" s="295"/>
      <c r="R557" s="294"/>
      <c r="S557" s="18"/>
      <c r="T557" s="293"/>
      <c r="U557" s="295"/>
      <c r="V557" s="294"/>
      <c r="W557" s="18"/>
      <c r="X557" s="18"/>
      <c r="Y557" s="18"/>
      <c r="Z557" s="18"/>
    </row>
    <row r="558" spans="1:26" ht="16.5" customHeight="1" x14ac:dyDescent="0.35">
      <c r="A558" s="230"/>
      <c r="B558" s="236"/>
      <c r="C558" s="217"/>
      <c r="D558" s="217"/>
      <c r="E558" s="217"/>
      <c r="F558" s="217"/>
      <c r="G558" s="217"/>
      <c r="H558" s="74" t="s">
        <v>55</v>
      </c>
      <c r="I558" s="74" t="s">
        <v>56</v>
      </c>
      <c r="J558" s="74" t="s">
        <v>155</v>
      </c>
      <c r="K558" s="217"/>
      <c r="L558" s="66"/>
      <c r="M558" s="18"/>
      <c r="N558" s="18"/>
      <c r="O558" s="18"/>
      <c r="P558" s="284"/>
      <c r="Q558" s="284"/>
      <c r="R558" s="284"/>
      <c r="S558" s="18"/>
      <c r="T558" s="284"/>
      <c r="U558" s="284"/>
      <c r="V558" s="284"/>
      <c r="W558" s="18"/>
      <c r="X558" s="18"/>
      <c r="Y558" s="18"/>
      <c r="Z558" s="18"/>
    </row>
    <row r="559" spans="1:26" ht="16.5" customHeight="1" x14ac:dyDescent="0.35">
      <c r="A559" s="230"/>
      <c r="B559" s="236"/>
      <c r="C559" s="227" t="s">
        <v>240</v>
      </c>
      <c r="D559" s="218">
        <v>3</v>
      </c>
      <c r="E559" s="216">
        <v>1.5</v>
      </c>
      <c r="F559" s="218" t="s">
        <v>68</v>
      </c>
      <c r="G559" s="218" t="s">
        <v>34</v>
      </c>
      <c r="H559" s="74" t="s">
        <v>35</v>
      </c>
      <c r="I559" s="74" t="s">
        <v>40</v>
      </c>
      <c r="J559" s="74" t="s">
        <v>53</v>
      </c>
      <c r="K559" s="218" t="s">
        <v>54</v>
      </c>
      <c r="L559" s="66"/>
      <c r="M559" s="18"/>
      <c r="N559" s="18"/>
      <c r="O559" s="18"/>
      <c r="P559" s="293"/>
      <c r="Q559" s="295"/>
      <c r="R559" s="294"/>
      <c r="S559" s="18"/>
      <c r="T559" s="293"/>
      <c r="U559" s="295"/>
      <c r="V559" s="294"/>
      <c r="W559" s="18"/>
      <c r="X559" s="18"/>
      <c r="Y559" s="18"/>
      <c r="Z559" s="18"/>
    </row>
    <row r="560" spans="1:26" ht="16.5" customHeight="1" x14ac:dyDescent="0.35">
      <c r="A560" s="230"/>
      <c r="B560" s="236"/>
      <c r="C560" s="217"/>
      <c r="D560" s="217"/>
      <c r="E560" s="217"/>
      <c r="F560" s="217"/>
      <c r="G560" s="217"/>
      <c r="H560" s="74" t="s">
        <v>48</v>
      </c>
      <c r="I560" s="112" t="s">
        <v>40</v>
      </c>
      <c r="J560" s="112" t="s">
        <v>53</v>
      </c>
      <c r="K560" s="217"/>
      <c r="L560" s="66"/>
      <c r="M560" s="18"/>
      <c r="N560" s="18"/>
      <c r="O560" s="18"/>
      <c r="P560" s="284"/>
      <c r="Q560" s="284"/>
      <c r="R560" s="284"/>
      <c r="S560" s="18"/>
      <c r="T560" s="284"/>
      <c r="U560" s="284"/>
      <c r="V560" s="284"/>
      <c r="W560" s="18"/>
      <c r="X560" s="18"/>
      <c r="Y560" s="18"/>
      <c r="Z560" s="18"/>
    </row>
    <row r="561" spans="1:26" ht="16.5" customHeight="1" x14ac:dyDescent="0.35">
      <c r="A561" s="230"/>
      <c r="B561" s="236"/>
      <c r="C561" s="227" t="s">
        <v>183</v>
      </c>
      <c r="D561" s="218">
        <v>3</v>
      </c>
      <c r="E561" s="216">
        <v>1.5</v>
      </c>
      <c r="F561" s="218" t="s">
        <v>68</v>
      </c>
      <c r="G561" s="218" t="s">
        <v>34</v>
      </c>
      <c r="H561" s="74" t="s">
        <v>35</v>
      </c>
      <c r="I561" s="76" t="s">
        <v>44</v>
      </c>
      <c r="J561" s="76" t="s">
        <v>53</v>
      </c>
      <c r="K561" s="218" t="s">
        <v>38</v>
      </c>
      <c r="L561" s="66"/>
      <c r="M561" s="18"/>
      <c r="N561" s="18"/>
      <c r="O561" s="18"/>
      <c r="P561" s="293"/>
      <c r="Q561" s="295"/>
      <c r="R561" s="294"/>
      <c r="S561" s="18"/>
      <c r="T561" s="18"/>
      <c r="U561" s="18"/>
      <c r="V561" s="18"/>
      <c r="W561" s="18"/>
      <c r="X561" s="18"/>
      <c r="Y561" s="18"/>
      <c r="Z561" s="18"/>
    </row>
    <row r="562" spans="1:26" ht="16.5" customHeight="1" x14ac:dyDescent="0.35">
      <c r="A562" s="230"/>
      <c r="B562" s="236"/>
      <c r="C562" s="217"/>
      <c r="D562" s="217"/>
      <c r="E562" s="217"/>
      <c r="F562" s="217"/>
      <c r="G562" s="217"/>
      <c r="H562" s="74" t="s">
        <v>48</v>
      </c>
      <c r="I562" s="76" t="s">
        <v>44</v>
      </c>
      <c r="J562" s="76" t="s">
        <v>53</v>
      </c>
      <c r="K562" s="217"/>
      <c r="L562" s="66"/>
      <c r="M562" s="18"/>
      <c r="N562" s="18"/>
      <c r="O562" s="18"/>
      <c r="P562" s="284"/>
      <c r="Q562" s="284"/>
      <c r="R562" s="284"/>
      <c r="S562" s="18"/>
      <c r="T562" s="293"/>
      <c r="U562" s="295"/>
      <c r="V562" s="294"/>
      <c r="W562" s="18"/>
      <c r="X562" s="18"/>
      <c r="Y562" s="18"/>
      <c r="Z562" s="18"/>
    </row>
    <row r="563" spans="1:26" ht="16.5" customHeight="1" x14ac:dyDescent="0.35">
      <c r="A563" s="230"/>
      <c r="B563" s="236"/>
      <c r="C563" s="227" t="s">
        <v>279</v>
      </c>
      <c r="D563" s="218">
        <v>3</v>
      </c>
      <c r="E563" s="216">
        <v>1.5</v>
      </c>
      <c r="F563" s="218" t="s">
        <v>68</v>
      </c>
      <c r="G563" s="218" t="s">
        <v>311</v>
      </c>
      <c r="H563" s="84" t="s">
        <v>46</v>
      </c>
      <c r="I563" s="76" t="s">
        <v>40</v>
      </c>
      <c r="J563" s="76" t="s">
        <v>71</v>
      </c>
      <c r="K563" s="218" t="s">
        <v>38</v>
      </c>
      <c r="L563" s="66"/>
      <c r="M563" s="18"/>
      <c r="N563" s="18"/>
      <c r="O563" s="18"/>
      <c r="P563" s="293"/>
      <c r="Q563" s="295"/>
      <c r="R563" s="294"/>
      <c r="S563" s="18"/>
      <c r="T563" s="284"/>
      <c r="U563" s="284"/>
      <c r="V563" s="284"/>
      <c r="W563" s="18"/>
      <c r="X563" s="18"/>
      <c r="Y563" s="18"/>
      <c r="Z563" s="18"/>
    </row>
    <row r="564" spans="1:26" ht="16.5" customHeight="1" x14ac:dyDescent="0.35">
      <c r="A564" s="230"/>
      <c r="B564" s="240"/>
      <c r="C564" s="217"/>
      <c r="D564" s="217"/>
      <c r="E564" s="217"/>
      <c r="F564" s="217"/>
      <c r="G564" s="217"/>
      <c r="H564" s="74" t="s">
        <v>55</v>
      </c>
      <c r="I564" s="76" t="s">
        <v>40</v>
      </c>
      <c r="J564" s="76" t="s">
        <v>71</v>
      </c>
      <c r="K564" s="217"/>
      <c r="L564" s="66"/>
      <c r="M564" s="18"/>
      <c r="N564" s="18"/>
      <c r="O564" s="18"/>
      <c r="P564" s="284"/>
      <c r="Q564" s="284"/>
      <c r="R564" s="284"/>
      <c r="S564" s="18"/>
      <c r="T564" s="293"/>
      <c r="U564" s="295"/>
      <c r="V564" s="294"/>
      <c r="W564" s="18"/>
      <c r="X564" s="18"/>
      <c r="Y564" s="18"/>
      <c r="Z564" s="18"/>
    </row>
    <row r="565" spans="1:26" ht="16.5" customHeight="1" x14ac:dyDescent="0.35">
      <c r="A565" s="217"/>
      <c r="B565" s="228" t="s">
        <v>72</v>
      </c>
      <c r="C565" s="221"/>
      <c r="D565" s="222"/>
      <c r="E565" s="100">
        <f>SUM(E549:E564)</f>
        <v>15.5</v>
      </c>
      <c r="F565" s="220"/>
      <c r="G565" s="221"/>
      <c r="H565" s="221"/>
      <c r="I565" s="221"/>
      <c r="J565" s="221"/>
      <c r="K565" s="222"/>
      <c r="L565" s="66"/>
      <c r="M565" s="18"/>
      <c r="N565" s="18"/>
      <c r="O565" s="18"/>
      <c r="P565" s="18"/>
      <c r="Q565" s="18"/>
      <c r="R565" s="18"/>
      <c r="S565" s="18"/>
      <c r="T565" s="284"/>
      <c r="U565" s="284"/>
      <c r="V565" s="284"/>
      <c r="W565" s="18"/>
      <c r="X565" s="18"/>
      <c r="Y565" s="18"/>
      <c r="Z565" s="18"/>
    </row>
    <row r="566" spans="1:26" ht="16.5" customHeight="1" x14ac:dyDescent="0.35">
      <c r="A566" s="229">
        <v>34</v>
      </c>
      <c r="B566" s="235" t="s">
        <v>312</v>
      </c>
      <c r="C566" s="227" t="s">
        <v>313</v>
      </c>
      <c r="D566" s="218">
        <v>3</v>
      </c>
      <c r="E566" s="216">
        <v>3</v>
      </c>
      <c r="F566" s="218" t="s">
        <v>33</v>
      </c>
      <c r="G566" s="218" t="s">
        <v>136</v>
      </c>
      <c r="H566" s="74" t="s">
        <v>35</v>
      </c>
      <c r="I566" s="74" t="s">
        <v>36</v>
      </c>
      <c r="J566" s="74" t="s">
        <v>128</v>
      </c>
      <c r="K566" s="218" t="s">
        <v>38</v>
      </c>
      <c r="L566" s="66"/>
      <c r="M566" s="18"/>
      <c r="N566" s="18"/>
      <c r="O566" s="18"/>
      <c r="P566" s="293"/>
      <c r="Q566" s="295"/>
      <c r="R566" s="294"/>
      <c r="S566" s="18"/>
      <c r="T566" s="293"/>
      <c r="U566" s="295"/>
      <c r="V566" s="294"/>
      <c r="W566" s="18"/>
      <c r="X566" s="18"/>
      <c r="Y566" s="18"/>
      <c r="Z566" s="18"/>
    </row>
    <row r="567" spans="1:26" ht="16.5" customHeight="1" x14ac:dyDescent="0.35">
      <c r="A567" s="230"/>
      <c r="B567" s="236"/>
      <c r="C567" s="217"/>
      <c r="D567" s="217"/>
      <c r="E567" s="217"/>
      <c r="F567" s="217"/>
      <c r="G567" s="217"/>
      <c r="H567" s="74" t="s">
        <v>55</v>
      </c>
      <c r="I567" s="74" t="s">
        <v>36</v>
      </c>
      <c r="J567" s="74" t="s">
        <v>128</v>
      </c>
      <c r="K567" s="217"/>
      <c r="L567" s="66"/>
      <c r="M567" s="18"/>
      <c r="N567" s="18"/>
      <c r="O567" s="18"/>
      <c r="P567" s="284"/>
      <c r="Q567" s="284"/>
      <c r="R567" s="284"/>
      <c r="S567" s="18"/>
      <c r="T567" s="284"/>
      <c r="U567" s="284"/>
      <c r="V567" s="284"/>
      <c r="W567" s="18"/>
      <c r="X567" s="18"/>
      <c r="Y567" s="18"/>
      <c r="Z567" s="18"/>
    </row>
    <row r="568" spans="1:26" ht="16.5" customHeight="1" x14ac:dyDescent="0.35">
      <c r="A568" s="230"/>
      <c r="B568" s="236"/>
      <c r="C568" s="227" t="s">
        <v>313</v>
      </c>
      <c r="D568" s="218">
        <v>3</v>
      </c>
      <c r="E568" s="216">
        <v>3</v>
      </c>
      <c r="F568" s="218" t="s">
        <v>33</v>
      </c>
      <c r="G568" s="218" t="s">
        <v>76</v>
      </c>
      <c r="H568" s="74" t="s">
        <v>35</v>
      </c>
      <c r="I568" s="76" t="s">
        <v>44</v>
      </c>
      <c r="J568" s="74" t="s">
        <v>314</v>
      </c>
      <c r="K568" s="218" t="s">
        <v>38</v>
      </c>
      <c r="L568" s="66"/>
      <c r="M568" s="18"/>
      <c r="N568" s="18"/>
      <c r="O568" s="18"/>
      <c r="P568" s="293"/>
      <c r="Q568" s="295"/>
      <c r="R568" s="294"/>
      <c r="S568" s="18"/>
      <c r="T568" s="293"/>
      <c r="U568" s="295"/>
      <c r="V568" s="294"/>
      <c r="W568" s="18"/>
      <c r="X568" s="18"/>
      <c r="Y568" s="18"/>
      <c r="Z568" s="18"/>
    </row>
    <row r="569" spans="1:26" ht="16.5" customHeight="1" x14ac:dyDescent="0.35">
      <c r="A569" s="230"/>
      <c r="B569" s="236"/>
      <c r="C569" s="217"/>
      <c r="D569" s="217"/>
      <c r="E569" s="217"/>
      <c r="F569" s="217"/>
      <c r="G569" s="217"/>
      <c r="H569" s="74" t="s">
        <v>55</v>
      </c>
      <c r="I569" s="76" t="s">
        <v>44</v>
      </c>
      <c r="J569" s="74" t="s">
        <v>315</v>
      </c>
      <c r="K569" s="217"/>
      <c r="L569" s="66"/>
      <c r="M569" s="18"/>
      <c r="N569" s="18"/>
      <c r="O569" s="18"/>
      <c r="P569" s="284"/>
      <c r="Q569" s="284"/>
      <c r="R569" s="284"/>
      <c r="S569" s="18"/>
      <c r="T569" s="284"/>
      <c r="U569" s="284"/>
      <c r="V569" s="284"/>
      <c r="W569" s="18"/>
      <c r="X569" s="18"/>
      <c r="Y569" s="18"/>
      <c r="Z569" s="18"/>
    </row>
    <row r="570" spans="1:26" ht="16.5" customHeight="1" x14ac:dyDescent="0.35">
      <c r="A570" s="230"/>
      <c r="B570" s="236"/>
      <c r="C570" s="227" t="s">
        <v>313</v>
      </c>
      <c r="D570" s="218">
        <v>3</v>
      </c>
      <c r="E570" s="216">
        <v>3</v>
      </c>
      <c r="F570" s="218" t="s">
        <v>33</v>
      </c>
      <c r="G570" s="218" t="s">
        <v>79</v>
      </c>
      <c r="H570" s="74" t="s">
        <v>46</v>
      </c>
      <c r="I570" s="74" t="s">
        <v>40</v>
      </c>
      <c r="J570" s="74" t="s">
        <v>314</v>
      </c>
      <c r="K570" s="218" t="s">
        <v>38</v>
      </c>
      <c r="L570" s="66"/>
      <c r="M570" s="18"/>
      <c r="N570" s="18"/>
      <c r="O570" s="18"/>
      <c r="P570" s="293"/>
      <c r="Q570" s="295"/>
      <c r="R570" s="294"/>
      <c r="S570" s="18"/>
      <c r="T570" s="293"/>
      <c r="U570" s="295"/>
      <c r="V570" s="294"/>
      <c r="W570" s="18"/>
      <c r="X570" s="18"/>
      <c r="Y570" s="18"/>
      <c r="Z570" s="18"/>
    </row>
    <row r="571" spans="1:26" ht="16.5" customHeight="1" x14ac:dyDescent="0.35">
      <c r="A571" s="230"/>
      <c r="B571" s="236"/>
      <c r="C571" s="217"/>
      <c r="D571" s="217"/>
      <c r="E571" s="217"/>
      <c r="F571" s="217"/>
      <c r="G571" s="217"/>
      <c r="H571" s="74" t="s">
        <v>48</v>
      </c>
      <c r="I571" s="74" t="s">
        <v>40</v>
      </c>
      <c r="J571" s="74" t="s">
        <v>314</v>
      </c>
      <c r="K571" s="217"/>
      <c r="L571" s="66"/>
      <c r="M571" s="18"/>
      <c r="N571" s="18"/>
      <c r="O571" s="18"/>
      <c r="P571" s="284"/>
      <c r="Q571" s="284"/>
      <c r="R571" s="284"/>
      <c r="S571" s="18"/>
      <c r="T571" s="284"/>
      <c r="U571" s="284"/>
      <c r="V571" s="284"/>
      <c r="W571" s="18"/>
      <c r="X571" s="18"/>
      <c r="Y571" s="18"/>
      <c r="Z571" s="18"/>
    </row>
    <row r="572" spans="1:26" ht="16.5" customHeight="1" x14ac:dyDescent="0.35">
      <c r="A572" s="230"/>
      <c r="B572" s="236"/>
      <c r="C572" s="227" t="s">
        <v>313</v>
      </c>
      <c r="D572" s="218">
        <v>3</v>
      </c>
      <c r="E572" s="216">
        <v>3</v>
      </c>
      <c r="F572" s="218" t="s">
        <v>33</v>
      </c>
      <c r="G572" s="218" t="s">
        <v>97</v>
      </c>
      <c r="H572" s="74" t="s">
        <v>46</v>
      </c>
      <c r="I572" s="76" t="s">
        <v>44</v>
      </c>
      <c r="J572" s="74" t="s">
        <v>128</v>
      </c>
      <c r="K572" s="218" t="s">
        <v>38</v>
      </c>
      <c r="L572" s="66"/>
      <c r="M572" s="18"/>
      <c r="N572" s="18"/>
      <c r="O572" s="18"/>
      <c r="P572" s="293"/>
      <c r="Q572" s="295"/>
      <c r="R572" s="294"/>
      <c r="S572" s="18"/>
      <c r="T572" s="293"/>
      <c r="U572" s="295"/>
      <c r="V572" s="294"/>
      <c r="W572" s="18"/>
      <c r="X572" s="18"/>
      <c r="Y572" s="18"/>
      <c r="Z572" s="18"/>
    </row>
    <row r="573" spans="1:26" ht="16.5" customHeight="1" x14ac:dyDescent="0.35">
      <c r="A573" s="230"/>
      <c r="B573" s="236"/>
      <c r="C573" s="217"/>
      <c r="D573" s="217"/>
      <c r="E573" s="217"/>
      <c r="F573" s="217"/>
      <c r="G573" s="217"/>
      <c r="H573" s="74" t="s">
        <v>39</v>
      </c>
      <c r="I573" s="76" t="s">
        <v>44</v>
      </c>
      <c r="J573" s="74" t="s">
        <v>96</v>
      </c>
      <c r="K573" s="217"/>
      <c r="L573" s="66"/>
      <c r="M573" s="18"/>
      <c r="N573" s="18"/>
      <c r="O573" s="18"/>
      <c r="P573" s="284"/>
      <c r="Q573" s="284"/>
      <c r="R573" s="284"/>
      <c r="S573" s="18"/>
      <c r="T573" s="284"/>
      <c r="U573" s="284"/>
      <c r="V573" s="284"/>
      <c r="W573" s="18"/>
      <c r="X573" s="18"/>
      <c r="Y573" s="18"/>
      <c r="Z573" s="18"/>
    </row>
    <row r="574" spans="1:26" ht="16.5" customHeight="1" x14ac:dyDescent="0.35">
      <c r="A574" s="230"/>
      <c r="B574" s="236"/>
      <c r="C574" s="227" t="s">
        <v>316</v>
      </c>
      <c r="D574" s="218">
        <v>3</v>
      </c>
      <c r="E574" s="216">
        <v>3</v>
      </c>
      <c r="F574" s="218" t="s">
        <v>33</v>
      </c>
      <c r="G574" s="218" t="s">
        <v>175</v>
      </c>
      <c r="H574" s="74" t="s">
        <v>46</v>
      </c>
      <c r="I574" s="74" t="s">
        <v>36</v>
      </c>
      <c r="J574" s="74" t="s">
        <v>41</v>
      </c>
      <c r="K574" s="218" t="s">
        <v>54</v>
      </c>
      <c r="L574" s="66"/>
      <c r="M574" s="18"/>
      <c r="N574" s="18"/>
      <c r="O574" s="18"/>
      <c r="P574" s="293"/>
      <c r="Q574" s="295"/>
      <c r="R574" s="294"/>
      <c r="S574" s="18"/>
      <c r="T574" s="293"/>
      <c r="U574" s="295"/>
      <c r="V574" s="294"/>
      <c r="W574" s="18"/>
      <c r="X574" s="18"/>
      <c r="Y574" s="18"/>
      <c r="Z574" s="18"/>
    </row>
    <row r="575" spans="1:26" ht="16.5" customHeight="1" x14ac:dyDescent="0.35">
      <c r="A575" s="230"/>
      <c r="B575" s="236"/>
      <c r="C575" s="217"/>
      <c r="D575" s="217"/>
      <c r="E575" s="217"/>
      <c r="F575" s="217"/>
      <c r="G575" s="217"/>
      <c r="H575" s="74" t="s">
        <v>48</v>
      </c>
      <c r="I575" s="74" t="s">
        <v>108</v>
      </c>
      <c r="J575" s="74" t="s">
        <v>110</v>
      </c>
      <c r="K575" s="217"/>
      <c r="L575" s="66"/>
      <c r="M575" s="18"/>
      <c r="N575" s="18"/>
      <c r="O575" s="18"/>
      <c r="P575" s="284"/>
      <c r="Q575" s="284"/>
      <c r="R575" s="284"/>
      <c r="S575" s="18"/>
      <c r="T575" s="284"/>
      <c r="U575" s="284"/>
      <c r="V575" s="284"/>
      <c r="W575" s="18"/>
      <c r="X575" s="18"/>
      <c r="Y575" s="18"/>
      <c r="Z575" s="18"/>
    </row>
    <row r="576" spans="1:26" ht="16.5" customHeight="1" x14ac:dyDescent="0.35">
      <c r="A576" s="230"/>
      <c r="B576" s="236"/>
      <c r="C576" s="227" t="s">
        <v>166</v>
      </c>
      <c r="D576" s="218">
        <v>3</v>
      </c>
      <c r="E576" s="216">
        <v>1.5</v>
      </c>
      <c r="F576" s="218" t="s">
        <v>63</v>
      </c>
      <c r="G576" s="218" t="s">
        <v>64</v>
      </c>
      <c r="H576" s="85" t="s">
        <v>48</v>
      </c>
      <c r="I576" s="85" t="s">
        <v>36</v>
      </c>
      <c r="J576" s="85" t="s">
        <v>78</v>
      </c>
      <c r="K576" s="218" t="s">
        <v>54</v>
      </c>
      <c r="L576" s="66"/>
      <c r="M576" s="18"/>
      <c r="N576" s="18"/>
      <c r="O576" s="18"/>
      <c r="P576" s="293"/>
      <c r="Q576" s="295"/>
      <c r="R576" s="294"/>
      <c r="S576" s="18"/>
      <c r="T576" s="18"/>
      <c r="U576" s="18"/>
      <c r="V576" s="18"/>
      <c r="W576" s="18"/>
      <c r="X576" s="18"/>
      <c r="Y576" s="18"/>
      <c r="Z576" s="18"/>
    </row>
    <row r="577" spans="1:26" ht="16.5" customHeight="1" x14ac:dyDescent="0.35">
      <c r="A577" s="230"/>
      <c r="B577" s="236"/>
      <c r="C577" s="217"/>
      <c r="D577" s="217"/>
      <c r="E577" s="217"/>
      <c r="F577" s="217"/>
      <c r="G577" s="217"/>
      <c r="H577" s="74" t="s">
        <v>55</v>
      </c>
      <c r="I577" s="85" t="s">
        <v>36</v>
      </c>
      <c r="J577" s="74" t="s">
        <v>65</v>
      </c>
      <c r="K577" s="217"/>
      <c r="L577" s="66"/>
      <c r="M577" s="18"/>
      <c r="N577" s="18"/>
      <c r="O577" s="18"/>
      <c r="P577" s="284"/>
      <c r="Q577" s="284"/>
      <c r="R577" s="284"/>
      <c r="S577" s="18"/>
      <c r="T577" s="293"/>
      <c r="U577" s="295"/>
      <c r="V577" s="294"/>
      <c r="W577" s="18"/>
      <c r="X577" s="18"/>
      <c r="Y577" s="18"/>
      <c r="Z577" s="18"/>
    </row>
    <row r="578" spans="1:26" ht="16.5" customHeight="1" x14ac:dyDescent="0.35">
      <c r="A578" s="230"/>
      <c r="B578" s="236"/>
      <c r="C578" s="227" t="s">
        <v>156</v>
      </c>
      <c r="D578" s="218">
        <v>3</v>
      </c>
      <c r="E578" s="216">
        <v>1.5</v>
      </c>
      <c r="F578" s="218" t="s">
        <v>68</v>
      </c>
      <c r="G578" s="218" t="s">
        <v>64</v>
      </c>
      <c r="H578" s="83" t="s">
        <v>46</v>
      </c>
      <c r="I578" s="74" t="s">
        <v>36</v>
      </c>
      <c r="J578" s="76" t="s">
        <v>149</v>
      </c>
      <c r="K578" s="218" t="s">
        <v>38</v>
      </c>
      <c r="L578" s="66"/>
      <c r="M578" s="18"/>
      <c r="N578" s="18"/>
      <c r="O578" s="18"/>
      <c r="P578" s="293"/>
      <c r="Q578" s="295"/>
      <c r="R578" s="294"/>
      <c r="S578" s="18"/>
      <c r="T578" s="284"/>
      <c r="U578" s="284"/>
      <c r="V578" s="284"/>
      <c r="W578" s="18"/>
      <c r="X578" s="18"/>
      <c r="Y578" s="18"/>
      <c r="Z578" s="18"/>
    </row>
    <row r="579" spans="1:26" ht="16.5" customHeight="1" x14ac:dyDescent="0.35">
      <c r="A579" s="230"/>
      <c r="B579" s="240"/>
      <c r="C579" s="217"/>
      <c r="D579" s="217"/>
      <c r="E579" s="217"/>
      <c r="F579" s="217"/>
      <c r="G579" s="217"/>
      <c r="H579" s="93" t="s">
        <v>48</v>
      </c>
      <c r="I579" s="76" t="s">
        <v>36</v>
      </c>
      <c r="J579" s="76" t="s">
        <v>149</v>
      </c>
      <c r="K579" s="217"/>
      <c r="L579" s="66"/>
      <c r="M579" s="18"/>
      <c r="N579" s="18"/>
      <c r="O579" s="18"/>
      <c r="P579" s="284"/>
      <c r="Q579" s="284"/>
      <c r="R579" s="284"/>
      <c r="S579" s="18"/>
      <c r="T579" s="293"/>
      <c r="U579" s="295"/>
      <c r="V579" s="294"/>
      <c r="W579" s="18"/>
      <c r="X579" s="18"/>
      <c r="Y579" s="18"/>
      <c r="Z579" s="18"/>
    </row>
    <row r="580" spans="1:26" ht="16.5" customHeight="1" x14ac:dyDescent="0.35">
      <c r="A580" s="217"/>
      <c r="B580" s="228" t="s">
        <v>72</v>
      </c>
      <c r="C580" s="221"/>
      <c r="D580" s="222"/>
      <c r="E580" s="71">
        <f>SUM(E566:E579)</f>
        <v>18</v>
      </c>
      <c r="F580" s="113"/>
      <c r="G580" s="114"/>
      <c r="H580" s="114"/>
      <c r="I580" s="114"/>
      <c r="J580" s="114"/>
      <c r="K580" s="115"/>
      <c r="L580" s="66"/>
      <c r="M580" s="18"/>
      <c r="N580" s="18"/>
      <c r="O580" s="18"/>
      <c r="P580" s="18"/>
      <c r="Q580" s="18"/>
      <c r="R580" s="18"/>
      <c r="S580" s="18"/>
      <c r="T580" s="284"/>
      <c r="U580" s="284"/>
      <c r="V580" s="284"/>
      <c r="W580" s="18"/>
      <c r="X580" s="18"/>
      <c r="Y580" s="18"/>
      <c r="Z580" s="18"/>
    </row>
    <row r="581" spans="1:26" ht="16.5" customHeight="1" x14ac:dyDescent="0.35">
      <c r="A581" s="229">
        <v>35</v>
      </c>
      <c r="B581" s="238" t="s">
        <v>317</v>
      </c>
      <c r="C581" s="227" t="s">
        <v>201</v>
      </c>
      <c r="D581" s="218">
        <v>3</v>
      </c>
      <c r="E581" s="216">
        <v>3</v>
      </c>
      <c r="F581" s="218" t="s">
        <v>33</v>
      </c>
      <c r="G581" s="218" t="s">
        <v>103</v>
      </c>
      <c r="H581" s="74" t="s">
        <v>35</v>
      </c>
      <c r="I581" s="74" t="s">
        <v>40</v>
      </c>
      <c r="J581" s="74" t="s">
        <v>37</v>
      </c>
      <c r="K581" s="218" t="s">
        <v>38</v>
      </c>
      <c r="L581" s="66"/>
      <c r="M581" s="18"/>
      <c r="N581" s="18"/>
      <c r="O581" s="18"/>
      <c r="P581" s="293"/>
      <c r="Q581" s="295"/>
      <c r="R581" s="294"/>
      <c r="S581" s="18"/>
      <c r="T581" s="293"/>
      <c r="U581" s="295"/>
      <c r="V581" s="294"/>
      <c r="W581" s="18"/>
      <c r="X581" s="18"/>
      <c r="Y581" s="18"/>
      <c r="Z581" s="18"/>
    </row>
    <row r="582" spans="1:26" ht="16.5" customHeight="1" x14ac:dyDescent="0.35">
      <c r="A582" s="230"/>
      <c r="B582" s="230"/>
      <c r="C582" s="217"/>
      <c r="D582" s="217"/>
      <c r="E582" s="217"/>
      <c r="F582" s="217"/>
      <c r="G582" s="217"/>
      <c r="H582" s="74" t="s">
        <v>39</v>
      </c>
      <c r="I582" s="74" t="s">
        <v>40</v>
      </c>
      <c r="J582" s="74" t="s">
        <v>37</v>
      </c>
      <c r="K582" s="217"/>
      <c r="L582" s="66"/>
      <c r="M582" s="18"/>
      <c r="N582" s="18"/>
      <c r="O582" s="18"/>
      <c r="P582" s="284"/>
      <c r="Q582" s="284"/>
      <c r="R582" s="284"/>
      <c r="S582" s="18"/>
      <c r="T582" s="284"/>
      <c r="U582" s="284"/>
      <c r="V582" s="284"/>
      <c r="W582" s="18"/>
      <c r="X582" s="18"/>
      <c r="Y582" s="18"/>
      <c r="Z582" s="18"/>
    </row>
    <row r="583" spans="1:26" ht="16.5" customHeight="1" x14ac:dyDescent="0.35">
      <c r="A583" s="230"/>
      <c r="B583" s="230"/>
      <c r="C583" s="227" t="s">
        <v>201</v>
      </c>
      <c r="D583" s="218">
        <v>3</v>
      </c>
      <c r="E583" s="216">
        <v>3</v>
      </c>
      <c r="F583" s="218" t="s">
        <v>33</v>
      </c>
      <c r="G583" s="218" t="s">
        <v>104</v>
      </c>
      <c r="H583" s="74" t="s">
        <v>46</v>
      </c>
      <c r="I583" s="74" t="s">
        <v>36</v>
      </c>
      <c r="J583" s="76" t="s">
        <v>259</v>
      </c>
      <c r="K583" s="218" t="s">
        <v>38</v>
      </c>
      <c r="L583" s="66"/>
      <c r="M583" s="18"/>
      <c r="N583" s="18"/>
      <c r="O583" s="18"/>
      <c r="P583" s="293"/>
      <c r="Q583" s="295"/>
      <c r="R583" s="294"/>
      <c r="S583" s="18"/>
      <c r="T583" s="293"/>
      <c r="U583" s="295"/>
      <c r="V583" s="294"/>
      <c r="W583" s="18"/>
      <c r="X583" s="18"/>
      <c r="Y583" s="18"/>
      <c r="Z583" s="18"/>
    </row>
    <row r="584" spans="1:26" ht="16.5" customHeight="1" x14ac:dyDescent="0.35">
      <c r="A584" s="230"/>
      <c r="B584" s="230"/>
      <c r="C584" s="217"/>
      <c r="D584" s="217"/>
      <c r="E584" s="217"/>
      <c r="F584" s="217"/>
      <c r="G584" s="217"/>
      <c r="H584" s="74" t="s">
        <v>48</v>
      </c>
      <c r="I584" s="74" t="s">
        <v>36</v>
      </c>
      <c r="J584" s="76" t="s">
        <v>259</v>
      </c>
      <c r="K584" s="217"/>
      <c r="L584" s="66"/>
      <c r="M584" s="18"/>
      <c r="N584" s="18"/>
      <c r="O584" s="18"/>
      <c r="P584" s="284"/>
      <c r="Q584" s="284"/>
      <c r="R584" s="284"/>
      <c r="S584" s="18"/>
      <c r="T584" s="284"/>
      <c r="U584" s="284"/>
      <c r="V584" s="284"/>
      <c r="W584" s="18"/>
      <c r="X584" s="18"/>
      <c r="Y584" s="18"/>
      <c r="Z584" s="18"/>
    </row>
    <row r="585" spans="1:26" ht="16.5" customHeight="1" x14ac:dyDescent="0.35">
      <c r="A585" s="230"/>
      <c r="B585" s="230"/>
      <c r="C585" s="227" t="s">
        <v>99</v>
      </c>
      <c r="D585" s="218">
        <v>3</v>
      </c>
      <c r="E585" s="216">
        <v>3</v>
      </c>
      <c r="F585" s="218" t="s">
        <v>33</v>
      </c>
      <c r="G585" s="218" t="s">
        <v>97</v>
      </c>
      <c r="H585" s="74" t="s">
        <v>35</v>
      </c>
      <c r="I585" s="74" t="s">
        <v>36</v>
      </c>
      <c r="J585" s="76" t="s">
        <v>259</v>
      </c>
      <c r="K585" s="218" t="s">
        <v>38</v>
      </c>
      <c r="L585" s="66" t="s">
        <v>102</v>
      </c>
      <c r="M585" s="18"/>
      <c r="N585" s="18"/>
      <c r="O585" s="18"/>
      <c r="P585" s="293"/>
      <c r="Q585" s="295"/>
      <c r="R585" s="294"/>
      <c r="S585" s="18"/>
      <c r="T585" s="293"/>
      <c r="U585" s="295"/>
      <c r="V585" s="294"/>
      <c r="W585" s="18"/>
      <c r="X585" s="18"/>
      <c r="Y585" s="18"/>
      <c r="Z585" s="18"/>
    </row>
    <row r="586" spans="1:26" ht="16.5" customHeight="1" x14ac:dyDescent="0.35">
      <c r="A586" s="230"/>
      <c r="B586" s="230"/>
      <c r="C586" s="217"/>
      <c r="D586" s="217"/>
      <c r="E586" s="217"/>
      <c r="F586" s="217"/>
      <c r="G586" s="217"/>
      <c r="H586" s="74" t="s">
        <v>39</v>
      </c>
      <c r="I586" s="74" t="s">
        <v>36</v>
      </c>
      <c r="J586" s="76" t="s">
        <v>259</v>
      </c>
      <c r="K586" s="217"/>
      <c r="L586" s="66"/>
      <c r="M586" s="18"/>
      <c r="N586" s="18"/>
      <c r="O586" s="18"/>
      <c r="P586" s="284"/>
      <c r="Q586" s="284"/>
      <c r="R586" s="284"/>
      <c r="S586" s="18"/>
      <c r="T586" s="284"/>
      <c r="U586" s="284"/>
      <c r="V586" s="284"/>
      <c r="W586" s="18"/>
      <c r="X586" s="18"/>
      <c r="Y586" s="18"/>
      <c r="Z586" s="18"/>
    </row>
    <row r="587" spans="1:26" ht="16.5" customHeight="1" x14ac:dyDescent="0.35">
      <c r="A587" s="230"/>
      <c r="B587" s="230"/>
      <c r="C587" s="227" t="s">
        <v>316</v>
      </c>
      <c r="D587" s="218">
        <v>3</v>
      </c>
      <c r="E587" s="216">
        <v>3</v>
      </c>
      <c r="F587" s="218" t="s">
        <v>33</v>
      </c>
      <c r="G587" s="218" t="s">
        <v>90</v>
      </c>
      <c r="H587" s="74" t="s">
        <v>35</v>
      </c>
      <c r="I587" s="74" t="s">
        <v>36</v>
      </c>
      <c r="J587" s="76" t="s">
        <v>259</v>
      </c>
      <c r="K587" s="218" t="s">
        <v>54</v>
      </c>
      <c r="L587" s="66"/>
      <c r="M587" s="18"/>
      <c r="N587" s="18"/>
      <c r="O587" s="18"/>
      <c r="P587" s="293"/>
      <c r="Q587" s="295"/>
      <c r="R587" s="294"/>
      <c r="S587" s="18"/>
      <c r="T587" s="293"/>
      <c r="U587" s="295"/>
      <c r="V587" s="294"/>
      <c r="W587" s="18"/>
      <c r="X587" s="18"/>
      <c r="Y587" s="18"/>
      <c r="Z587" s="18"/>
    </row>
    <row r="588" spans="1:26" ht="16.5" customHeight="1" x14ac:dyDescent="0.35">
      <c r="A588" s="230"/>
      <c r="B588" s="230"/>
      <c r="C588" s="217"/>
      <c r="D588" s="217"/>
      <c r="E588" s="217"/>
      <c r="F588" s="217"/>
      <c r="G588" s="217"/>
      <c r="H588" s="74" t="s">
        <v>39</v>
      </c>
      <c r="I588" s="74" t="s">
        <v>36</v>
      </c>
      <c r="J588" s="76" t="s">
        <v>259</v>
      </c>
      <c r="K588" s="217"/>
      <c r="L588" s="66"/>
      <c r="M588" s="18"/>
      <c r="N588" s="18"/>
      <c r="O588" s="18"/>
      <c r="P588" s="284"/>
      <c r="Q588" s="284"/>
      <c r="R588" s="284"/>
      <c r="S588" s="18"/>
      <c r="T588" s="284"/>
      <c r="U588" s="284"/>
      <c r="V588" s="284"/>
      <c r="W588" s="18"/>
      <c r="X588" s="18"/>
      <c r="Y588" s="18"/>
      <c r="Z588" s="18"/>
    </row>
    <row r="589" spans="1:26" ht="16.5" customHeight="1" x14ac:dyDescent="0.35">
      <c r="A589" s="230"/>
      <c r="B589" s="230"/>
      <c r="C589" s="227" t="s">
        <v>316</v>
      </c>
      <c r="D589" s="218">
        <v>3</v>
      </c>
      <c r="E589" s="216">
        <v>3</v>
      </c>
      <c r="F589" s="218" t="s">
        <v>33</v>
      </c>
      <c r="G589" s="218" t="s">
        <v>173</v>
      </c>
      <c r="H589" s="74" t="s">
        <v>35</v>
      </c>
      <c r="I589" s="74" t="s">
        <v>40</v>
      </c>
      <c r="J589" s="76" t="s">
        <v>137</v>
      </c>
      <c r="K589" s="218" t="s">
        <v>54</v>
      </c>
      <c r="L589" s="66"/>
      <c r="M589" s="18"/>
      <c r="N589" s="18"/>
      <c r="O589" s="18"/>
      <c r="P589" s="293"/>
      <c r="Q589" s="295"/>
      <c r="R589" s="294"/>
      <c r="S589" s="18"/>
      <c r="T589" s="293"/>
      <c r="U589" s="295"/>
      <c r="V589" s="294"/>
      <c r="W589" s="18"/>
      <c r="X589" s="18"/>
      <c r="Y589" s="18"/>
      <c r="Z589" s="18"/>
    </row>
    <row r="590" spans="1:26" ht="16.5" customHeight="1" x14ac:dyDescent="0.35">
      <c r="A590" s="230"/>
      <c r="B590" s="230"/>
      <c r="C590" s="217"/>
      <c r="D590" s="217"/>
      <c r="E590" s="217"/>
      <c r="F590" s="217"/>
      <c r="G590" s="217"/>
      <c r="H590" s="74" t="s">
        <v>39</v>
      </c>
      <c r="I590" s="74" t="s">
        <v>40</v>
      </c>
      <c r="J590" s="76" t="s">
        <v>137</v>
      </c>
      <c r="K590" s="217"/>
      <c r="L590" s="66"/>
      <c r="M590" s="18"/>
      <c r="N590" s="18"/>
      <c r="O590" s="18"/>
      <c r="P590" s="284"/>
      <c r="Q590" s="284"/>
      <c r="R590" s="284"/>
      <c r="S590" s="18"/>
      <c r="T590" s="284"/>
      <c r="U590" s="284"/>
      <c r="V590" s="284"/>
      <c r="W590" s="18"/>
      <c r="X590" s="18"/>
      <c r="Y590" s="18"/>
      <c r="Z590" s="18"/>
    </row>
    <row r="591" spans="1:26" ht="16.5" customHeight="1" x14ac:dyDescent="0.35">
      <c r="A591" s="230"/>
      <c r="B591" s="230"/>
      <c r="C591" s="227" t="s">
        <v>318</v>
      </c>
      <c r="D591" s="218">
        <v>3</v>
      </c>
      <c r="E591" s="216">
        <v>3</v>
      </c>
      <c r="F591" s="218" t="s">
        <v>33</v>
      </c>
      <c r="G591" s="218" t="s">
        <v>136</v>
      </c>
      <c r="H591" s="74" t="s">
        <v>46</v>
      </c>
      <c r="I591" s="74" t="s">
        <v>36</v>
      </c>
      <c r="J591" s="74" t="s">
        <v>43</v>
      </c>
      <c r="K591" s="218" t="s">
        <v>54</v>
      </c>
      <c r="L591" s="66" t="s">
        <v>102</v>
      </c>
      <c r="M591" s="18"/>
      <c r="N591" s="18"/>
      <c r="O591" s="18"/>
      <c r="P591" s="293"/>
      <c r="Q591" s="295"/>
      <c r="R591" s="294"/>
      <c r="S591" s="18"/>
      <c r="T591" s="18"/>
      <c r="U591" s="18"/>
      <c r="V591" s="18"/>
      <c r="W591" s="18"/>
      <c r="X591" s="18"/>
      <c r="Y591" s="18"/>
      <c r="Z591" s="18"/>
    </row>
    <row r="592" spans="1:26" ht="16.5" customHeight="1" x14ac:dyDescent="0.35">
      <c r="A592" s="230"/>
      <c r="B592" s="230"/>
      <c r="C592" s="217"/>
      <c r="D592" s="217"/>
      <c r="E592" s="217"/>
      <c r="F592" s="217"/>
      <c r="G592" s="217"/>
      <c r="H592" s="74" t="s">
        <v>48</v>
      </c>
      <c r="I592" s="74" t="s">
        <v>36</v>
      </c>
      <c r="J592" s="74" t="s">
        <v>43</v>
      </c>
      <c r="K592" s="217"/>
      <c r="L592" s="66"/>
      <c r="M592" s="18"/>
      <c r="N592" s="18"/>
      <c r="O592" s="18"/>
      <c r="P592" s="284"/>
      <c r="Q592" s="284"/>
      <c r="R592" s="284"/>
      <c r="S592" s="18"/>
      <c r="T592" s="18"/>
      <c r="U592" s="18"/>
      <c r="V592" s="18"/>
      <c r="W592" s="18"/>
      <c r="X592" s="18"/>
      <c r="Y592" s="18"/>
      <c r="Z592" s="18"/>
    </row>
    <row r="593" spans="1:26" ht="16.5" customHeight="1" x14ac:dyDescent="0.35">
      <c r="A593" s="230"/>
      <c r="B593" s="230"/>
      <c r="C593" s="227" t="s">
        <v>318</v>
      </c>
      <c r="D593" s="218">
        <v>3</v>
      </c>
      <c r="E593" s="216">
        <v>3</v>
      </c>
      <c r="F593" s="218" t="s">
        <v>33</v>
      </c>
      <c r="G593" s="218" t="s">
        <v>76</v>
      </c>
      <c r="H593" s="74" t="s">
        <v>46</v>
      </c>
      <c r="I593" s="74" t="s">
        <v>40</v>
      </c>
      <c r="J593" s="74" t="s">
        <v>43</v>
      </c>
      <c r="K593" s="218" t="s">
        <v>54</v>
      </c>
      <c r="L593" s="66"/>
      <c r="M593" s="18"/>
      <c r="N593" s="18"/>
      <c r="O593" s="18"/>
      <c r="P593" s="293"/>
      <c r="Q593" s="295"/>
      <c r="R593" s="294"/>
      <c r="S593" s="18"/>
      <c r="T593" s="293"/>
      <c r="U593" s="295"/>
      <c r="V593" s="294"/>
      <c r="W593" s="18"/>
      <c r="X593" s="18"/>
      <c r="Y593" s="18"/>
      <c r="Z593" s="18"/>
    </row>
    <row r="594" spans="1:26" ht="16.5" customHeight="1" x14ac:dyDescent="0.35">
      <c r="A594" s="230"/>
      <c r="B594" s="217"/>
      <c r="C594" s="217"/>
      <c r="D594" s="217"/>
      <c r="E594" s="217"/>
      <c r="F594" s="217"/>
      <c r="G594" s="217"/>
      <c r="H594" s="74" t="s">
        <v>48</v>
      </c>
      <c r="I594" s="74" t="s">
        <v>40</v>
      </c>
      <c r="J594" s="74" t="s">
        <v>43</v>
      </c>
      <c r="K594" s="217"/>
      <c r="L594" s="66"/>
      <c r="M594" s="18"/>
      <c r="N594" s="18"/>
      <c r="O594" s="18"/>
      <c r="P594" s="284"/>
      <c r="Q594" s="284"/>
      <c r="R594" s="284"/>
      <c r="S594" s="18"/>
      <c r="T594" s="284"/>
      <c r="U594" s="284"/>
      <c r="V594" s="284"/>
      <c r="W594" s="18"/>
      <c r="X594" s="18"/>
      <c r="Y594" s="18"/>
      <c r="Z594" s="18"/>
    </row>
    <row r="595" spans="1:26" ht="16.5" customHeight="1" x14ac:dyDescent="0.35">
      <c r="A595" s="217"/>
      <c r="B595" s="228" t="s">
        <v>72</v>
      </c>
      <c r="C595" s="221"/>
      <c r="D595" s="222"/>
      <c r="E595" s="71">
        <f>SUM(E581:E594)</f>
        <v>21</v>
      </c>
      <c r="F595" s="220"/>
      <c r="G595" s="221"/>
      <c r="H595" s="221"/>
      <c r="I595" s="221"/>
      <c r="J595" s="221"/>
      <c r="K595" s="222"/>
      <c r="L595" s="66"/>
      <c r="M595" s="18"/>
      <c r="N595" s="18"/>
      <c r="O595" s="18"/>
      <c r="P595" s="18"/>
      <c r="Q595" s="18"/>
      <c r="R595" s="18"/>
      <c r="S595" s="18"/>
      <c r="T595" s="293"/>
      <c r="U595" s="295"/>
      <c r="V595" s="294"/>
      <c r="W595" s="18"/>
      <c r="X595" s="18"/>
      <c r="Y595" s="18"/>
      <c r="Z595" s="18"/>
    </row>
    <row r="596" spans="1:26" ht="16.5" customHeight="1" x14ac:dyDescent="0.35">
      <c r="A596" s="248">
        <v>36</v>
      </c>
      <c r="B596" s="238" t="s">
        <v>319</v>
      </c>
      <c r="C596" s="227" t="s">
        <v>95</v>
      </c>
      <c r="D596" s="218">
        <v>3</v>
      </c>
      <c r="E596" s="216">
        <v>3</v>
      </c>
      <c r="F596" s="218" t="s">
        <v>33</v>
      </c>
      <c r="G596" s="218" t="s">
        <v>136</v>
      </c>
      <c r="H596" s="74" t="s">
        <v>46</v>
      </c>
      <c r="I596" s="74" t="s">
        <v>36</v>
      </c>
      <c r="J596" s="74" t="s">
        <v>128</v>
      </c>
      <c r="K596" s="218" t="s">
        <v>54</v>
      </c>
      <c r="L596" s="66"/>
      <c r="M596" s="18"/>
      <c r="N596" s="18"/>
      <c r="O596" s="18"/>
      <c r="P596" s="293"/>
      <c r="Q596" s="295"/>
      <c r="R596" s="294"/>
      <c r="S596" s="18"/>
      <c r="T596" s="284"/>
      <c r="U596" s="284"/>
      <c r="V596" s="284"/>
      <c r="W596" s="18"/>
      <c r="X596" s="18"/>
      <c r="Y596" s="18"/>
      <c r="Z596" s="18"/>
    </row>
    <row r="597" spans="1:26" ht="16.5" customHeight="1" x14ac:dyDescent="0.35">
      <c r="A597" s="230"/>
      <c r="B597" s="230"/>
      <c r="C597" s="217"/>
      <c r="D597" s="217"/>
      <c r="E597" s="217"/>
      <c r="F597" s="217"/>
      <c r="G597" s="217"/>
      <c r="H597" s="74" t="s">
        <v>48</v>
      </c>
      <c r="I597" s="74" t="s">
        <v>36</v>
      </c>
      <c r="J597" s="74" t="s">
        <v>128</v>
      </c>
      <c r="K597" s="217"/>
      <c r="L597" s="66"/>
      <c r="M597" s="18"/>
      <c r="N597" s="18"/>
      <c r="O597" s="18"/>
      <c r="P597" s="284"/>
      <c r="Q597" s="284"/>
      <c r="R597" s="284"/>
      <c r="S597" s="18"/>
      <c r="T597" s="293"/>
      <c r="U597" s="295"/>
      <c r="V597" s="294"/>
      <c r="W597" s="18"/>
      <c r="X597" s="18"/>
      <c r="Y597" s="18"/>
      <c r="Z597" s="18"/>
    </row>
    <row r="598" spans="1:26" ht="16.5" customHeight="1" x14ac:dyDescent="0.35">
      <c r="A598" s="230"/>
      <c r="B598" s="230"/>
      <c r="C598" s="227" t="s">
        <v>95</v>
      </c>
      <c r="D598" s="218">
        <v>3</v>
      </c>
      <c r="E598" s="216">
        <v>3</v>
      </c>
      <c r="F598" s="218" t="s">
        <v>33</v>
      </c>
      <c r="G598" s="218" t="s">
        <v>76</v>
      </c>
      <c r="H598" s="74" t="s">
        <v>35</v>
      </c>
      <c r="I598" s="74" t="s">
        <v>40</v>
      </c>
      <c r="J598" s="74" t="s">
        <v>96</v>
      </c>
      <c r="K598" s="218" t="s">
        <v>54</v>
      </c>
      <c r="L598" s="66"/>
      <c r="M598" s="18"/>
      <c r="N598" s="18"/>
      <c r="O598" s="18"/>
      <c r="P598" s="293"/>
      <c r="Q598" s="295"/>
      <c r="R598" s="294"/>
      <c r="S598" s="18"/>
      <c r="T598" s="284"/>
      <c r="U598" s="284"/>
      <c r="V598" s="284"/>
      <c r="W598" s="18"/>
      <c r="X598" s="18"/>
      <c r="Y598" s="18"/>
      <c r="Z598" s="18"/>
    </row>
    <row r="599" spans="1:26" ht="16.5" customHeight="1" x14ac:dyDescent="0.35">
      <c r="A599" s="230"/>
      <c r="B599" s="230"/>
      <c r="C599" s="219"/>
      <c r="D599" s="219"/>
      <c r="E599" s="219"/>
      <c r="F599" s="219"/>
      <c r="G599" s="219"/>
      <c r="H599" s="74" t="s">
        <v>39</v>
      </c>
      <c r="I599" s="74" t="s">
        <v>108</v>
      </c>
      <c r="J599" s="74" t="s">
        <v>96</v>
      </c>
      <c r="K599" s="219"/>
      <c r="L599" s="66"/>
      <c r="M599" s="18"/>
      <c r="N599" s="18"/>
      <c r="O599" s="18"/>
      <c r="P599" s="284"/>
      <c r="Q599" s="284"/>
      <c r="R599" s="284"/>
      <c r="S599" s="18"/>
      <c r="T599" s="293"/>
      <c r="U599" s="295"/>
      <c r="V599" s="294"/>
      <c r="W599" s="18"/>
      <c r="X599" s="18"/>
      <c r="Y599" s="18"/>
      <c r="Z599" s="18"/>
    </row>
    <row r="600" spans="1:26" ht="16.5" customHeight="1" x14ac:dyDescent="0.35">
      <c r="A600" s="230"/>
      <c r="B600" s="230"/>
      <c r="C600" s="227" t="s">
        <v>320</v>
      </c>
      <c r="D600" s="218">
        <v>3</v>
      </c>
      <c r="E600" s="216">
        <v>3</v>
      </c>
      <c r="F600" s="218" t="s">
        <v>33</v>
      </c>
      <c r="G600" s="218" t="s">
        <v>136</v>
      </c>
      <c r="H600" s="74" t="s">
        <v>35</v>
      </c>
      <c r="I600" s="74" t="s">
        <v>36</v>
      </c>
      <c r="J600" s="74" t="s">
        <v>96</v>
      </c>
      <c r="K600" s="218" t="s">
        <v>38</v>
      </c>
      <c r="L600" s="66"/>
      <c r="M600" s="18"/>
      <c r="N600" s="18"/>
      <c r="O600" s="18"/>
      <c r="P600" s="293"/>
      <c r="Q600" s="295"/>
      <c r="R600" s="294"/>
      <c r="S600" s="18"/>
      <c r="T600" s="284"/>
      <c r="U600" s="284"/>
      <c r="V600" s="284"/>
      <c r="W600" s="18"/>
      <c r="X600" s="18"/>
      <c r="Y600" s="18"/>
      <c r="Z600" s="18"/>
    </row>
    <row r="601" spans="1:26" ht="16.5" customHeight="1" x14ac:dyDescent="0.35">
      <c r="A601" s="230"/>
      <c r="B601" s="230"/>
      <c r="C601" s="217"/>
      <c r="D601" s="217"/>
      <c r="E601" s="217"/>
      <c r="F601" s="217"/>
      <c r="G601" s="217"/>
      <c r="H601" s="74" t="s">
        <v>48</v>
      </c>
      <c r="I601" s="74" t="s">
        <v>36</v>
      </c>
      <c r="J601" s="74" t="s">
        <v>96</v>
      </c>
      <c r="K601" s="217"/>
      <c r="L601" s="66"/>
      <c r="M601" s="18"/>
      <c r="N601" s="18"/>
      <c r="O601" s="18"/>
      <c r="P601" s="284"/>
      <c r="Q601" s="284"/>
      <c r="R601" s="284"/>
      <c r="S601" s="18"/>
      <c r="T601" s="293"/>
      <c r="U601" s="295"/>
      <c r="V601" s="294"/>
      <c r="W601" s="18"/>
      <c r="X601" s="18"/>
      <c r="Y601" s="18"/>
      <c r="Z601" s="18"/>
    </row>
    <row r="602" spans="1:26" ht="16.5" customHeight="1" x14ac:dyDescent="0.35">
      <c r="A602" s="230"/>
      <c r="B602" s="230"/>
      <c r="C602" s="227" t="s">
        <v>320</v>
      </c>
      <c r="D602" s="218">
        <v>3</v>
      </c>
      <c r="E602" s="216">
        <v>3</v>
      </c>
      <c r="F602" s="218" t="s">
        <v>33</v>
      </c>
      <c r="G602" s="218" t="s">
        <v>76</v>
      </c>
      <c r="H602" s="74" t="s">
        <v>35</v>
      </c>
      <c r="I602" s="74" t="s">
        <v>40</v>
      </c>
      <c r="J602" s="74" t="s">
        <v>96</v>
      </c>
      <c r="K602" s="218" t="s">
        <v>38</v>
      </c>
      <c r="L602" s="66"/>
      <c r="M602" s="18"/>
      <c r="N602" s="18"/>
      <c r="O602" s="18"/>
      <c r="P602" s="293"/>
      <c r="Q602" s="295"/>
      <c r="R602" s="294"/>
      <c r="S602" s="18"/>
      <c r="T602" s="284"/>
      <c r="U602" s="284"/>
      <c r="V602" s="284"/>
      <c r="W602" s="18"/>
      <c r="X602" s="18"/>
      <c r="Y602" s="18"/>
      <c r="Z602" s="18"/>
    </row>
    <row r="603" spans="1:26" ht="16.5" customHeight="1" x14ac:dyDescent="0.35">
      <c r="A603" s="230"/>
      <c r="B603" s="230"/>
      <c r="C603" s="217"/>
      <c r="D603" s="217"/>
      <c r="E603" s="217"/>
      <c r="F603" s="217"/>
      <c r="G603" s="217"/>
      <c r="H603" s="74" t="s">
        <v>48</v>
      </c>
      <c r="I603" s="74" t="s">
        <v>40</v>
      </c>
      <c r="J603" s="74" t="s">
        <v>128</v>
      </c>
      <c r="K603" s="217"/>
      <c r="L603" s="66"/>
      <c r="M603" s="18"/>
      <c r="N603" s="18"/>
      <c r="O603" s="18"/>
      <c r="P603" s="284"/>
      <c r="Q603" s="284"/>
      <c r="R603" s="284"/>
      <c r="S603" s="18"/>
      <c r="T603" s="293"/>
      <c r="U603" s="295"/>
      <c r="V603" s="294"/>
      <c r="W603" s="18"/>
      <c r="X603" s="18"/>
      <c r="Y603" s="18"/>
      <c r="Z603" s="18"/>
    </row>
    <row r="604" spans="1:26" ht="16.5" customHeight="1" x14ac:dyDescent="0.35">
      <c r="A604" s="230"/>
      <c r="B604" s="230"/>
      <c r="C604" s="227" t="s">
        <v>320</v>
      </c>
      <c r="D604" s="218">
        <v>3</v>
      </c>
      <c r="E604" s="216">
        <v>3</v>
      </c>
      <c r="F604" s="218" t="s">
        <v>33</v>
      </c>
      <c r="G604" s="218" t="s">
        <v>79</v>
      </c>
      <c r="H604" s="74" t="s">
        <v>35</v>
      </c>
      <c r="I604" s="76" t="s">
        <v>91</v>
      </c>
      <c r="J604" s="74" t="s">
        <v>96</v>
      </c>
      <c r="K604" s="218" t="s">
        <v>38</v>
      </c>
      <c r="L604" s="66"/>
      <c r="M604" s="18"/>
      <c r="N604" s="18"/>
      <c r="O604" s="18"/>
      <c r="P604" s="293"/>
      <c r="Q604" s="295"/>
      <c r="R604" s="294"/>
      <c r="S604" s="18"/>
      <c r="T604" s="284"/>
      <c r="U604" s="284"/>
      <c r="V604" s="284"/>
      <c r="W604" s="18"/>
      <c r="X604" s="18"/>
      <c r="Y604" s="18"/>
      <c r="Z604" s="18"/>
    </row>
    <row r="605" spans="1:26" ht="16.5" customHeight="1" x14ac:dyDescent="0.35">
      <c r="A605" s="230"/>
      <c r="B605" s="230"/>
      <c r="C605" s="217"/>
      <c r="D605" s="217"/>
      <c r="E605" s="217"/>
      <c r="F605" s="217"/>
      <c r="G605" s="217"/>
      <c r="H605" s="74" t="s">
        <v>48</v>
      </c>
      <c r="I605" s="76" t="s">
        <v>91</v>
      </c>
      <c r="J605" s="74" t="s">
        <v>96</v>
      </c>
      <c r="K605" s="217"/>
      <c r="L605" s="66"/>
      <c r="M605" s="18"/>
      <c r="N605" s="18"/>
      <c r="O605" s="18"/>
      <c r="P605" s="284"/>
      <c r="Q605" s="284"/>
      <c r="R605" s="284"/>
      <c r="S605" s="18"/>
      <c r="T605" s="293"/>
      <c r="U605" s="295"/>
      <c r="V605" s="294"/>
      <c r="W605" s="18"/>
      <c r="X605" s="18"/>
      <c r="Y605" s="18"/>
      <c r="Z605" s="18"/>
    </row>
    <row r="606" spans="1:26" ht="16.5" customHeight="1" x14ac:dyDescent="0.35">
      <c r="A606" s="230"/>
      <c r="B606" s="230"/>
      <c r="C606" s="227" t="s">
        <v>320</v>
      </c>
      <c r="D606" s="218">
        <v>3</v>
      </c>
      <c r="E606" s="216">
        <v>3</v>
      </c>
      <c r="F606" s="218" t="s">
        <v>33</v>
      </c>
      <c r="G606" s="218" t="s">
        <v>97</v>
      </c>
      <c r="H606" s="74" t="s">
        <v>46</v>
      </c>
      <c r="I606" s="74" t="s">
        <v>36</v>
      </c>
      <c r="J606" s="74" t="s">
        <v>98</v>
      </c>
      <c r="K606" s="218" t="s">
        <v>38</v>
      </c>
      <c r="L606" s="66"/>
      <c r="M606" s="18"/>
      <c r="N606" s="18"/>
      <c r="O606" s="18"/>
      <c r="P606" s="293"/>
      <c r="Q606" s="295"/>
      <c r="R606" s="294"/>
      <c r="S606" s="18"/>
      <c r="T606" s="284"/>
      <c r="U606" s="284"/>
      <c r="V606" s="284"/>
      <c r="W606" s="18"/>
      <c r="X606" s="18"/>
      <c r="Y606" s="18"/>
      <c r="Z606" s="18"/>
    </row>
    <row r="607" spans="1:26" ht="16.5" customHeight="1" x14ac:dyDescent="0.35">
      <c r="A607" s="230"/>
      <c r="B607" s="219"/>
      <c r="C607" s="217"/>
      <c r="D607" s="217"/>
      <c r="E607" s="217"/>
      <c r="F607" s="217"/>
      <c r="G607" s="217"/>
      <c r="H607" s="74" t="s">
        <v>55</v>
      </c>
      <c r="I607" s="74" t="s">
        <v>36</v>
      </c>
      <c r="J607" s="74" t="s">
        <v>98</v>
      </c>
      <c r="K607" s="217"/>
      <c r="L607" s="66"/>
      <c r="M607" s="18"/>
      <c r="N607" s="18"/>
      <c r="O607" s="18"/>
      <c r="P607" s="284"/>
      <c r="Q607" s="284"/>
      <c r="R607" s="284"/>
      <c r="S607" s="18"/>
      <c r="T607" s="18"/>
      <c r="U607" s="18"/>
      <c r="V607" s="18"/>
      <c r="W607" s="18"/>
      <c r="X607" s="18"/>
      <c r="Y607" s="18"/>
      <c r="Z607" s="18"/>
    </row>
    <row r="608" spans="1:26" ht="16.5" customHeight="1" x14ac:dyDescent="0.35">
      <c r="A608" s="217"/>
      <c r="B608" s="228" t="s">
        <v>72</v>
      </c>
      <c r="C608" s="221"/>
      <c r="D608" s="222"/>
      <c r="E608" s="71">
        <f>SUM(E596:E607)</f>
        <v>18</v>
      </c>
      <c r="F608" s="220"/>
      <c r="G608" s="221"/>
      <c r="H608" s="221"/>
      <c r="I608" s="221"/>
      <c r="J608" s="221"/>
      <c r="K608" s="222"/>
      <c r="L608" s="66"/>
      <c r="M608" s="18"/>
      <c r="N608" s="18"/>
      <c r="O608" s="18"/>
      <c r="P608" s="18"/>
      <c r="Q608" s="18"/>
      <c r="R608" s="18"/>
      <c r="S608" s="18"/>
      <c r="T608" s="293"/>
      <c r="U608" s="295"/>
      <c r="V608" s="294"/>
      <c r="W608" s="18"/>
      <c r="X608" s="18"/>
      <c r="Y608" s="18"/>
      <c r="Z608" s="18"/>
    </row>
    <row r="609" spans="1:26" ht="16.5" customHeight="1" x14ac:dyDescent="0.35">
      <c r="A609" s="116">
        <v>37</v>
      </c>
      <c r="B609" s="238" t="s">
        <v>321</v>
      </c>
      <c r="C609" s="227" t="s">
        <v>276</v>
      </c>
      <c r="D609" s="218">
        <v>2</v>
      </c>
      <c r="E609" s="216">
        <v>2</v>
      </c>
      <c r="F609" s="218" t="s">
        <v>75</v>
      </c>
      <c r="G609" s="218" t="s">
        <v>49</v>
      </c>
      <c r="H609" s="74" t="s">
        <v>46</v>
      </c>
      <c r="I609" s="74" t="s">
        <v>56</v>
      </c>
      <c r="J609" s="74" t="s">
        <v>133</v>
      </c>
      <c r="K609" s="218" t="s">
        <v>38</v>
      </c>
      <c r="L609" s="66"/>
      <c r="M609" s="18"/>
      <c r="N609" s="18"/>
      <c r="O609" s="18"/>
      <c r="P609" s="293"/>
      <c r="Q609" s="295"/>
      <c r="R609" s="294"/>
      <c r="S609" s="18"/>
      <c r="T609" s="284"/>
      <c r="U609" s="284"/>
      <c r="V609" s="284"/>
      <c r="W609" s="18"/>
      <c r="X609" s="18"/>
      <c r="Y609" s="18"/>
      <c r="Z609" s="18"/>
    </row>
    <row r="610" spans="1:26" ht="16.5" customHeight="1" x14ac:dyDescent="0.35">
      <c r="A610" s="117"/>
      <c r="B610" s="230"/>
      <c r="C610" s="217"/>
      <c r="D610" s="217"/>
      <c r="E610" s="217"/>
      <c r="F610" s="217"/>
      <c r="G610" s="217"/>
      <c r="H610" s="74" t="s">
        <v>55</v>
      </c>
      <c r="I610" s="74" t="s">
        <v>52</v>
      </c>
      <c r="J610" s="74" t="s">
        <v>206</v>
      </c>
      <c r="K610" s="217"/>
      <c r="L610" s="66"/>
      <c r="M610" s="18"/>
      <c r="N610" s="18"/>
      <c r="O610" s="18"/>
      <c r="P610" s="284"/>
      <c r="Q610" s="284"/>
      <c r="R610" s="284"/>
      <c r="S610" s="18"/>
      <c r="T610" s="293"/>
      <c r="U610" s="295"/>
      <c r="V610" s="294"/>
      <c r="W610" s="18"/>
      <c r="X610" s="18"/>
      <c r="Y610" s="18"/>
      <c r="Z610" s="18"/>
    </row>
    <row r="611" spans="1:26" ht="16.5" customHeight="1" x14ac:dyDescent="0.35">
      <c r="A611" s="117"/>
      <c r="B611" s="230"/>
      <c r="C611" s="227" t="s">
        <v>187</v>
      </c>
      <c r="D611" s="218">
        <v>3</v>
      </c>
      <c r="E611" s="216">
        <v>1.5</v>
      </c>
      <c r="F611" s="218" t="s">
        <v>75</v>
      </c>
      <c r="G611" s="218" t="s">
        <v>97</v>
      </c>
      <c r="H611" s="74" t="s">
        <v>35</v>
      </c>
      <c r="I611" s="74" t="s">
        <v>36</v>
      </c>
      <c r="J611" s="74" t="s">
        <v>159</v>
      </c>
      <c r="K611" s="218" t="s">
        <v>54</v>
      </c>
      <c r="L611" s="66"/>
      <c r="M611" s="18"/>
      <c r="N611" s="18"/>
      <c r="O611" s="18"/>
      <c r="P611" s="293"/>
      <c r="Q611" s="295"/>
      <c r="R611" s="294"/>
      <c r="S611" s="18"/>
      <c r="T611" s="284"/>
      <c r="U611" s="284"/>
      <c r="V611" s="284"/>
      <c r="W611" s="18"/>
      <c r="X611" s="18"/>
      <c r="Y611" s="18"/>
      <c r="Z611" s="18"/>
    </row>
    <row r="612" spans="1:26" ht="16.5" customHeight="1" x14ac:dyDescent="0.35">
      <c r="A612" s="117"/>
      <c r="B612" s="219"/>
      <c r="C612" s="219"/>
      <c r="D612" s="219"/>
      <c r="E612" s="219"/>
      <c r="F612" s="219"/>
      <c r="G612" s="219"/>
      <c r="H612" s="84" t="s">
        <v>39</v>
      </c>
      <c r="I612" s="84" t="s">
        <v>36</v>
      </c>
      <c r="J612" s="84" t="s">
        <v>208</v>
      </c>
      <c r="K612" s="219"/>
      <c r="L612" s="66"/>
      <c r="M612" s="18"/>
      <c r="N612" s="18"/>
      <c r="O612" s="18"/>
      <c r="P612" s="284"/>
      <c r="Q612" s="284"/>
      <c r="R612" s="284"/>
      <c r="S612" s="18"/>
      <c r="T612" s="293"/>
      <c r="U612" s="295"/>
      <c r="V612" s="294"/>
      <c r="W612" s="18"/>
      <c r="X612" s="18"/>
      <c r="Y612" s="18"/>
      <c r="Z612" s="18"/>
    </row>
    <row r="613" spans="1:26" ht="16.5" customHeight="1" x14ac:dyDescent="0.35">
      <c r="A613" s="59"/>
      <c r="B613" s="104"/>
      <c r="C613" s="60"/>
      <c r="D613" s="61"/>
      <c r="E613" s="62"/>
      <c r="F613" s="61"/>
      <c r="G613" s="61"/>
      <c r="H613" s="61"/>
      <c r="I613" s="61"/>
      <c r="J613" s="61"/>
      <c r="K613" s="61"/>
      <c r="L613" s="66"/>
      <c r="M613" s="18"/>
      <c r="N613" s="18"/>
      <c r="O613" s="18"/>
      <c r="P613" s="7"/>
      <c r="Q613" s="7"/>
      <c r="R613" s="7"/>
      <c r="S613" s="18"/>
      <c r="T613" s="284"/>
      <c r="U613" s="284"/>
      <c r="V613" s="284"/>
      <c r="W613" s="18"/>
      <c r="X613" s="18"/>
      <c r="Y613" s="18"/>
      <c r="Z613" s="18"/>
    </row>
    <row r="614" spans="1:26" ht="16.5" customHeight="1" x14ac:dyDescent="0.35">
      <c r="A614" s="65"/>
      <c r="B614" s="105"/>
      <c r="C614" s="66"/>
      <c r="D614" s="67"/>
      <c r="E614" s="68"/>
      <c r="F614" s="67"/>
      <c r="G614" s="67"/>
      <c r="H614" s="67"/>
      <c r="I614" s="67"/>
      <c r="J614" s="67"/>
      <c r="K614" s="67"/>
      <c r="L614" s="66"/>
      <c r="M614" s="18"/>
      <c r="N614" s="18"/>
      <c r="O614" s="18"/>
      <c r="P614" s="7"/>
      <c r="Q614" s="7"/>
      <c r="R614" s="7"/>
      <c r="S614" s="18"/>
      <c r="T614" s="284"/>
      <c r="U614" s="284"/>
      <c r="V614" s="284"/>
      <c r="W614" s="18"/>
      <c r="X614" s="18"/>
      <c r="Y614" s="18"/>
      <c r="Z614" s="18"/>
    </row>
    <row r="615" spans="1:26" ht="16.5" customHeight="1" x14ac:dyDescent="0.35">
      <c r="A615" s="65"/>
      <c r="B615" s="105"/>
      <c r="C615" s="66"/>
      <c r="D615" s="67"/>
      <c r="E615" s="68"/>
      <c r="F615" s="67"/>
      <c r="G615" s="67"/>
      <c r="H615" s="67"/>
      <c r="I615" s="67"/>
      <c r="J615" s="67"/>
      <c r="K615" s="67"/>
      <c r="L615" s="66"/>
      <c r="M615" s="18"/>
      <c r="N615" s="18"/>
      <c r="O615" s="18"/>
      <c r="P615" s="7"/>
      <c r="Q615" s="7"/>
      <c r="R615" s="7"/>
      <c r="S615" s="18"/>
      <c r="T615" s="284"/>
      <c r="U615" s="284"/>
      <c r="V615" s="284"/>
      <c r="W615" s="18"/>
      <c r="X615" s="18"/>
      <c r="Y615" s="18"/>
      <c r="Z615" s="18"/>
    </row>
    <row r="616" spans="1:26" ht="16.5" customHeight="1" x14ac:dyDescent="0.35">
      <c r="A616" s="65"/>
      <c r="B616" s="105"/>
      <c r="C616" s="66"/>
      <c r="D616" s="67"/>
      <c r="E616" s="68"/>
      <c r="F616" s="67"/>
      <c r="G616" s="67"/>
      <c r="H616" s="67"/>
      <c r="I616" s="67"/>
      <c r="J616" s="67"/>
      <c r="K616" s="67"/>
      <c r="L616" s="66"/>
      <c r="M616" s="18"/>
      <c r="N616" s="18"/>
      <c r="O616" s="18"/>
      <c r="P616" s="7"/>
      <c r="Q616" s="7"/>
      <c r="R616" s="7"/>
      <c r="S616" s="18"/>
      <c r="T616" s="284"/>
      <c r="U616" s="284"/>
      <c r="V616" s="284"/>
      <c r="W616" s="18"/>
      <c r="X616" s="18"/>
      <c r="Y616" s="18"/>
      <c r="Z616" s="18"/>
    </row>
    <row r="617" spans="1:26" ht="16.5" customHeight="1" x14ac:dyDescent="0.35">
      <c r="A617" s="65"/>
      <c r="B617" s="105"/>
      <c r="C617" s="66"/>
      <c r="D617" s="67"/>
      <c r="E617" s="68"/>
      <c r="F617" s="67"/>
      <c r="G617" s="67"/>
      <c r="H617" s="67"/>
      <c r="I617" s="67"/>
      <c r="J617" s="67"/>
      <c r="K617" s="67"/>
      <c r="L617" s="66"/>
      <c r="M617" s="18"/>
      <c r="N617" s="18"/>
      <c r="O617" s="18"/>
      <c r="P617" s="7"/>
      <c r="Q617" s="7"/>
      <c r="R617" s="7"/>
      <c r="S617" s="18"/>
      <c r="T617" s="284"/>
      <c r="U617" s="284"/>
      <c r="V617" s="284"/>
      <c r="W617" s="18"/>
      <c r="X617" s="18"/>
      <c r="Y617" s="18"/>
      <c r="Z617" s="18"/>
    </row>
    <row r="618" spans="1:26" ht="16.5" customHeight="1" x14ac:dyDescent="0.35">
      <c r="A618" s="223" t="s">
        <v>7</v>
      </c>
      <c r="B618" s="223" t="s">
        <v>8</v>
      </c>
      <c r="C618" s="223" t="s">
        <v>9</v>
      </c>
      <c r="D618" s="220" t="s">
        <v>10</v>
      </c>
      <c r="E618" s="222"/>
      <c r="F618" s="223" t="s">
        <v>11</v>
      </c>
      <c r="G618" s="223" t="s">
        <v>12</v>
      </c>
      <c r="H618" s="226" t="s">
        <v>13</v>
      </c>
      <c r="I618" s="221"/>
      <c r="J618" s="221"/>
      <c r="K618" s="222"/>
      <c r="L618" s="66"/>
      <c r="M618" s="18"/>
      <c r="N618" s="18"/>
      <c r="O618" s="18"/>
      <c r="P618" s="7"/>
      <c r="Q618" s="7"/>
      <c r="R618" s="7"/>
      <c r="S618" s="18"/>
      <c r="T618" s="284"/>
      <c r="U618" s="284"/>
      <c r="V618" s="284"/>
      <c r="W618" s="18"/>
      <c r="X618" s="18"/>
      <c r="Y618" s="18"/>
      <c r="Z618" s="18"/>
    </row>
    <row r="619" spans="1:26" ht="16.5" customHeight="1" x14ac:dyDescent="0.35">
      <c r="A619" s="217"/>
      <c r="B619" s="217"/>
      <c r="C619" s="217"/>
      <c r="D619" s="70" t="s">
        <v>14</v>
      </c>
      <c r="E619" s="71" t="s">
        <v>15</v>
      </c>
      <c r="F619" s="217"/>
      <c r="G619" s="217"/>
      <c r="H619" s="70" t="s">
        <v>16</v>
      </c>
      <c r="I619" s="70" t="s">
        <v>17</v>
      </c>
      <c r="J619" s="70" t="s">
        <v>18</v>
      </c>
      <c r="K619" s="70" t="s">
        <v>19</v>
      </c>
      <c r="L619" s="66"/>
      <c r="M619" s="18"/>
      <c r="N619" s="18"/>
      <c r="O619" s="18"/>
      <c r="P619" s="7"/>
      <c r="Q619" s="7"/>
      <c r="R619" s="7"/>
      <c r="S619" s="18"/>
      <c r="T619" s="284"/>
      <c r="U619" s="284"/>
      <c r="V619" s="284"/>
      <c r="W619" s="18"/>
      <c r="X619" s="18"/>
      <c r="Y619" s="18"/>
      <c r="Z619" s="18"/>
    </row>
    <row r="620" spans="1:26" ht="16.5" customHeight="1" x14ac:dyDescent="0.35">
      <c r="A620" s="72" t="s">
        <v>20</v>
      </c>
      <c r="B620" s="73" t="s">
        <v>21</v>
      </c>
      <c r="C620" s="73" t="s">
        <v>22</v>
      </c>
      <c r="D620" s="70" t="s">
        <v>23</v>
      </c>
      <c r="E620" s="71" t="s">
        <v>24</v>
      </c>
      <c r="F620" s="70" t="s">
        <v>25</v>
      </c>
      <c r="G620" s="70" t="s">
        <v>26</v>
      </c>
      <c r="H620" s="70" t="s">
        <v>27</v>
      </c>
      <c r="I620" s="70" t="s">
        <v>28</v>
      </c>
      <c r="J620" s="70" t="s">
        <v>29</v>
      </c>
      <c r="K620" s="70" t="s">
        <v>30</v>
      </c>
      <c r="L620" s="66"/>
      <c r="M620" s="18"/>
      <c r="N620" s="18"/>
      <c r="O620" s="18"/>
      <c r="P620" s="7"/>
      <c r="Q620" s="7"/>
      <c r="R620" s="7"/>
      <c r="S620" s="18"/>
      <c r="T620" s="284"/>
      <c r="U620" s="284"/>
      <c r="V620" s="284"/>
      <c r="W620" s="18"/>
      <c r="X620" s="18"/>
      <c r="Y620" s="18"/>
      <c r="Z620" s="18"/>
    </row>
    <row r="621" spans="1:26" ht="16.5" customHeight="1" x14ac:dyDescent="0.35">
      <c r="A621" s="248">
        <v>37</v>
      </c>
      <c r="B621" s="238" t="s">
        <v>321</v>
      </c>
      <c r="C621" s="227" t="s">
        <v>50</v>
      </c>
      <c r="D621" s="218">
        <v>3</v>
      </c>
      <c r="E621" s="216">
        <v>1.5</v>
      </c>
      <c r="F621" s="218" t="s">
        <v>81</v>
      </c>
      <c r="G621" s="218" t="s">
        <v>34</v>
      </c>
      <c r="H621" s="74" t="s">
        <v>35</v>
      </c>
      <c r="I621" s="74" t="s">
        <v>219</v>
      </c>
      <c r="J621" s="74" t="s">
        <v>322</v>
      </c>
      <c r="K621" s="218" t="s">
        <v>38</v>
      </c>
      <c r="L621" s="66"/>
      <c r="M621" s="18"/>
      <c r="N621" s="18"/>
      <c r="O621" s="18"/>
      <c r="P621" s="293"/>
      <c r="Q621" s="295"/>
      <c r="R621" s="294"/>
      <c r="S621" s="18"/>
      <c r="T621" s="284"/>
      <c r="U621" s="284"/>
      <c r="V621" s="284"/>
      <c r="W621" s="18"/>
      <c r="X621" s="18"/>
      <c r="Y621" s="18"/>
      <c r="Z621" s="18"/>
    </row>
    <row r="622" spans="1:26" ht="16.5" customHeight="1" x14ac:dyDescent="0.35">
      <c r="A622" s="230"/>
      <c r="B622" s="230"/>
      <c r="C622" s="217"/>
      <c r="D622" s="217"/>
      <c r="E622" s="217"/>
      <c r="F622" s="217"/>
      <c r="G622" s="217"/>
      <c r="H622" s="74" t="s">
        <v>39</v>
      </c>
      <c r="I622" s="74" t="s">
        <v>84</v>
      </c>
      <c r="J622" s="74" t="s">
        <v>323</v>
      </c>
      <c r="K622" s="217"/>
      <c r="L622" s="66"/>
      <c r="M622" s="18"/>
      <c r="N622" s="18"/>
      <c r="O622" s="18"/>
      <c r="P622" s="284"/>
      <c r="Q622" s="284"/>
      <c r="R622" s="284"/>
      <c r="S622" s="18"/>
      <c r="T622" s="293"/>
      <c r="U622" s="295"/>
      <c r="V622" s="294"/>
      <c r="W622" s="18"/>
      <c r="X622" s="18"/>
      <c r="Y622" s="18"/>
      <c r="Z622" s="18"/>
    </row>
    <row r="623" spans="1:26" ht="16.5" customHeight="1" x14ac:dyDescent="0.35">
      <c r="A623" s="230"/>
      <c r="B623" s="230"/>
      <c r="C623" s="227" t="s">
        <v>50</v>
      </c>
      <c r="D623" s="218">
        <v>3</v>
      </c>
      <c r="E623" s="216">
        <v>1.5</v>
      </c>
      <c r="F623" s="218" t="s">
        <v>81</v>
      </c>
      <c r="G623" s="218" t="s">
        <v>45</v>
      </c>
      <c r="H623" s="74" t="s">
        <v>46</v>
      </c>
      <c r="I623" s="74" t="s">
        <v>219</v>
      </c>
      <c r="J623" s="74" t="s">
        <v>324</v>
      </c>
      <c r="K623" s="218" t="s">
        <v>38</v>
      </c>
      <c r="L623" s="66"/>
      <c r="M623" s="18"/>
      <c r="N623" s="18"/>
      <c r="O623" s="18"/>
      <c r="P623" s="293"/>
      <c r="Q623" s="295"/>
      <c r="R623" s="294"/>
      <c r="S623" s="18"/>
      <c r="T623" s="284"/>
      <c r="U623" s="284"/>
      <c r="V623" s="284"/>
      <c r="W623" s="18"/>
      <c r="X623" s="18"/>
      <c r="Y623" s="18"/>
      <c r="Z623" s="18"/>
    </row>
    <row r="624" spans="1:26" ht="16.5" customHeight="1" x14ac:dyDescent="0.35">
      <c r="A624" s="230"/>
      <c r="B624" s="230"/>
      <c r="C624" s="219"/>
      <c r="D624" s="219"/>
      <c r="E624" s="219"/>
      <c r="F624" s="219"/>
      <c r="G624" s="219"/>
      <c r="H624" s="84" t="s">
        <v>48</v>
      </c>
      <c r="I624" s="84" t="s">
        <v>84</v>
      </c>
      <c r="J624" s="84" t="s">
        <v>323</v>
      </c>
      <c r="K624" s="219"/>
      <c r="L624" s="66"/>
      <c r="M624" s="18"/>
      <c r="N624" s="18"/>
      <c r="O624" s="18"/>
      <c r="P624" s="284"/>
      <c r="Q624" s="284"/>
      <c r="R624" s="284"/>
      <c r="S624" s="18"/>
      <c r="T624" s="293"/>
      <c r="U624" s="295"/>
      <c r="V624" s="294"/>
      <c r="W624" s="18"/>
      <c r="X624" s="18"/>
      <c r="Y624" s="18"/>
      <c r="Z624" s="18"/>
    </row>
    <row r="625" spans="1:26" ht="16.5" customHeight="1" x14ac:dyDescent="0.35">
      <c r="A625" s="230"/>
      <c r="B625" s="230"/>
      <c r="C625" s="227" t="s">
        <v>50</v>
      </c>
      <c r="D625" s="218">
        <v>3</v>
      </c>
      <c r="E625" s="216">
        <v>1.5</v>
      </c>
      <c r="F625" s="218" t="s">
        <v>81</v>
      </c>
      <c r="G625" s="218" t="s">
        <v>289</v>
      </c>
      <c r="H625" s="74" t="s">
        <v>35</v>
      </c>
      <c r="I625" s="74" t="s">
        <v>56</v>
      </c>
      <c r="J625" s="74" t="s">
        <v>85</v>
      </c>
      <c r="K625" s="218" t="s">
        <v>38</v>
      </c>
      <c r="L625" s="66"/>
      <c r="M625" s="18"/>
      <c r="N625" s="18"/>
      <c r="O625" s="18"/>
      <c r="P625" s="293"/>
      <c r="Q625" s="295"/>
      <c r="R625" s="294"/>
      <c r="S625" s="18"/>
      <c r="T625" s="284"/>
      <c r="U625" s="284"/>
      <c r="V625" s="284"/>
      <c r="W625" s="18"/>
      <c r="X625" s="18"/>
      <c r="Y625" s="18"/>
      <c r="Z625" s="18"/>
    </row>
    <row r="626" spans="1:26" ht="16.5" customHeight="1" x14ac:dyDescent="0.35">
      <c r="A626" s="230"/>
      <c r="B626" s="230"/>
      <c r="C626" s="217"/>
      <c r="D626" s="217"/>
      <c r="E626" s="217"/>
      <c r="F626" s="217"/>
      <c r="G626" s="217"/>
      <c r="H626" s="74" t="s">
        <v>39</v>
      </c>
      <c r="I626" s="74" t="s">
        <v>59</v>
      </c>
      <c r="J626" s="74" t="s">
        <v>324</v>
      </c>
      <c r="K626" s="217"/>
      <c r="L626" s="66"/>
      <c r="M626" s="18"/>
      <c r="N626" s="18"/>
      <c r="O626" s="18"/>
      <c r="P626" s="284"/>
      <c r="Q626" s="284"/>
      <c r="R626" s="284"/>
      <c r="S626" s="18"/>
      <c r="T626" s="293"/>
      <c r="U626" s="295"/>
      <c r="V626" s="294"/>
      <c r="W626" s="18"/>
      <c r="X626" s="18"/>
      <c r="Y626" s="18"/>
      <c r="Z626" s="18"/>
    </row>
    <row r="627" spans="1:26" ht="16.5" customHeight="1" x14ac:dyDescent="0.35">
      <c r="A627" s="230"/>
      <c r="B627" s="230"/>
      <c r="C627" s="227" t="s">
        <v>58</v>
      </c>
      <c r="D627" s="218">
        <v>3</v>
      </c>
      <c r="E627" s="216">
        <v>1.5</v>
      </c>
      <c r="F627" s="218" t="s">
        <v>325</v>
      </c>
      <c r="G627" s="218" t="s">
        <v>34</v>
      </c>
      <c r="H627" s="74" t="s">
        <v>35</v>
      </c>
      <c r="I627" s="84" t="s">
        <v>84</v>
      </c>
      <c r="J627" s="74" t="s">
        <v>60</v>
      </c>
      <c r="K627" s="218" t="s">
        <v>38</v>
      </c>
      <c r="L627" s="66"/>
      <c r="M627" s="18"/>
      <c r="N627" s="18"/>
      <c r="O627" s="18"/>
      <c r="P627" s="293"/>
      <c r="Q627" s="295"/>
      <c r="R627" s="294"/>
      <c r="S627" s="18"/>
      <c r="T627" s="284"/>
      <c r="U627" s="284"/>
      <c r="V627" s="284"/>
      <c r="W627" s="18"/>
      <c r="X627" s="18"/>
      <c r="Y627" s="18"/>
      <c r="Z627" s="18"/>
    </row>
    <row r="628" spans="1:26" ht="16.5" customHeight="1" x14ac:dyDescent="0.35">
      <c r="A628" s="230"/>
      <c r="B628" s="230"/>
      <c r="C628" s="217"/>
      <c r="D628" s="217"/>
      <c r="E628" s="217"/>
      <c r="F628" s="217"/>
      <c r="G628" s="217"/>
      <c r="H628" s="74" t="s">
        <v>46</v>
      </c>
      <c r="I628" s="74" t="s">
        <v>219</v>
      </c>
      <c r="J628" s="74" t="s">
        <v>60</v>
      </c>
      <c r="K628" s="217"/>
      <c r="L628" s="66"/>
      <c r="M628" s="18"/>
      <c r="N628" s="18"/>
      <c r="O628" s="18"/>
      <c r="P628" s="284"/>
      <c r="Q628" s="284"/>
      <c r="R628" s="284"/>
      <c r="S628" s="18"/>
      <c r="T628" s="293"/>
      <c r="U628" s="295"/>
      <c r="V628" s="294"/>
      <c r="W628" s="18"/>
      <c r="X628" s="18"/>
      <c r="Y628" s="18"/>
      <c r="Z628" s="18"/>
    </row>
    <row r="629" spans="1:26" ht="16.5" customHeight="1" x14ac:dyDescent="0.35">
      <c r="A629" s="230"/>
      <c r="B629" s="230"/>
      <c r="C629" s="227" t="s">
        <v>50</v>
      </c>
      <c r="D629" s="218">
        <v>3</v>
      </c>
      <c r="E629" s="216">
        <v>1.5</v>
      </c>
      <c r="F629" s="218" t="s">
        <v>326</v>
      </c>
      <c r="G629" s="218" t="s">
        <v>34</v>
      </c>
      <c r="H629" s="74" t="s">
        <v>39</v>
      </c>
      <c r="I629" s="74" t="s">
        <v>36</v>
      </c>
      <c r="J629" s="74" t="s">
        <v>327</v>
      </c>
      <c r="K629" s="218" t="s">
        <v>54</v>
      </c>
      <c r="L629" s="66"/>
      <c r="M629" s="18"/>
      <c r="N629" s="18"/>
      <c r="O629" s="18"/>
      <c r="P629" s="293"/>
      <c r="Q629" s="295"/>
      <c r="R629" s="294"/>
      <c r="S629" s="18"/>
      <c r="T629" s="284"/>
      <c r="U629" s="284"/>
      <c r="V629" s="284"/>
      <c r="W629" s="18"/>
      <c r="X629" s="18"/>
      <c r="Y629" s="18"/>
      <c r="Z629" s="18"/>
    </row>
    <row r="630" spans="1:26" ht="16.5" customHeight="1" x14ac:dyDescent="0.35">
      <c r="A630" s="230"/>
      <c r="B630" s="230"/>
      <c r="C630" s="217"/>
      <c r="D630" s="217"/>
      <c r="E630" s="217"/>
      <c r="F630" s="217"/>
      <c r="G630" s="217"/>
      <c r="H630" s="74" t="s">
        <v>119</v>
      </c>
      <c r="I630" s="74" t="s">
        <v>36</v>
      </c>
      <c r="J630" s="74" t="s">
        <v>328</v>
      </c>
      <c r="K630" s="217"/>
      <c r="L630" s="66"/>
      <c r="M630" s="18"/>
      <c r="N630" s="18"/>
      <c r="O630" s="18"/>
      <c r="P630" s="284"/>
      <c r="Q630" s="284"/>
      <c r="R630" s="284"/>
      <c r="S630" s="18"/>
      <c r="T630" s="293"/>
      <c r="U630" s="295"/>
      <c r="V630" s="294"/>
      <c r="W630" s="18"/>
      <c r="X630" s="18"/>
      <c r="Y630" s="18"/>
      <c r="Z630" s="18"/>
    </row>
    <row r="631" spans="1:26" ht="16.5" customHeight="1" x14ac:dyDescent="0.35">
      <c r="A631" s="230"/>
      <c r="B631" s="230"/>
      <c r="C631" s="227" t="s">
        <v>58</v>
      </c>
      <c r="D631" s="218">
        <v>3</v>
      </c>
      <c r="E631" s="216">
        <v>1.5</v>
      </c>
      <c r="F631" s="218" t="s">
        <v>326</v>
      </c>
      <c r="G631" s="218" t="s">
        <v>42</v>
      </c>
      <c r="H631" s="74" t="s">
        <v>39</v>
      </c>
      <c r="I631" s="74" t="s">
        <v>61</v>
      </c>
      <c r="J631" s="74" t="s">
        <v>60</v>
      </c>
      <c r="K631" s="218" t="s">
        <v>54</v>
      </c>
      <c r="L631" s="66"/>
      <c r="M631" s="18"/>
      <c r="N631" s="18"/>
      <c r="O631" s="18"/>
      <c r="P631" s="293"/>
      <c r="Q631" s="295"/>
      <c r="R631" s="294"/>
      <c r="S631" s="18"/>
      <c r="T631" s="284"/>
      <c r="U631" s="284"/>
      <c r="V631" s="284"/>
      <c r="W631" s="18"/>
      <c r="X631" s="18"/>
      <c r="Y631" s="18"/>
      <c r="Z631" s="18"/>
    </row>
    <row r="632" spans="1:26" ht="16.5" customHeight="1" x14ac:dyDescent="0.35">
      <c r="A632" s="230"/>
      <c r="B632" s="230"/>
      <c r="C632" s="217"/>
      <c r="D632" s="217"/>
      <c r="E632" s="217"/>
      <c r="F632" s="217"/>
      <c r="G632" s="217"/>
      <c r="H632" s="74" t="s">
        <v>119</v>
      </c>
      <c r="I632" s="74" t="s">
        <v>61</v>
      </c>
      <c r="J632" s="74" t="s">
        <v>60</v>
      </c>
      <c r="K632" s="217"/>
      <c r="L632" s="66"/>
      <c r="M632" s="18"/>
      <c r="N632" s="18"/>
      <c r="O632" s="18"/>
      <c r="P632" s="284"/>
      <c r="Q632" s="284"/>
      <c r="R632" s="284"/>
      <c r="S632" s="18"/>
      <c r="T632" s="18"/>
      <c r="U632" s="18"/>
      <c r="V632" s="18"/>
      <c r="W632" s="18"/>
      <c r="X632" s="18"/>
      <c r="Y632" s="18"/>
      <c r="Z632" s="18"/>
    </row>
    <row r="633" spans="1:26" ht="16.5" customHeight="1" x14ac:dyDescent="0.35">
      <c r="A633" s="230"/>
      <c r="B633" s="230"/>
      <c r="C633" s="227" t="s">
        <v>58</v>
      </c>
      <c r="D633" s="218">
        <v>3</v>
      </c>
      <c r="E633" s="216">
        <v>1.5</v>
      </c>
      <c r="F633" s="218" t="s">
        <v>260</v>
      </c>
      <c r="G633" s="218" t="s">
        <v>272</v>
      </c>
      <c r="H633" s="74" t="s">
        <v>46</v>
      </c>
      <c r="I633" s="74" t="s">
        <v>61</v>
      </c>
      <c r="J633" s="74" t="s">
        <v>291</v>
      </c>
      <c r="K633" s="218" t="s">
        <v>54</v>
      </c>
      <c r="L633" s="66"/>
      <c r="M633" s="18"/>
      <c r="N633" s="18"/>
      <c r="O633" s="18"/>
      <c r="P633" s="293"/>
      <c r="Q633" s="295"/>
      <c r="R633" s="294"/>
      <c r="S633" s="18"/>
      <c r="T633" s="293"/>
      <c r="U633" s="295"/>
      <c r="V633" s="294"/>
      <c r="W633" s="18"/>
      <c r="X633" s="18"/>
      <c r="Y633" s="18"/>
      <c r="Z633" s="18"/>
    </row>
    <row r="634" spans="1:26" ht="16.5" customHeight="1" x14ac:dyDescent="0.35">
      <c r="A634" s="230"/>
      <c r="B634" s="217"/>
      <c r="C634" s="217"/>
      <c r="D634" s="217"/>
      <c r="E634" s="217"/>
      <c r="F634" s="217"/>
      <c r="G634" s="217"/>
      <c r="H634" s="74" t="s">
        <v>293</v>
      </c>
      <c r="I634" s="74" t="s">
        <v>61</v>
      </c>
      <c r="J634" s="74" t="s">
        <v>329</v>
      </c>
      <c r="K634" s="217"/>
      <c r="L634" s="66"/>
      <c r="M634" s="18"/>
      <c r="N634" s="18"/>
      <c r="O634" s="18"/>
      <c r="P634" s="284"/>
      <c r="Q634" s="284"/>
      <c r="R634" s="284"/>
      <c r="S634" s="18"/>
      <c r="T634" s="284"/>
      <c r="U634" s="284"/>
      <c r="V634" s="284"/>
      <c r="W634" s="18"/>
      <c r="X634" s="18"/>
      <c r="Y634" s="18"/>
      <c r="Z634" s="18"/>
    </row>
    <row r="635" spans="1:26" ht="16.5" customHeight="1" x14ac:dyDescent="0.35">
      <c r="A635" s="217"/>
      <c r="B635" s="228" t="s">
        <v>72</v>
      </c>
      <c r="C635" s="221"/>
      <c r="D635" s="222"/>
      <c r="E635" s="71">
        <f>SUM(E609:E634)</f>
        <v>14</v>
      </c>
      <c r="F635" s="220"/>
      <c r="G635" s="221"/>
      <c r="H635" s="221"/>
      <c r="I635" s="221"/>
      <c r="J635" s="221"/>
      <c r="K635" s="222"/>
      <c r="L635" s="66"/>
      <c r="M635" s="18"/>
      <c r="N635" s="18"/>
      <c r="O635" s="18"/>
      <c r="P635" s="18"/>
      <c r="Q635" s="18"/>
      <c r="R635" s="18"/>
      <c r="S635" s="18"/>
      <c r="T635" s="293"/>
      <c r="U635" s="295"/>
      <c r="V635" s="294"/>
      <c r="W635" s="18"/>
      <c r="X635" s="18"/>
      <c r="Y635" s="18"/>
      <c r="Z635" s="18"/>
    </row>
    <row r="636" spans="1:26" ht="16.5" customHeight="1" x14ac:dyDescent="0.35">
      <c r="A636" s="229">
        <v>38</v>
      </c>
      <c r="B636" s="238" t="s">
        <v>330</v>
      </c>
      <c r="C636" s="227" t="s">
        <v>185</v>
      </c>
      <c r="D636" s="218">
        <v>3</v>
      </c>
      <c r="E636" s="216">
        <v>3</v>
      </c>
      <c r="F636" s="218" t="s">
        <v>75</v>
      </c>
      <c r="G636" s="218" t="s">
        <v>64</v>
      </c>
      <c r="H636" s="74" t="s">
        <v>46</v>
      </c>
      <c r="I636" s="74" t="s">
        <v>66</v>
      </c>
      <c r="J636" s="74" t="s">
        <v>208</v>
      </c>
      <c r="K636" s="218" t="s">
        <v>54</v>
      </c>
      <c r="L636" s="66"/>
      <c r="M636" s="18"/>
      <c r="N636" s="18"/>
      <c r="O636" s="18"/>
      <c r="P636" s="293"/>
      <c r="Q636" s="295"/>
      <c r="R636" s="294"/>
      <c r="S636" s="18"/>
      <c r="T636" s="284"/>
      <c r="U636" s="284"/>
      <c r="V636" s="284"/>
      <c r="W636" s="18"/>
      <c r="X636" s="18"/>
      <c r="Y636" s="18"/>
      <c r="Z636" s="18"/>
    </row>
    <row r="637" spans="1:26" ht="16.5" customHeight="1" x14ac:dyDescent="0.35">
      <c r="A637" s="230"/>
      <c r="B637" s="230"/>
      <c r="C637" s="217"/>
      <c r="D637" s="217"/>
      <c r="E637" s="217"/>
      <c r="F637" s="217"/>
      <c r="G637" s="217"/>
      <c r="H637" s="74" t="s">
        <v>55</v>
      </c>
      <c r="I637" s="74" t="s">
        <v>66</v>
      </c>
      <c r="J637" s="74" t="s">
        <v>208</v>
      </c>
      <c r="K637" s="217"/>
      <c r="L637" s="66"/>
      <c r="M637" s="18"/>
      <c r="N637" s="18"/>
      <c r="O637" s="18"/>
      <c r="P637" s="284"/>
      <c r="Q637" s="284"/>
      <c r="R637" s="284"/>
      <c r="S637" s="18"/>
      <c r="T637" s="293"/>
      <c r="U637" s="295"/>
      <c r="V637" s="294"/>
      <c r="W637" s="18"/>
      <c r="X637" s="18"/>
      <c r="Y637" s="18"/>
      <c r="Z637" s="18"/>
    </row>
    <row r="638" spans="1:26" ht="16.5" customHeight="1" x14ac:dyDescent="0.35">
      <c r="A638" s="230"/>
      <c r="B638" s="230"/>
      <c r="C638" s="227" t="s">
        <v>185</v>
      </c>
      <c r="D638" s="218">
        <v>3</v>
      </c>
      <c r="E638" s="216">
        <v>3</v>
      </c>
      <c r="F638" s="218" t="s">
        <v>75</v>
      </c>
      <c r="G638" s="218" t="s">
        <v>103</v>
      </c>
      <c r="H638" s="74" t="s">
        <v>46</v>
      </c>
      <c r="I638" s="74" t="s">
        <v>108</v>
      </c>
      <c r="J638" s="74" t="s">
        <v>150</v>
      </c>
      <c r="K638" s="218" t="s">
        <v>54</v>
      </c>
      <c r="L638" s="66"/>
      <c r="M638" s="18"/>
      <c r="N638" s="18"/>
      <c r="O638" s="18"/>
      <c r="P638" s="293"/>
      <c r="Q638" s="295"/>
      <c r="R638" s="294"/>
      <c r="S638" s="18"/>
      <c r="T638" s="284"/>
      <c r="U638" s="284"/>
      <c r="V638" s="284"/>
      <c r="W638" s="18"/>
      <c r="X638" s="18"/>
      <c r="Y638" s="18"/>
      <c r="Z638" s="18"/>
    </row>
    <row r="639" spans="1:26" ht="16.5" customHeight="1" x14ac:dyDescent="0.35">
      <c r="A639" s="230"/>
      <c r="B639" s="230"/>
      <c r="C639" s="217"/>
      <c r="D639" s="217"/>
      <c r="E639" s="217"/>
      <c r="F639" s="217"/>
      <c r="G639" s="217"/>
      <c r="H639" s="74" t="s">
        <v>55</v>
      </c>
      <c r="I639" s="74" t="s">
        <v>44</v>
      </c>
      <c r="J639" s="74" t="s">
        <v>331</v>
      </c>
      <c r="K639" s="217"/>
      <c r="L639" s="66"/>
      <c r="M639" s="18"/>
      <c r="N639" s="18"/>
      <c r="O639" s="18"/>
      <c r="P639" s="284"/>
      <c r="Q639" s="284"/>
      <c r="R639" s="284"/>
      <c r="S639" s="18"/>
      <c r="T639" s="293"/>
      <c r="U639" s="295"/>
      <c r="V639" s="294"/>
      <c r="W639" s="18"/>
      <c r="X639" s="18"/>
      <c r="Y639" s="18"/>
      <c r="Z639" s="18"/>
    </row>
    <row r="640" spans="1:26" ht="16.5" customHeight="1" x14ac:dyDescent="0.35">
      <c r="A640" s="230"/>
      <c r="B640" s="230"/>
      <c r="C640" s="227" t="s">
        <v>74</v>
      </c>
      <c r="D640" s="218">
        <v>3</v>
      </c>
      <c r="E640" s="216">
        <v>3</v>
      </c>
      <c r="F640" s="218" t="s">
        <v>75</v>
      </c>
      <c r="G640" s="218" t="s">
        <v>97</v>
      </c>
      <c r="H640" s="74" t="s">
        <v>46</v>
      </c>
      <c r="I640" s="74" t="s">
        <v>36</v>
      </c>
      <c r="J640" s="74" t="s">
        <v>114</v>
      </c>
      <c r="K640" s="218" t="s">
        <v>38</v>
      </c>
      <c r="L640" s="66"/>
      <c r="M640" s="17"/>
      <c r="N640" s="17"/>
      <c r="O640" s="17"/>
      <c r="P640" s="293"/>
      <c r="Q640" s="295"/>
      <c r="R640" s="294"/>
      <c r="S640" s="18"/>
      <c r="T640" s="284"/>
      <c r="U640" s="284"/>
      <c r="V640" s="284"/>
      <c r="W640" s="18"/>
      <c r="X640" s="18"/>
      <c r="Y640" s="18"/>
      <c r="Z640" s="18"/>
    </row>
    <row r="641" spans="1:26" ht="16.5" customHeight="1" x14ac:dyDescent="0.35">
      <c r="A641" s="230"/>
      <c r="B641" s="230"/>
      <c r="C641" s="217"/>
      <c r="D641" s="217"/>
      <c r="E641" s="217"/>
      <c r="F641" s="217"/>
      <c r="G641" s="217"/>
      <c r="H641" s="74" t="s">
        <v>55</v>
      </c>
      <c r="I641" s="74" t="s">
        <v>66</v>
      </c>
      <c r="J641" s="74" t="s">
        <v>197</v>
      </c>
      <c r="K641" s="217"/>
      <c r="L641" s="66"/>
      <c r="M641" s="17"/>
      <c r="N641" s="17"/>
      <c r="O641" s="17"/>
      <c r="P641" s="284"/>
      <c r="Q641" s="284"/>
      <c r="R641" s="284"/>
      <c r="S641" s="18"/>
      <c r="T641" s="293"/>
      <c r="U641" s="295"/>
      <c r="V641" s="294"/>
      <c r="W641" s="18"/>
      <c r="X641" s="18"/>
      <c r="Y641" s="18"/>
      <c r="Z641" s="18"/>
    </row>
    <row r="642" spans="1:26" ht="16.5" customHeight="1" x14ac:dyDescent="0.35">
      <c r="A642" s="230"/>
      <c r="B642" s="230"/>
      <c r="C642" s="227" t="s">
        <v>161</v>
      </c>
      <c r="D642" s="218">
        <v>2</v>
      </c>
      <c r="E642" s="216">
        <v>2</v>
      </c>
      <c r="F642" s="218" t="s">
        <v>75</v>
      </c>
      <c r="G642" s="218" t="s">
        <v>332</v>
      </c>
      <c r="H642" s="74" t="s">
        <v>46</v>
      </c>
      <c r="I642" s="74" t="s">
        <v>52</v>
      </c>
      <c r="J642" s="74" t="s">
        <v>190</v>
      </c>
      <c r="K642" s="218" t="s">
        <v>38</v>
      </c>
      <c r="L642" s="66"/>
      <c r="M642" s="18"/>
      <c r="N642" s="18"/>
      <c r="O642" s="18"/>
      <c r="P642" s="293"/>
      <c r="Q642" s="295"/>
      <c r="R642" s="294"/>
      <c r="S642" s="18"/>
      <c r="T642" s="284"/>
      <c r="U642" s="284"/>
      <c r="V642" s="284"/>
      <c r="W642" s="18"/>
      <c r="X642" s="18"/>
      <c r="Y642" s="18"/>
      <c r="Z642" s="18"/>
    </row>
    <row r="643" spans="1:26" ht="16.5" customHeight="1" x14ac:dyDescent="0.35">
      <c r="A643" s="230"/>
      <c r="B643" s="230"/>
      <c r="C643" s="217"/>
      <c r="D643" s="217"/>
      <c r="E643" s="217"/>
      <c r="F643" s="217"/>
      <c r="G643" s="217"/>
      <c r="H643" s="74" t="s">
        <v>48</v>
      </c>
      <c r="I643" s="74" t="s">
        <v>56</v>
      </c>
      <c r="J643" s="74" t="s">
        <v>190</v>
      </c>
      <c r="K643" s="217"/>
      <c r="L643" s="66"/>
      <c r="M643" s="18"/>
      <c r="N643" s="18"/>
      <c r="O643" s="18"/>
      <c r="P643" s="284"/>
      <c r="Q643" s="284"/>
      <c r="R643" s="284"/>
      <c r="S643" s="18"/>
      <c r="T643" s="293"/>
      <c r="U643" s="295"/>
      <c r="V643" s="294"/>
      <c r="W643" s="18"/>
      <c r="X643" s="18"/>
      <c r="Y643" s="18"/>
      <c r="Z643" s="18"/>
    </row>
    <row r="644" spans="1:26" ht="16.5" customHeight="1" x14ac:dyDescent="0.35">
      <c r="A644" s="230"/>
      <c r="B644" s="230"/>
      <c r="C644" s="227" t="s">
        <v>278</v>
      </c>
      <c r="D644" s="218">
        <v>2</v>
      </c>
      <c r="E644" s="216">
        <v>1</v>
      </c>
      <c r="F644" s="218" t="s">
        <v>63</v>
      </c>
      <c r="G644" s="218" t="s">
        <v>34</v>
      </c>
      <c r="H644" s="74" t="s">
        <v>35</v>
      </c>
      <c r="I644" s="74" t="s">
        <v>56</v>
      </c>
      <c r="J644" s="74" t="s">
        <v>155</v>
      </c>
      <c r="K644" s="218" t="s">
        <v>54</v>
      </c>
      <c r="L644" s="66"/>
      <c r="M644" s="18"/>
      <c r="N644" s="18"/>
      <c r="O644" s="18"/>
      <c r="P644" s="293"/>
      <c r="Q644" s="295"/>
      <c r="R644" s="294"/>
      <c r="S644" s="18"/>
      <c r="T644" s="284"/>
      <c r="U644" s="284"/>
      <c r="V644" s="284"/>
      <c r="W644" s="18"/>
      <c r="X644" s="18"/>
      <c r="Y644" s="18"/>
      <c r="Z644" s="18"/>
    </row>
    <row r="645" spans="1:26" ht="16.5" customHeight="1" x14ac:dyDescent="0.35">
      <c r="A645" s="230"/>
      <c r="B645" s="230"/>
      <c r="C645" s="217"/>
      <c r="D645" s="217"/>
      <c r="E645" s="217"/>
      <c r="F645" s="217"/>
      <c r="G645" s="217"/>
      <c r="H645" s="74" t="s">
        <v>46</v>
      </c>
      <c r="I645" s="74" t="s">
        <v>56</v>
      </c>
      <c r="J645" s="74" t="s">
        <v>155</v>
      </c>
      <c r="K645" s="217"/>
      <c r="L645" s="66"/>
      <c r="M645" s="18"/>
      <c r="N645" s="18"/>
      <c r="O645" s="18"/>
      <c r="P645" s="284"/>
      <c r="Q645" s="284"/>
      <c r="R645" s="284"/>
      <c r="S645" s="18"/>
      <c r="T645" s="18"/>
      <c r="U645" s="18"/>
      <c r="V645" s="18"/>
      <c r="W645" s="18"/>
      <c r="X645" s="18"/>
      <c r="Y645" s="18"/>
      <c r="Z645" s="18"/>
    </row>
    <row r="646" spans="1:26" ht="16.5" customHeight="1" x14ac:dyDescent="0.35">
      <c r="A646" s="230"/>
      <c r="B646" s="230"/>
      <c r="C646" s="227" t="s">
        <v>186</v>
      </c>
      <c r="D646" s="218">
        <v>3</v>
      </c>
      <c r="E646" s="216">
        <v>1</v>
      </c>
      <c r="F646" s="218" t="s">
        <v>63</v>
      </c>
      <c r="G646" s="218" t="s">
        <v>34</v>
      </c>
      <c r="H646" s="74" t="s">
        <v>35</v>
      </c>
      <c r="I646" s="84" t="s">
        <v>44</v>
      </c>
      <c r="J646" s="74" t="s">
        <v>155</v>
      </c>
      <c r="K646" s="218" t="s">
        <v>38</v>
      </c>
      <c r="L646" s="66"/>
      <c r="M646" s="18"/>
      <c r="N646" s="18"/>
      <c r="O646" s="18"/>
      <c r="P646" s="293"/>
      <c r="Q646" s="295"/>
      <c r="R646" s="294"/>
      <c r="S646" s="18"/>
      <c r="T646" s="293"/>
      <c r="U646" s="295"/>
      <c r="V646" s="294"/>
      <c r="W646" s="18"/>
      <c r="X646" s="18"/>
      <c r="Y646" s="18"/>
      <c r="Z646" s="18"/>
    </row>
    <row r="647" spans="1:26" ht="16.5" customHeight="1" x14ac:dyDescent="0.35">
      <c r="A647" s="230"/>
      <c r="B647" s="230"/>
      <c r="C647" s="217"/>
      <c r="D647" s="217"/>
      <c r="E647" s="217"/>
      <c r="F647" s="217"/>
      <c r="G647" s="217"/>
      <c r="H647" s="74" t="s">
        <v>46</v>
      </c>
      <c r="I647" s="84" t="s">
        <v>44</v>
      </c>
      <c r="J647" s="74" t="s">
        <v>155</v>
      </c>
      <c r="K647" s="217"/>
      <c r="L647" s="66"/>
      <c r="M647" s="18"/>
      <c r="N647" s="18"/>
      <c r="O647" s="18"/>
      <c r="P647" s="284"/>
      <c r="Q647" s="284"/>
      <c r="R647" s="284"/>
      <c r="S647" s="18"/>
      <c r="T647" s="284"/>
      <c r="U647" s="284"/>
      <c r="V647" s="284"/>
      <c r="W647" s="18"/>
      <c r="X647" s="18"/>
      <c r="Y647" s="18"/>
      <c r="Z647" s="18"/>
    </row>
    <row r="648" spans="1:26" ht="16.5" customHeight="1" x14ac:dyDescent="0.35">
      <c r="A648" s="230"/>
      <c r="B648" s="230"/>
      <c r="C648" s="227" t="s">
        <v>279</v>
      </c>
      <c r="D648" s="218">
        <v>3</v>
      </c>
      <c r="E648" s="216">
        <v>1.5</v>
      </c>
      <c r="F648" s="218" t="s">
        <v>68</v>
      </c>
      <c r="G648" s="218" t="s">
        <v>64</v>
      </c>
      <c r="H648" s="84" t="s">
        <v>46</v>
      </c>
      <c r="I648" s="76" t="s">
        <v>40</v>
      </c>
      <c r="J648" s="76" t="s">
        <v>149</v>
      </c>
      <c r="K648" s="218" t="s">
        <v>38</v>
      </c>
      <c r="L648" s="66"/>
      <c r="M648" s="18"/>
      <c r="N648" s="18"/>
      <c r="O648" s="18"/>
      <c r="P648" s="293"/>
      <c r="Q648" s="295"/>
      <c r="R648" s="294"/>
      <c r="S648" s="18"/>
      <c r="T648" s="293"/>
      <c r="U648" s="295"/>
      <c r="V648" s="294"/>
      <c r="W648" s="18"/>
      <c r="X648" s="18"/>
      <c r="Y648" s="18"/>
      <c r="Z648" s="18"/>
    </row>
    <row r="649" spans="1:26" ht="16.5" customHeight="1" x14ac:dyDescent="0.35">
      <c r="A649" s="230"/>
      <c r="B649" s="230"/>
      <c r="C649" s="217"/>
      <c r="D649" s="217"/>
      <c r="E649" s="217"/>
      <c r="F649" s="217"/>
      <c r="G649" s="217"/>
      <c r="H649" s="84" t="s">
        <v>48</v>
      </c>
      <c r="I649" s="76" t="s">
        <v>40</v>
      </c>
      <c r="J649" s="76" t="s">
        <v>149</v>
      </c>
      <c r="K649" s="217"/>
      <c r="L649" s="66"/>
      <c r="M649" s="18"/>
      <c r="N649" s="18"/>
      <c r="O649" s="18"/>
      <c r="P649" s="284"/>
      <c r="Q649" s="284"/>
      <c r="R649" s="284"/>
      <c r="S649" s="18"/>
      <c r="T649" s="284"/>
      <c r="U649" s="284"/>
      <c r="V649" s="284"/>
      <c r="W649" s="18"/>
      <c r="X649" s="18"/>
      <c r="Y649" s="18"/>
      <c r="Z649" s="18"/>
    </row>
    <row r="650" spans="1:26" ht="16.5" customHeight="1" x14ac:dyDescent="0.35">
      <c r="A650" s="230"/>
      <c r="B650" s="230"/>
      <c r="C650" s="227" t="s">
        <v>233</v>
      </c>
      <c r="D650" s="218">
        <v>3</v>
      </c>
      <c r="E650" s="216">
        <v>1.5</v>
      </c>
      <c r="F650" s="218" t="s">
        <v>68</v>
      </c>
      <c r="G650" s="218" t="s">
        <v>64</v>
      </c>
      <c r="H650" s="84" t="s">
        <v>46</v>
      </c>
      <c r="I650" s="76" t="s">
        <v>44</v>
      </c>
      <c r="J650" s="74" t="s">
        <v>149</v>
      </c>
      <c r="K650" s="218" t="s">
        <v>38</v>
      </c>
      <c r="L650" s="66"/>
      <c r="M650" s="18"/>
      <c r="N650" s="18"/>
      <c r="O650" s="18"/>
      <c r="P650" s="293"/>
      <c r="Q650" s="295"/>
      <c r="R650" s="294"/>
      <c r="S650" s="18"/>
      <c r="T650" s="293"/>
      <c r="U650" s="295"/>
      <c r="V650" s="294"/>
      <c r="W650" s="18"/>
      <c r="X650" s="18"/>
      <c r="Y650" s="18"/>
      <c r="Z650" s="18"/>
    </row>
    <row r="651" spans="1:26" ht="16.5" customHeight="1" x14ac:dyDescent="0.35">
      <c r="A651" s="230"/>
      <c r="B651" s="230"/>
      <c r="C651" s="217"/>
      <c r="D651" s="217"/>
      <c r="E651" s="217"/>
      <c r="F651" s="217"/>
      <c r="G651" s="217"/>
      <c r="H651" s="84" t="s">
        <v>48</v>
      </c>
      <c r="I651" s="76" t="s">
        <v>44</v>
      </c>
      <c r="J651" s="76" t="s">
        <v>149</v>
      </c>
      <c r="K651" s="217"/>
      <c r="L651" s="66"/>
      <c r="M651" s="18"/>
      <c r="N651" s="18"/>
      <c r="O651" s="18"/>
      <c r="P651" s="284"/>
      <c r="Q651" s="284"/>
      <c r="R651" s="284"/>
      <c r="S651" s="18"/>
      <c r="T651" s="284"/>
      <c r="U651" s="284"/>
      <c r="V651" s="284"/>
      <c r="W651" s="18"/>
      <c r="X651" s="18"/>
      <c r="Y651" s="18"/>
      <c r="Z651" s="18"/>
    </row>
    <row r="652" spans="1:26" ht="16.5" customHeight="1" x14ac:dyDescent="0.35">
      <c r="A652" s="230"/>
      <c r="B652" s="230"/>
      <c r="C652" s="227" t="s">
        <v>240</v>
      </c>
      <c r="D652" s="218">
        <v>3</v>
      </c>
      <c r="E652" s="216">
        <v>1.5</v>
      </c>
      <c r="F652" s="218" t="s">
        <v>68</v>
      </c>
      <c r="G652" s="218" t="s">
        <v>34</v>
      </c>
      <c r="H652" s="74" t="s">
        <v>35</v>
      </c>
      <c r="I652" s="95" t="s">
        <v>40</v>
      </c>
      <c r="J652" s="95" t="s">
        <v>53</v>
      </c>
      <c r="K652" s="218" t="s">
        <v>54</v>
      </c>
      <c r="L652" s="66"/>
      <c r="M652" s="18"/>
      <c r="N652" s="18"/>
      <c r="O652" s="18"/>
      <c r="P652" s="293"/>
      <c r="Q652" s="295"/>
      <c r="R652" s="294"/>
      <c r="S652" s="18"/>
      <c r="T652" s="293"/>
      <c r="U652" s="295"/>
      <c r="V652" s="294"/>
      <c r="W652" s="18"/>
      <c r="X652" s="18"/>
      <c r="Y652" s="18"/>
      <c r="Z652" s="18"/>
    </row>
    <row r="653" spans="1:26" ht="16.5" customHeight="1" x14ac:dyDescent="0.35">
      <c r="A653" s="230"/>
      <c r="B653" s="230"/>
      <c r="C653" s="217"/>
      <c r="D653" s="217"/>
      <c r="E653" s="217"/>
      <c r="F653" s="217"/>
      <c r="G653" s="217"/>
      <c r="H653" s="84" t="s">
        <v>48</v>
      </c>
      <c r="I653" s="74" t="s">
        <v>40</v>
      </c>
      <c r="J653" s="74" t="s">
        <v>53</v>
      </c>
      <c r="K653" s="217"/>
      <c r="L653" s="66"/>
      <c r="M653" s="18"/>
      <c r="N653" s="18"/>
      <c r="O653" s="18"/>
      <c r="P653" s="284"/>
      <c r="Q653" s="284"/>
      <c r="R653" s="284"/>
      <c r="S653" s="18"/>
      <c r="T653" s="284"/>
      <c r="U653" s="284"/>
      <c r="V653" s="284"/>
      <c r="W653" s="18"/>
      <c r="X653" s="18"/>
      <c r="Y653" s="18"/>
      <c r="Z653" s="18"/>
    </row>
    <row r="654" spans="1:26" ht="16.5" customHeight="1" x14ac:dyDescent="0.35">
      <c r="A654" s="230"/>
      <c r="B654" s="217"/>
      <c r="C654" s="94" t="s">
        <v>191</v>
      </c>
      <c r="D654" s="74">
        <v>3</v>
      </c>
      <c r="E654" s="81">
        <v>3</v>
      </c>
      <c r="F654" s="74" t="s">
        <v>75</v>
      </c>
      <c r="G654" s="74" t="s">
        <v>333</v>
      </c>
      <c r="H654" s="74" t="s">
        <v>119</v>
      </c>
      <c r="I654" s="74" t="s">
        <v>82</v>
      </c>
      <c r="J654" s="74" t="s">
        <v>169</v>
      </c>
      <c r="K654" s="74" t="s">
        <v>93</v>
      </c>
      <c r="L654" s="66"/>
      <c r="M654" s="18"/>
      <c r="N654" s="18"/>
      <c r="O654" s="18"/>
      <c r="P654" s="18"/>
      <c r="Q654" s="18"/>
      <c r="R654" s="18"/>
      <c r="S654" s="18"/>
      <c r="T654" s="293"/>
      <c r="U654" s="295"/>
      <c r="V654" s="294"/>
      <c r="W654" s="18"/>
      <c r="X654" s="18"/>
      <c r="Y654" s="18"/>
      <c r="Z654" s="18"/>
    </row>
    <row r="655" spans="1:26" ht="16.5" customHeight="1" x14ac:dyDescent="0.35">
      <c r="A655" s="217"/>
      <c r="B655" s="228" t="s">
        <v>72</v>
      </c>
      <c r="C655" s="221"/>
      <c r="D655" s="222"/>
      <c r="E655" s="71">
        <f>SUM(E636:E653)</f>
        <v>17.5</v>
      </c>
      <c r="F655" s="220"/>
      <c r="G655" s="221"/>
      <c r="H655" s="221"/>
      <c r="I655" s="221"/>
      <c r="J655" s="221"/>
      <c r="K655" s="222"/>
      <c r="L655" s="66"/>
      <c r="M655" s="18"/>
      <c r="N655" s="18"/>
      <c r="O655" s="18"/>
      <c r="P655" s="18"/>
      <c r="Q655" s="18"/>
      <c r="R655" s="18"/>
      <c r="S655" s="18"/>
      <c r="T655" s="284"/>
      <c r="U655" s="284"/>
      <c r="V655" s="284"/>
      <c r="W655" s="18"/>
      <c r="X655" s="18"/>
      <c r="Y655" s="18"/>
      <c r="Z655" s="18"/>
    </row>
    <row r="656" spans="1:26" ht="16.5" customHeight="1" x14ac:dyDescent="0.35">
      <c r="A656" s="248">
        <v>39</v>
      </c>
      <c r="B656" s="229" t="s">
        <v>334</v>
      </c>
      <c r="C656" s="227" t="s">
        <v>335</v>
      </c>
      <c r="D656" s="218">
        <v>2</v>
      </c>
      <c r="E656" s="216">
        <v>2</v>
      </c>
      <c r="F656" s="218" t="s">
        <v>75</v>
      </c>
      <c r="G656" s="218" t="s">
        <v>104</v>
      </c>
      <c r="H656" s="74" t="s">
        <v>35</v>
      </c>
      <c r="I656" s="74" t="s">
        <v>52</v>
      </c>
      <c r="J656" s="74" t="s">
        <v>160</v>
      </c>
      <c r="K656" s="218" t="s">
        <v>54</v>
      </c>
      <c r="L656" s="66"/>
      <c r="M656" s="18"/>
      <c r="N656" s="18"/>
      <c r="O656" s="18"/>
      <c r="P656" s="293"/>
      <c r="Q656" s="295"/>
      <c r="R656" s="294"/>
      <c r="S656" s="18"/>
      <c r="T656" s="293"/>
      <c r="U656" s="295"/>
      <c r="V656" s="294"/>
      <c r="W656" s="18"/>
      <c r="X656" s="18"/>
      <c r="Y656" s="18"/>
      <c r="Z656" s="18"/>
    </row>
    <row r="657" spans="1:26" ht="16.5" customHeight="1" x14ac:dyDescent="0.35">
      <c r="A657" s="230"/>
      <c r="B657" s="230"/>
      <c r="C657" s="217"/>
      <c r="D657" s="217"/>
      <c r="E657" s="217"/>
      <c r="F657" s="217"/>
      <c r="G657" s="217"/>
      <c r="H657" s="74" t="s">
        <v>55</v>
      </c>
      <c r="I657" s="74" t="s">
        <v>56</v>
      </c>
      <c r="J657" s="74" t="s">
        <v>150</v>
      </c>
      <c r="K657" s="217"/>
      <c r="L657" s="66" t="s">
        <v>102</v>
      </c>
      <c r="M657" s="18"/>
      <c r="N657" s="18"/>
      <c r="O657" s="18"/>
      <c r="P657" s="284"/>
      <c r="Q657" s="284"/>
      <c r="R657" s="284"/>
      <c r="S657" s="18"/>
      <c r="T657" s="284"/>
      <c r="U657" s="284"/>
      <c r="V657" s="284"/>
      <c r="W657" s="18"/>
      <c r="X657" s="18"/>
      <c r="Y657" s="18"/>
      <c r="Z657" s="18"/>
    </row>
    <row r="658" spans="1:26" ht="16.5" customHeight="1" x14ac:dyDescent="0.35">
      <c r="A658" s="230"/>
      <c r="B658" s="230"/>
      <c r="C658" s="227" t="s">
        <v>335</v>
      </c>
      <c r="D658" s="218">
        <v>2</v>
      </c>
      <c r="E658" s="216">
        <v>2</v>
      </c>
      <c r="F658" s="218" t="s">
        <v>75</v>
      </c>
      <c r="G658" s="218" t="s">
        <v>153</v>
      </c>
      <c r="H658" s="74" t="s">
        <v>35</v>
      </c>
      <c r="I658" s="74" t="s">
        <v>56</v>
      </c>
      <c r="J658" s="74" t="s">
        <v>132</v>
      </c>
      <c r="K658" s="218" t="s">
        <v>38</v>
      </c>
      <c r="L658" s="66"/>
      <c r="M658" s="22"/>
      <c r="N658" s="22"/>
      <c r="O658" s="22"/>
      <c r="P658" s="293"/>
      <c r="Q658" s="295"/>
      <c r="R658" s="294"/>
      <c r="S658" s="18"/>
      <c r="T658" s="293"/>
      <c r="U658" s="295"/>
      <c r="V658" s="294"/>
      <c r="W658" s="18"/>
      <c r="X658" s="18"/>
      <c r="Y658" s="18"/>
      <c r="Z658" s="18"/>
    </row>
    <row r="659" spans="1:26" ht="16.5" customHeight="1" x14ac:dyDescent="0.35">
      <c r="A659" s="230"/>
      <c r="B659" s="230"/>
      <c r="C659" s="217"/>
      <c r="D659" s="217"/>
      <c r="E659" s="217"/>
      <c r="F659" s="217"/>
      <c r="G659" s="217"/>
      <c r="H659" s="74" t="s">
        <v>55</v>
      </c>
      <c r="I659" s="74" t="s">
        <v>52</v>
      </c>
      <c r="J659" s="74" t="s">
        <v>174</v>
      </c>
      <c r="K659" s="217"/>
      <c r="L659" s="66"/>
      <c r="M659" s="22"/>
      <c r="N659" s="22"/>
      <c r="O659" s="22"/>
      <c r="P659" s="284"/>
      <c r="Q659" s="284"/>
      <c r="R659" s="284"/>
      <c r="S659" s="18"/>
      <c r="T659" s="284"/>
      <c r="U659" s="284"/>
      <c r="V659" s="284"/>
      <c r="W659" s="18"/>
      <c r="X659" s="18"/>
      <c r="Y659" s="18"/>
      <c r="Z659" s="18"/>
    </row>
    <row r="660" spans="1:26" ht="16.5" customHeight="1" x14ac:dyDescent="0.35">
      <c r="A660" s="230"/>
      <c r="B660" s="230"/>
      <c r="C660" s="227" t="s">
        <v>50</v>
      </c>
      <c r="D660" s="218">
        <v>3</v>
      </c>
      <c r="E660" s="216">
        <v>1.5</v>
      </c>
      <c r="F660" s="218" t="s">
        <v>325</v>
      </c>
      <c r="G660" s="218" t="s">
        <v>34</v>
      </c>
      <c r="H660" s="74" t="s">
        <v>35</v>
      </c>
      <c r="I660" s="74" t="s">
        <v>219</v>
      </c>
      <c r="J660" s="74" t="s">
        <v>88</v>
      </c>
      <c r="K660" s="218" t="s">
        <v>38</v>
      </c>
      <c r="L660" s="66"/>
      <c r="M660" s="18"/>
      <c r="N660" s="18"/>
      <c r="O660" s="18"/>
      <c r="P660" s="293"/>
      <c r="Q660" s="295"/>
      <c r="R660" s="294"/>
      <c r="S660" s="18"/>
      <c r="T660" s="293"/>
      <c r="U660" s="295"/>
      <c r="V660" s="294"/>
      <c r="W660" s="18"/>
      <c r="X660" s="18"/>
      <c r="Y660" s="18"/>
      <c r="Z660" s="18"/>
    </row>
    <row r="661" spans="1:26" ht="16.5" customHeight="1" x14ac:dyDescent="0.35">
      <c r="A661" s="230"/>
      <c r="B661" s="230"/>
      <c r="C661" s="217"/>
      <c r="D661" s="217"/>
      <c r="E661" s="217"/>
      <c r="F661" s="217"/>
      <c r="G661" s="217"/>
      <c r="H661" s="74" t="s">
        <v>46</v>
      </c>
      <c r="I661" s="74" t="s">
        <v>131</v>
      </c>
      <c r="J661" s="74" t="s">
        <v>336</v>
      </c>
      <c r="K661" s="217"/>
      <c r="L661" s="66"/>
      <c r="M661" s="18"/>
      <c r="N661" s="18"/>
      <c r="O661" s="18"/>
      <c r="P661" s="284"/>
      <c r="Q661" s="284"/>
      <c r="R661" s="284"/>
      <c r="S661" s="18"/>
      <c r="T661" s="284"/>
      <c r="U661" s="284"/>
      <c r="V661" s="284"/>
      <c r="W661" s="18"/>
      <c r="X661" s="18"/>
      <c r="Y661" s="18"/>
      <c r="Z661" s="18"/>
    </row>
    <row r="662" spans="1:26" ht="16.5" customHeight="1" x14ac:dyDescent="0.35">
      <c r="A662" s="230"/>
      <c r="B662" s="230"/>
      <c r="C662" s="227" t="s">
        <v>58</v>
      </c>
      <c r="D662" s="218">
        <v>3</v>
      </c>
      <c r="E662" s="216">
        <v>1.5</v>
      </c>
      <c r="F662" s="218" t="s">
        <v>337</v>
      </c>
      <c r="G662" s="218" t="s">
        <v>34</v>
      </c>
      <c r="H662" s="74" t="s">
        <v>39</v>
      </c>
      <c r="I662" s="74" t="s">
        <v>61</v>
      </c>
      <c r="J662" s="74" t="s">
        <v>60</v>
      </c>
      <c r="K662" s="218" t="s">
        <v>54</v>
      </c>
      <c r="L662" s="66"/>
      <c r="M662" s="18"/>
      <c r="N662" s="18"/>
      <c r="O662" s="18"/>
      <c r="P662" s="293"/>
      <c r="Q662" s="295"/>
      <c r="R662" s="294"/>
      <c r="S662" s="18"/>
      <c r="T662" s="293"/>
      <c r="U662" s="295"/>
      <c r="V662" s="294"/>
      <c r="W662" s="18"/>
      <c r="X662" s="18"/>
      <c r="Y662" s="18"/>
      <c r="Z662" s="18"/>
    </row>
    <row r="663" spans="1:26" ht="16.5" customHeight="1" x14ac:dyDescent="0.35">
      <c r="A663" s="230"/>
      <c r="B663" s="230"/>
      <c r="C663" s="217"/>
      <c r="D663" s="217"/>
      <c r="E663" s="217"/>
      <c r="F663" s="217"/>
      <c r="G663" s="217"/>
      <c r="H663" s="74" t="s">
        <v>119</v>
      </c>
      <c r="I663" s="74" t="s">
        <v>61</v>
      </c>
      <c r="J663" s="74" t="s">
        <v>60</v>
      </c>
      <c r="K663" s="217"/>
      <c r="L663" s="66"/>
      <c r="M663" s="18"/>
      <c r="N663" s="18"/>
      <c r="O663" s="18"/>
      <c r="P663" s="284"/>
      <c r="Q663" s="284"/>
      <c r="R663" s="284"/>
      <c r="S663" s="18"/>
      <c r="T663" s="284"/>
      <c r="U663" s="284"/>
      <c r="V663" s="284"/>
      <c r="W663" s="18"/>
      <c r="X663" s="18"/>
      <c r="Y663" s="18"/>
      <c r="Z663" s="18"/>
    </row>
    <row r="664" spans="1:26" ht="16.5" customHeight="1" x14ac:dyDescent="0.35">
      <c r="A664" s="230"/>
      <c r="B664" s="230"/>
      <c r="C664" s="227" t="s">
        <v>50</v>
      </c>
      <c r="D664" s="218">
        <v>3</v>
      </c>
      <c r="E664" s="216">
        <v>1.5</v>
      </c>
      <c r="F664" s="218" t="s">
        <v>337</v>
      </c>
      <c r="G664" s="218" t="s">
        <v>42</v>
      </c>
      <c r="H664" s="74" t="s">
        <v>39</v>
      </c>
      <c r="I664" s="74" t="s">
        <v>36</v>
      </c>
      <c r="J664" s="74" t="s">
        <v>328</v>
      </c>
      <c r="K664" s="218" t="s">
        <v>54</v>
      </c>
      <c r="L664" s="66"/>
      <c r="M664" s="18"/>
      <c r="N664" s="18"/>
      <c r="O664" s="18"/>
      <c r="P664" s="293"/>
      <c r="Q664" s="295"/>
      <c r="R664" s="294"/>
      <c r="S664" s="18"/>
      <c r="T664" s="293"/>
      <c r="U664" s="295"/>
      <c r="V664" s="294"/>
      <c r="W664" s="18"/>
      <c r="X664" s="18"/>
      <c r="Y664" s="18"/>
      <c r="Z664" s="18"/>
    </row>
    <row r="665" spans="1:26" ht="16.5" customHeight="1" x14ac:dyDescent="0.35">
      <c r="A665" s="230"/>
      <c r="B665" s="230"/>
      <c r="C665" s="217"/>
      <c r="D665" s="217"/>
      <c r="E665" s="217"/>
      <c r="F665" s="217"/>
      <c r="G665" s="217"/>
      <c r="H665" s="74" t="s">
        <v>55</v>
      </c>
      <c r="I665" s="74" t="s">
        <v>36</v>
      </c>
      <c r="J665" s="74" t="s">
        <v>338</v>
      </c>
      <c r="K665" s="217"/>
      <c r="L665" s="66"/>
      <c r="M665" s="18"/>
      <c r="N665" s="18"/>
      <c r="O665" s="18"/>
      <c r="P665" s="284"/>
      <c r="Q665" s="284"/>
      <c r="R665" s="284"/>
      <c r="S665" s="18"/>
      <c r="T665" s="284"/>
      <c r="U665" s="284"/>
      <c r="V665" s="284"/>
      <c r="W665" s="18"/>
      <c r="X665" s="18"/>
      <c r="Y665" s="18"/>
      <c r="Z665" s="18"/>
    </row>
    <row r="666" spans="1:26" ht="16.5" customHeight="1" x14ac:dyDescent="0.35">
      <c r="A666" s="230"/>
      <c r="B666" s="230"/>
      <c r="C666" s="227" t="s">
        <v>50</v>
      </c>
      <c r="D666" s="218">
        <v>3</v>
      </c>
      <c r="E666" s="216">
        <v>1.5</v>
      </c>
      <c r="F666" s="218" t="s">
        <v>339</v>
      </c>
      <c r="G666" s="218" t="s">
        <v>272</v>
      </c>
      <c r="H666" s="74" t="s">
        <v>35</v>
      </c>
      <c r="I666" s="74" t="s">
        <v>56</v>
      </c>
      <c r="J666" s="74" t="s">
        <v>291</v>
      </c>
      <c r="K666" s="218" t="s">
        <v>54</v>
      </c>
      <c r="L666" s="66" t="s">
        <v>102</v>
      </c>
      <c r="M666" s="18"/>
      <c r="N666" s="18"/>
      <c r="O666" s="18"/>
      <c r="P666" s="293"/>
      <c r="Q666" s="295"/>
      <c r="R666" s="294"/>
      <c r="S666" s="18"/>
      <c r="T666" s="293"/>
      <c r="U666" s="295"/>
      <c r="V666" s="294"/>
      <c r="W666" s="18"/>
      <c r="X666" s="18"/>
      <c r="Y666" s="18"/>
      <c r="Z666" s="18"/>
    </row>
    <row r="667" spans="1:26" ht="16.5" customHeight="1" x14ac:dyDescent="0.35">
      <c r="A667" s="230"/>
      <c r="B667" s="230"/>
      <c r="C667" s="217"/>
      <c r="D667" s="217"/>
      <c r="E667" s="217"/>
      <c r="F667" s="217"/>
      <c r="G667" s="217"/>
      <c r="H667" s="74" t="s">
        <v>39</v>
      </c>
      <c r="I667" s="74" t="s">
        <v>56</v>
      </c>
      <c r="J667" s="74" t="s">
        <v>329</v>
      </c>
      <c r="K667" s="217"/>
      <c r="L667" s="66"/>
      <c r="M667" s="18"/>
      <c r="N667" s="18"/>
      <c r="O667" s="18"/>
      <c r="P667" s="284"/>
      <c r="Q667" s="284"/>
      <c r="R667" s="284"/>
      <c r="S667" s="18"/>
      <c r="T667" s="284"/>
      <c r="U667" s="284"/>
      <c r="V667" s="284"/>
      <c r="W667" s="18"/>
      <c r="X667" s="18"/>
      <c r="Y667" s="18"/>
      <c r="Z667" s="18"/>
    </row>
    <row r="668" spans="1:26" ht="16.5" customHeight="1" x14ac:dyDescent="0.35">
      <c r="A668" s="230"/>
      <c r="B668" s="230"/>
      <c r="C668" s="227" t="s">
        <v>161</v>
      </c>
      <c r="D668" s="218">
        <v>2</v>
      </c>
      <c r="E668" s="216">
        <v>2</v>
      </c>
      <c r="F668" s="218" t="s">
        <v>75</v>
      </c>
      <c r="G668" s="218" t="s">
        <v>340</v>
      </c>
      <c r="H668" s="74" t="s">
        <v>46</v>
      </c>
      <c r="I668" s="74" t="s">
        <v>56</v>
      </c>
      <c r="J668" s="74" t="s">
        <v>190</v>
      </c>
      <c r="K668" s="218" t="s">
        <v>38</v>
      </c>
      <c r="L668" s="66"/>
      <c r="M668" s="18"/>
      <c r="N668" s="18"/>
      <c r="O668" s="18"/>
      <c r="P668" s="293"/>
      <c r="Q668" s="295"/>
      <c r="R668" s="294"/>
      <c r="S668" s="18"/>
      <c r="T668" s="293"/>
      <c r="U668" s="295"/>
      <c r="V668" s="294"/>
      <c r="W668" s="18"/>
      <c r="X668" s="18"/>
      <c r="Y668" s="18"/>
      <c r="Z668" s="18"/>
    </row>
    <row r="669" spans="1:26" ht="16.5" customHeight="1" x14ac:dyDescent="0.35">
      <c r="A669" s="230"/>
      <c r="B669" s="230"/>
      <c r="C669" s="217"/>
      <c r="D669" s="217"/>
      <c r="E669" s="217"/>
      <c r="F669" s="217"/>
      <c r="G669" s="217"/>
      <c r="H669" s="74" t="s">
        <v>48</v>
      </c>
      <c r="I669" s="74" t="s">
        <v>52</v>
      </c>
      <c r="J669" s="74" t="s">
        <v>190</v>
      </c>
      <c r="K669" s="217"/>
      <c r="L669" s="66"/>
      <c r="M669" s="18"/>
      <c r="N669" s="18"/>
      <c r="O669" s="18"/>
      <c r="P669" s="284"/>
      <c r="Q669" s="284"/>
      <c r="R669" s="284"/>
      <c r="S669" s="18"/>
      <c r="T669" s="284"/>
      <c r="U669" s="284"/>
      <c r="V669" s="284"/>
      <c r="W669" s="18"/>
      <c r="X669" s="18"/>
      <c r="Y669" s="18"/>
      <c r="Z669" s="18"/>
    </row>
    <row r="670" spans="1:26" ht="16.5" customHeight="1" x14ac:dyDescent="0.35">
      <c r="A670" s="230"/>
      <c r="B670" s="230"/>
      <c r="C670" s="231" t="s">
        <v>188</v>
      </c>
      <c r="D670" s="218">
        <v>2</v>
      </c>
      <c r="E670" s="216">
        <v>2</v>
      </c>
      <c r="F670" s="218" t="s">
        <v>33</v>
      </c>
      <c r="G670" s="218" t="s">
        <v>45</v>
      </c>
      <c r="H670" s="74" t="s">
        <v>46</v>
      </c>
      <c r="I670" s="74" t="s">
        <v>131</v>
      </c>
      <c r="J670" s="74" t="s">
        <v>43</v>
      </c>
      <c r="K670" s="218" t="s">
        <v>38</v>
      </c>
      <c r="L670" s="66" t="s">
        <v>102</v>
      </c>
      <c r="M670" s="18"/>
      <c r="N670" s="18"/>
      <c r="O670" s="18"/>
      <c r="P670" s="293"/>
      <c r="Q670" s="295"/>
      <c r="R670" s="294"/>
      <c r="S670" s="18"/>
      <c r="T670" s="18"/>
      <c r="U670" s="18"/>
      <c r="V670" s="18"/>
      <c r="W670" s="18"/>
      <c r="X670" s="18"/>
      <c r="Y670" s="18"/>
      <c r="Z670" s="18"/>
    </row>
    <row r="671" spans="1:26" ht="16.5" customHeight="1" x14ac:dyDescent="0.35">
      <c r="A671" s="230"/>
      <c r="B671" s="230"/>
      <c r="C671" s="217"/>
      <c r="D671" s="217"/>
      <c r="E671" s="217"/>
      <c r="F671" s="217"/>
      <c r="G671" s="217"/>
      <c r="H671" s="74" t="s">
        <v>48</v>
      </c>
      <c r="I671" s="74" t="s">
        <v>131</v>
      </c>
      <c r="J671" s="74" t="s">
        <v>43</v>
      </c>
      <c r="K671" s="217"/>
      <c r="L671" s="66"/>
      <c r="M671" s="18"/>
      <c r="N671" s="18"/>
      <c r="O671" s="18"/>
      <c r="P671" s="284"/>
      <c r="Q671" s="284"/>
      <c r="R671" s="284"/>
      <c r="S671" s="18"/>
      <c r="T671" s="293"/>
      <c r="U671" s="295"/>
      <c r="V671" s="294"/>
      <c r="W671" s="18"/>
      <c r="X671" s="18"/>
      <c r="Y671" s="18"/>
      <c r="Z671" s="18"/>
    </row>
    <row r="672" spans="1:26" ht="16.5" customHeight="1" x14ac:dyDescent="0.35">
      <c r="A672" s="230"/>
      <c r="B672" s="217"/>
      <c r="C672" s="94" t="s">
        <v>191</v>
      </c>
      <c r="D672" s="74">
        <v>3</v>
      </c>
      <c r="E672" s="81">
        <v>3</v>
      </c>
      <c r="F672" s="74" t="s">
        <v>75</v>
      </c>
      <c r="G672" s="74" t="s">
        <v>341</v>
      </c>
      <c r="H672" s="74" t="s">
        <v>119</v>
      </c>
      <c r="I672" s="74" t="s">
        <v>82</v>
      </c>
      <c r="J672" s="74" t="s">
        <v>155</v>
      </c>
      <c r="K672" s="74" t="s">
        <v>93</v>
      </c>
      <c r="L672" s="66"/>
      <c r="M672" s="18"/>
      <c r="N672" s="18"/>
      <c r="O672" s="18"/>
      <c r="P672" s="18"/>
      <c r="Q672" s="18"/>
      <c r="R672" s="18"/>
      <c r="S672" s="18"/>
      <c r="T672" s="284"/>
      <c r="U672" s="284"/>
      <c r="V672" s="284"/>
      <c r="W672" s="18"/>
      <c r="X672" s="18"/>
      <c r="Y672" s="18"/>
      <c r="Z672" s="18"/>
    </row>
    <row r="673" spans="1:26" ht="16.5" customHeight="1" x14ac:dyDescent="0.35">
      <c r="A673" s="217"/>
      <c r="B673" s="228" t="s">
        <v>72</v>
      </c>
      <c r="C673" s="221"/>
      <c r="D673" s="222"/>
      <c r="E673" s="100">
        <f>SUM(E656:E671)</f>
        <v>14</v>
      </c>
      <c r="F673" s="220"/>
      <c r="G673" s="221"/>
      <c r="H673" s="221"/>
      <c r="I673" s="221"/>
      <c r="J673" s="221"/>
      <c r="K673" s="222"/>
      <c r="L673" s="66"/>
      <c r="M673" s="18"/>
      <c r="N673" s="18"/>
      <c r="O673" s="18"/>
      <c r="P673" s="18"/>
      <c r="Q673" s="18"/>
      <c r="R673" s="18"/>
      <c r="S673" s="18"/>
      <c r="T673" s="293"/>
      <c r="U673" s="295"/>
      <c r="V673" s="294"/>
      <c r="W673" s="18"/>
      <c r="X673" s="18"/>
      <c r="Y673" s="18"/>
      <c r="Z673" s="18"/>
    </row>
    <row r="674" spans="1:26" ht="16.5" customHeight="1" x14ac:dyDescent="0.35">
      <c r="A674" s="248">
        <v>40</v>
      </c>
      <c r="B674" s="235" t="s">
        <v>342</v>
      </c>
      <c r="C674" s="227" t="s">
        <v>202</v>
      </c>
      <c r="D674" s="218">
        <v>3</v>
      </c>
      <c r="E674" s="216">
        <v>3</v>
      </c>
      <c r="F674" s="218" t="s">
        <v>33</v>
      </c>
      <c r="G674" s="218" t="s">
        <v>136</v>
      </c>
      <c r="H674" s="74" t="s">
        <v>46</v>
      </c>
      <c r="I674" s="74" t="s">
        <v>36</v>
      </c>
      <c r="J674" s="74" t="s">
        <v>96</v>
      </c>
      <c r="K674" s="218" t="s">
        <v>38</v>
      </c>
      <c r="L674" s="66"/>
      <c r="M674" s="18"/>
      <c r="N674" s="18"/>
      <c r="O674" s="18"/>
      <c r="P674" s="293"/>
      <c r="Q674" s="295"/>
      <c r="R674" s="294"/>
      <c r="S674" s="18"/>
      <c r="T674" s="284"/>
      <c r="U674" s="284"/>
      <c r="V674" s="284"/>
      <c r="W674" s="18"/>
      <c r="X674" s="18"/>
      <c r="Y674" s="18"/>
      <c r="Z674" s="18"/>
    </row>
    <row r="675" spans="1:26" ht="16.5" customHeight="1" x14ac:dyDescent="0.35">
      <c r="A675" s="230"/>
      <c r="B675" s="236"/>
      <c r="C675" s="217"/>
      <c r="D675" s="217"/>
      <c r="E675" s="217"/>
      <c r="F675" s="217"/>
      <c r="G675" s="217"/>
      <c r="H675" s="74" t="s">
        <v>48</v>
      </c>
      <c r="I675" s="74" t="s">
        <v>36</v>
      </c>
      <c r="J675" s="74" t="s">
        <v>98</v>
      </c>
      <c r="K675" s="217"/>
      <c r="L675" s="66"/>
      <c r="M675" s="18"/>
      <c r="N675" s="18"/>
      <c r="O675" s="18"/>
      <c r="P675" s="284"/>
      <c r="Q675" s="284"/>
      <c r="R675" s="284"/>
      <c r="S675" s="18"/>
      <c r="T675" s="293"/>
      <c r="U675" s="295"/>
      <c r="V675" s="294"/>
      <c r="W675" s="18"/>
      <c r="X675" s="18"/>
      <c r="Y675" s="18"/>
      <c r="Z675" s="18"/>
    </row>
    <row r="676" spans="1:26" ht="16.5" customHeight="1" x14ac:dyDescent="0.35">
      <c r="A676" s="230"/>
      <c r="B676" s="236"/>
      <c r="C676" s="227" t="s">
        <v>202</v>
      </c>
      <c r="D676" s="218">
        <v>3</v>
      </c>
      <c r="E676" s="216">
        <v>3</v>
      </c>
      <c r="F676" s="218" t="s">
        <v>33</v>
      </c>
      <c r="G676" s="218" t="s">
        <v>76</v>
      </c>
      <c r="H676" s="74" t="s">
        <v>46</v>
      </c>
      <c r="I676" s="74" t="s">
        <v>40</v>
      </c>
      <c r="J676" s="74" t="s">
        <v>96</v>
      </c>
      <c r="K676" s="218" t="s">
        <v>38</v>
      </c>
      <c r="L676" s="66"/>
      <c r="M676" s="18"/>
      <c r="N676" s="18"/>
      <c r="O676" s="18"/>
      <c r="P676" s="293"/>
      <c r="Q676" s="295"/>
      <c r="R676" s="294"/>
      <c r="S676" s="18"/>
      <c r="T676" s="284"/>
      <c r="U676" s="284"/>
      <c r="V676" s="284"/>
      <c r="W676" s="18"/>
      <c r="X676" s="18"/>
      <c r="Y676" s="18"/>
      <c r="Z676" s="18"/>
    </row>
    <row r="677" spans="1:26" ht="16.5" customHeight="1" x14ac:dyDescent="0.35">
      <c r="A677" s="230"/>
      <c r="B677" s="236"/>
      <c r="C677" s="217"/>
      <c r="D677" s="217"/>
      <c r="E677" s="217"/>
      <c r="F677" s="217"/>
      <c r="G677" s="217"/>
      <c r="H677" s="74" t="s">
        <v>48</v>
      </c>
      <c r="I677" s="74" t="s">
        <v>40</v>
      </c>
      <c r="J677" s="74" t="s">
        <v>98</v>
      </c>
      <c r="K677" s="217"/>
      <c r="L677" s="66"/>
      <c r="M677" s="18"/>
      <c r="N677" s="18"/>
      <c r="O677" s="18"/>
      <c r="P677" s="284"/>
      <c r="Q677" s="284"/>
      <c r="R677" s="284"/>
      <c r="S677" s="18"/>
      <c r="T677" s="293"/>
      <c r="U677" s="295"/>
      <c r="V677" s="294"/>
      <c r="W677" s="18"/>
      <c r="X677" s="18"/>
      <c r="Y677" s="18"/>
      <c r="Z677" s="18"/>
    </row>
    <row r="678" spans="1:26" ht="16.5" customHeight="1" x14ac:dyDescent="0.35">
      <c r="A678" s="230"/>
      <c r="B678" s="236"/>
      <c r="C678" s="227" t="s">
        <v>343</v>
      </c>
      <c r="D678" s="218">
        <v>3</v>
      </c>
      <c r="E678" s="216">
        <v>3</v>
      </c>
      <c r="F678" s="218" t="s">
        <v>33</v>
      </c>
      <c r="G678" s="218" t="s">
        <v>90</v>
      </c>
      <c r="H678" s="74" t="s">
        <v>46</v>
      </c>
      <c r="I678" s="74" t="s">
        <v>36</v>
      </c>
      <c r="J678" s="74" t="s">
        <v>92</v>
      </c>
      <c r="K678" s="218" t="s">
        <v>54</v>
      </c>
      <c r="L678" s="66"/>
      <c r="M678" s="18"/>
      <c r="N678" s="18"/>
      <c r="O678" s="18"/>
      <c r="P678" s="293"/>
      <c r="Q678" s="295"/>
      <c r="R678" s="294"/>
      <c r="S678" s="18"/>
      <c r="T678" s="284"/>
      <c r="U678" s="284"/>
      <c r="V678" s="284"/>
      <c r="W678" s="18"/>
      <c r="X678" s="18"/>
      <c r="Y678" s="18"/>
      <c r="Z678" s="18"/>
    </row>
    <row r="679" spans="1:26" ht="16.5" customHeight="1" x14ac:dyDescent="0.35">
      <c r="A679" s="230"/>
      <c r="B679" s="236"/>
      <c r="C679" s="217"/>
      <c r="D679" s="217"/>
      <c r="E679" s="217"/>
      <c r="F679" s="217"/>
      <c r="G679" s="217"/>
      <c r="H679" s="74" t="s">
        <v>48</v>
      </c>
      <c r="I679" s="74" t="s">
        <v>36</v>
      </c>
      <c r="J679" s="74" t="s">
        <v>92</v>
      </c>
      <c r="K679" s="217"/>
      <c r="L679" s="66"/>
      <c r="M679" s="18"/>
      <c r="N679" s="18"/>
      <c r="O679" s="18"/>
      <c r="P679" s="284"/>
      <c r="Q679" s="284"/>
      <c r="R679" s="284"/>
      <c r="S679" s="18"/>
      <c r="T679" s="293"/>
      <c r="U679" s="295"/>
      <c r="V679" s="294"/>
      <c r="W679" s="18"/>
      <c r="X679" s="18"/>
      <c r="Y679" s="18"/>
      <c r="Z679" s="18"/>
    </row>
    <row r="680" spans="1:26" ht="16.5" customHeight="1" x14ac:dyDescent="0.35">
      <c r="A680" s="230"/>
      <c r="B680" s="236"/>
      <c r="C680" s="227" t="s">
        <v>343</v>
      </c>
      <c r="D680" s="218">
        <v>3</v>
      </c>
      <c r="E680" s="216">
        <v>3</v>
      </c>
      <c r="F680" s="218" t="s">
        <v>33</v>
      </c>
      <c r="G680" s="218" t="s">
        <v>173</v>
      </c>
      <c r="H680" s="74" t="s">
        <v>46</v>
      </c>
      <c r="I680" s="74" t="s">
        <v>40</v>
      </c>
      <c r="J680" s="74" t="s">
        <v>92</v>
      </c>
      <c r="K680" s="218" t="s">
        <v>54</v>
      </c>
      <c r="L680" s="66"/>
      <c r="M680" s="18"/>
      <c r="N680" s="18"/>
      <c r="O680" s="18"/>
      <c r="P680" s="293"/>
      <c r="Q680" s="295"/>
      <c r="R680" s="294"/>
      <c r="S680" s="18"/>
      <c r="T680" s="284"/>
      <c r="U680" s="284"/>
      <c r="V680" s="284"/>
      <c r="W680" s="18"/>
      <c r="X680" s="18"/>
      <c r="Y680" s="18"/>
      <c r="Z680" s="18"/>
    </row>
    <row r="681" spans="1:26" ht="16.5" customHeight="1" x14ac:dyDescent="0.35">
      <c r="A681" s="230"/>
      <c r="B681" s="236"/>
      <c r="C681" s="217"/>
      <c r="D681" s="217"/>
      <c r="E681" s="217"/>
      <c r="F681" s="217"/>
      <c r="G681" s="217"/>
      <c r="H681" s="74" t="s">
        <v>48</v>
      </c>
      <c r="I681" s="74" t="s">
        <v>40</v>
      </c>
      <c r="J681" s="74" t="s">
        <v>92</v>
      </c>
      <c r="K681" s="217"/>
      <c r="L681" s="66"/>
      <c r="M681" s="18"/>
      <c r="N681" s="18"/>
      <c r="O681" s="18"/>
      <c r="P681" s="284"/>
      <c r="Q681" s="284"/>
      <c r="R681" s="284"/>
      <c r="S681" s="18"/>
      <c r="T681" s="18"/>
      <c r="U681" s="18"/>
      <c r="V681" s="18"/>
      <c r="W681" s="18"/>
      <c r="X681" s="18"/>
      <c r="Y681" s="18"/>
      <c r="Z681" s="18"/>
    </row>
    <row r="682" spans="1:26" ht="16.5" customHeight="1" x14ac:dyDescent="0.35">
      <c r="A682" s="230"/>
      <c r="B682" s="236"/>
      <c r="C682" s="227" t="s">
        <v>343</v>
      </c>
      <c r="D682" s="218">
        <v>3</v>
      </c>
      <c r="E682" s="216">
        <v>3</v>
      </c>
      <c r="F682" s="218" t="s">
        <v>33</v>
      </c>
      <c r="G682" s="218" t="s">
        <v>175</v>
      </c>
      <c r="H682" s="74" t="s">
        <v>35</v>
      </c>
      <c r="I682" s="74" t="s">
        <v>40</v>
      </c>
      <c r="J682" s="74" t="s">
        <v>47</v>
      </c>
      <c r="K682" s="218" t="s">
        <v>54</v>
      </c>
      <c r="L682" s="66"/>
      <c r="M682" s="18"/>
      <c r="N682" s="18"/>
      <c r="O682" s="18"/>
      <c r="P682" s="293"/>
      <c r="Q682" s="295"/>
      <c r="R682" s="294"/>
      <c r="S682" s="18"/>
      <c r="T682" s="18"/>
      <c r="U682" s="18"/>
      <c r="V682" s="18"/>
      <c r="W682" s="18"/>
      <c r="X682" s="18"/>
      <c r="Y682" s="18"/>
      <c r="Z682" s="18"/>
    </row>
    <row r="683" spans="1:26" ht="16.5" customHeight="1" x14ac:dyDescent="0.35">
      <c r="A683" s="230"/>
      <c r="B683" s="237"/>
      <c r="C683" s="217"/>
      <c r="D683" s="217"/>
      <c r="E683" s="217"/>
      <c r="F683" s="217"/>
      <c r="G683" s="217"/>
      <c r="H683" s="74" t="s">
        <v>48</v>
      </c>
      <c r="I683" s="74" t="s">
        <v>108</v>
      </c>
      <c r="J683" s="74" t="s">
        <v>47</v>
      </c>
      <c r="K683" s="217"/>
      <c r="L683" s="66"/>
      <c r="M683" s="18"/>
      <c r="N683" s="18"/>
      <c r="O683" s="18"/>
      <c r="P683" s="284"/>
      <c r="Q683" s="284"/>
      <c r="R683" s="284"/>
      <c r="S683" s="18"/>
      <c r="T683" s="293"/>
      <c r="U683" s="295"/>
      <c r="V683" s="294"/>
      <c r="W683" s="18"/>
      <c r="X683" s="18"/>
      <c r="Y683" s="18"/>
      <c r="Z683" s="18"/>
    </row>
    <row r="684" spans="1:26" ht="16.5" customHeight="1" x14ac:dyDescent="0.35">
      <c r="A684" s="217"/>
      <c r="B684" s="228" t="s">
        <v>72</v>
      </c>
      <c r="C684" s="221"/>
      <c r="D684" s="222"/>
      <c r="E684" s="71">
        <f>SUM(E674:E683)</f>
        <v>15</v>
      </c>
      <c r="F684" s="220"/>
      <c r="G684" s="221"/>
      <c r="H684" s="221"/>
      <c r="I684" s="221"/>
      <c r="J684" s="221"/>
      <c r="K684" s="222"/>
      <c r="L684" s="66"/>
      <c r="M684" s="18"/>
      <c r="N684" s="18"/>
      <c r="O684" s="18"/>
      <c r="P684" s="18"/>
      <c r="Q684" s="18"/>
      <c r="R684" s="18"/>
      <c r="S684" s="18"/>
      <c r="T684" s="284"/>
      <c r="U684" s="284"/>
      <c r="V684" s="284"/>
      <c r="W684" s="18"/>
      <c r="X684" s="18"/>
      <c r="Y684" s="18"/>
      <c r="Z684" s="18"/>
    </row>
    <row r="685" spans="1:26" ht="16.5" customHeight="1" x14ac:dyDescent="0.35">
      <c r="A685" s="229">
        <v>41</v>
      </c>
      <c r="B685" s="238" t="s">
        <v>344</v>
      </c>
      <c r="C685" s="231" t="s">
        <v>50</v>
      </c>
      <c r="D685" s="218">
        <v>3</v>
      </c>
      <c r="E685" s="216">
        <v>1.5</v>
      </c>
      <c r="F685" s="218" t="s">
        <v>75</v>
      </c>
      <c r="G685" s="218" t="s">
        <v>34</v>
      </c>
      <c r="H685" s="74" t="s">
        <v>46</v>
      </c>
      <c r="I685" s="74" t="s">
        <v>52</v>
      </c>
      <c r="J685" s="74" t="s">
        <v>160</v>
      </c>
      <c r="K685" s="218" t="s">
        <v>38</v>
      </c>
      <c r="L685" s="66"/>
      <c r="M685" s="18"/>
      <c r="N685" s="18"/>
      <c r="O685" s="18"/>
      <c r="P685" s="293"/>
      <c r="Q685" s="295"/>
      <c r="R685" s="294"/>
      <c r="S685" s="18"/>
      <c r="T685" s="293"/>
      <c r="U685" s="295"/>
      <c r="V685" s="294"/>
      <c r="W685" s="18"/>
      <c r="X685" s="18"/>
      <c r="Y685" s="18"/>
      <c r="Z685" s="18"/>
    </row>
    <row r="686" spans="1:26" ht="16.5" customHeight="1" x14ac:dyDescent="0.35">
      <c r="A686" s="230"/>
      <c r="B686" s="230"/>
      <c r="C686" s="217"/>
      <c r="D686" s="217"/>
      <c r="E686" s="217"/>
      <c r="F686" s="217"/>
      <c r="G686" s="217"/>
      <c r="H686" s="74" t="s">
        <v>48</v>
      </c>
      <c r="I686" s="74" t="s">
        <v>52</v>
      </c>
      <c r="J686" s="74" t="s">
        <v>160</v>
      </c>
      <c r="K686" s="217"/>
      <c r="L686" s="66"/>
      <c r="M686" s="18"/>
      <c r="N686" s="18"/>
      <c r="O686" s="18"/>
      <c r="P686" s="284"/>
      <c r="Q686" s="284"/>
      <c r="R686" s="284"/>
      <c r="S686" s="18"/>
      <c r="T686" s="284"/>
      <c r="U686" s="284"/>
      <c r="V686" s="284"/>
      <c r="W686" s="18"/>
      <c r="X686" s="18"/>
      <c r="Y686" s="18"/>
      <c r="Z686" s="18"/>
    </row>
    <row r="687" spans="1:26" ht="16.5" customHeight="1" x14ac:dyDescent="0.35">
      <c r="A687" s="230"/>
      <c r="B687" s="230"/>
      <c r="C687" s="227" t="s">
        <v>50</v>
      </c>
      <c r="D687" s="218">
        <v>3</v>
      </c>
      <c r="E687" s="216">
        <v>1.5</v>
      </c>
      <c r="F687" s="218" t="s">
        <v>75</v>
      </c>
      <c r="G687" s="218" t="s">
        <v>42</v>
      </c>
      <c r="H687" s="74" t="s">
        <v>46</v>
      </c>
      <c r="I687" s="74" t="s">
        <v>56</v>
      </c>
      <c r="J687" s="74" t="s">
        <v>150</v>
      </c>
      <c r="K687" s="218" t="s">
        <v>38</v>
      </c>
      <c r="L687" s="66"/>
      <c r="M687" s="18"/>
      <c r="N687" s="18"/>
      <c r="O687" s="18"/>
      <c r="P687" s="293"/>
      <c r="Q687" s="295"/>
      <c r="R687" s="294"/>
      <c r="S687" s="18"/>
      <c r="T687" s="293"/>
      <c r="U687" s="295"/>
      <c r="V687" s="294"/>
      <c r="W687" s="18"/>
      <c r="X687" s="18"/>
      <c r="Y687" s="18"/>
      <c r="Z687" s="18"/>
    </row>
    <row r="688" spans="1:26" ht="16.5" customHeight="1" x14ac:dyDescent="0.35">
      <c r="A688" s="217"/>
      <c r="B688" s="217"/>
      <c r="C688" s="219"/>
      <c r="D688" s="219"/>
      <c r="E688" s="219"/>
      <c r="F688" s="219"/>
      <c r="G688" s="219"/>
      <c r="H688" s="84" t="s">
        <v>48</v>
      </c>
      <c r="I688" s="74" t="s">
        <v>56</v>
      </c>
      <c r="J688" s="84" t="s">
        <v>133</v>
      </c>
      <c r="K688" s="219"/>
      <c r="L688" s="66"/>
      <c r="M688" s="18"/>
      <c r="N688" s="18"/>
      <c r="O688" s="18"/>
      <c r="P688" s="284"/>
      <c r="Q688" s="284"/>
      <c r="R688" s="284"/>
      <c r="S688" s="18"/>
      <c r="T688" s="284"/>
      <c r="U688" s="284"/>
      <c r="V688" s="284"/>
      <c r="W688" s="18"/>
      <c r="X688" s="18"/>
      <c r="Y688" s="18"/>
      <c r="Z688" s="18"/>
    </row>
    <row r="689" spans="1:26" ht="16.5" customHeight="1" x14ac:dyDescent="0.35">
      <c r="A689" s="104"/>
      <c r="B689" s="104"/>
      <c r="C689" s="60"/>
      <c r="D689" s="61"/>
      <c r="E689" s="62"/>
      <c r="F689" s="61"/>
      <c r="G689" s="61"/>
      <c r="H689" s="61"/>
      <c r="I689" s="61"/>
      <c r="J689" s="61"/>
      <c r="K689" s="61"/>
      <c r="L689" s="66"/>
      <c r="M689" s="18"/>
      <c r="N689" s="18"/>
      <c r="O689" s="18"/>
      <c r="P689" s="7"/>
      <c r="Q689" s="7"/>
      <c r="R689" s="7"/>
      <c r="S689" s="18"/>
      <c r="T689" s="7"/>
      <c r="U689" s="7"/>
      <c r="V689" s="7"/>
      <c r="W689" s="18"/>
      <c r="X689" s="18"/>
      <c r="Y689" s="18"/>
      <c r="Z689" s="18"/>
    </row>
    <row r="690" spans="1:26" ht="16.5" customHeight="1" x14ac:dyDescent="0.35">
      <c r="A690" s="105"/>
      <c r="B690" s="105"/>
      <c r="C690" s="66"/>
      <c r="D690" s="67"/>
      <c r="E690" s="68"/>
      <c r="F690" s="67"/>
      <c r="G690" s="67"/>
      <c r="H690" s="67"/>
      <c r="I690" s="67"/>
      <c r="J690" s="67"/>
      <c r="K690" s="67"/>
      <c r="L690" s="66"/>
      <c r="M690" s="18"/>
      <c r="N690" s="18"/>
      <c r="O690" s="18"/>
      <c r="P690" s="7"/>
      <c r="Q690" s="7"/>
      <c r="R690" s="7"/>
      <c r="S690" s="18"/>
      <c r="T690" s="7"/>
      <c r="U690" s="7"/>
      <c r="V690" s="7"/>
      <c r="W690" s="18"/>
      <c r="X690" s="18"/>
      <c r="Y690" s="18"/>
      <c r="Z690" s="18"/>
    </row>
    <row r="691" spans="1:26" ht="16.5" customHeight="1" x14ac:dyDescent="0.35">
      <c r="A691" s="105"/>
      <c r="B691" s="105"/>
      <c r="C691" s="66"/>
      <c r="D691" s="67"/>
      <c r="E691" s="68"/>
      <c r="F691" s="67"/>
      <c r="G691" s="67"/>
      <c r="H691" s="67"/>
      <c r="I691" s="67"/>
      <c r="J691" s="67"/>
      <c r="K691" s="67"/>
      <c r="L691" s="66"/>
      <c r="M691" s="18"/>
      <c r="N691" s="18"/>
      <c r="O691" s="18"/>
      <c r="P691" s="7"/>
      <c r="Q691" s="7"/>
      <c r="R691" s="7"/>
      <c r="S691" s="18"/>
      <c r="T691" s="7"/>
      <c r="U691" s="7"/>
      <c r="V691" s="7"/>
      <c r="W691" s="18"/>
      <c r="X691" s="18"/>
      <c r="Y691" s="18"/>
      <c r="Z691" s="18"/>
    </row>
    <row r="692" spans="1:26" ht="16.5" customHeight="1" x14ac:dyDescent="0.35">
      <c r="A692" s="105"/>
      <c r="B692" s="105"/>
      <c r="C692" s="66"/>
      <c r="D692" s="67"/>
      <c r="E692" s="68"/>
      <c r="F692" s="67"/>
      <c r="G692" s="67"/>
      <c r="H692" s="67"/>
      <c r="I692" s="67"/>
      <c r="J692" s="67"/>
      <c r="K692" s="67"/>
      <c r="L692" s="66"/>
      <c r="M692" s="18"/>
      <c r="N692" s="18"/>
      <c r="O692" s="18"/>
      <c r="P692" s="7"/>
      <c r="Q692" s="7"/>
      <c r="R692" s="7"/>
      <c r="S692" s="18"/>
      <c r="T692" s="7"/>
      <c r="U692" s="7"/>
      <c r="V692" s="7"/>
      <c r="W692" s="18"/>
      <c r="X692" s="18"/>
      <c r="Y692" s="18"/>
      <c r="Z692" s="18"/>
    </row>
    <row r="693" spans="1:26" ht="16.5" customHeight="1" x14ac:dyDescent="0.35">
      <c r="A693" s="105"/>
      <c r="B693" s="105"/>
      <c r="C693" s="66"/>
      <c r="D693" s="67"/>
      <c r="E693" s="68"/>
      <c r="F693" s="67"/>
      <c r="G693" s="67"/>
      <c r="H693" s="67"/>
      <c r="I693" s="67"/>
      <c r="J693" s="67"/>
      <c r="K693" s="67"/>
      <c r="L693" s="66"/>
      <c r="M693" s="18"/>
      <c r="N693" s="18"/>
      <c r="O693" s="18"/>
      <c r="P693" s="7"/>
      <c r="Q693" s="7"/>
      <c r="R693" s="7"/>
      <c r="S693" s="18"/>
      <c r="T693" s="7"/>
      <c r="U693" s="7"/>
      <c r="V693" s="7"/>
      <c r="W693" s="18"/>
      <c r="X693" s="18"/>
      <c r="Y693" s="18"/>
      <c r="Z693" s="18"/>
    </row>
    <row r="694" spans="1:26" ht="16.5" customHeight="1" x14ac:dyDescent="0.35">
      <c r="A694" s="105"/>
      <c r="B694" s="105"/>
      <c r="C694" s="66"/>
      <c r="D694" s="67"/>
      <c r="E694" s="68"/>
      <c r="F694" s="67"/>
      <c r="G694" s="67"/>
      <c r="H694" s="67"/>
      <c r="I694" s="67"/>
      <c r="J694" s="67"/>
      <c r="K694" s="67"/>
      <c r="L694" s="66"/>
      <c r="M694" s="18"/>
      <c r="N694" s="18"/>
      <c r="O694" s="18"/>
      <c r="P694" s="7"/>
      <c r="Q694" s="7"/>
      <c r="R694" s="7"/>
      <c r="S694" s="18"/>
      <c r="T694" s="7"/>
      <c r="U694" s="7"/>
      <c r="V694" s="7"/>
      <c r="W694" s="18"/>
      <c r="X694" s="18"/>
      <c r="Y694" s="18"/>
      <c r="Z694" s="18"/>
    </row>
    <row r="695" spans="1:26" ht="16.5" customHeight="1" x14ac:dyDescent="0.35">
      <c r="A695" s="223" t="s">
        <v>7</v>
      </c>
      <c r="B695" s="223" t="s">
        <v>8</v>
      </c>
      <c r="C695" s="223" t="s">
        <v>9</v>
      </c>
      <c r="D695" s="220" t="s">
        <v>10</v>
      </c>
      <c r="E695" s="222"/>
      <c r="F695" s="223" t="s">
        <v>11</v>
      </c>
      <c r="G695" s="223" t="s">
        <v>12</v>
      </c>
      <c r="H695" s="226" t="s">
        <v>13</v>
      </c>
      <c r="I695" s="221"/>
      <c r="J695" s="221"/>
      <c r="K695" s="222"/>
      <c r="L695" s="66"/>
      <c r="M695" s="18"/>
      <c r="N695" s="18"/>
      <c r="O695" s="18"/>
      <c r="P695" s="7"/>
      <c r="Q695" s="7"/>
      <c r="R695" s="7"/>
      <c r="S695" s="18"/>
      <c r="T695" s="7"/>
      <c r="U695" s="7"/>
      <c r="V695" s="7"/>
      <c r="W695" s="18"/>
      <c r="X695" s="18"/>
      <c r="Y695" s="18"/>
      <c r="Z695" s="18"/>
    </row>
    <row r="696" spans="1:26" ht="16.5" customHeight="1" x14ac:dyDescent="0.35">
      <c r="A696" s="217"/>
      <c r="B696" s="217"/>
      <c r="C696" s="217"/>
      <c r="D696" s="70" t="s">
        <v>14</v>
      </c>
      <c r="E696" s="71" t="s">
        <v>15</v>
      </c>
      <c r="F696" s="217"/>
      <c r="G696" s="217"/>
      <c r="H696" s="70" t="s">
        <v>16</v>
      </c>
      <c r="I696" s="70" t="s">
        <v>17</v>
      </c>
      <c r="J696" s="70" t="s">
        <v>18</v>
      </c>
      <c r="K696" s="70" t="s">
        <v>19</v>
      </c>
      <c r="L696" s="66"/>
      <c r="M696" s="18"/>
      <c r="N696" s="18"/>
      <c r="O696" s="18"/>
      <c r="P696" s="7"/>
      <c r="Q696" s="7"/>
      <c r="R696" s="7"/>
      <c r="S696" s="18"/>
      <c r="T696" s="7"/>
      <c r="U696" s="7"/>
      <c r="V696" s="7"/>
      <c r="W696" s="18"/>
      <c r="X696" s="18"/>
      <c r="Y696" s="18"/>
      <c r="Z696" s="18"/>
    </row>
    <row r="697" spans="1:26" ht="16.5" customHeight="1" x14ac:dyDescent="0.35">
      <c r="A697" s="72" t="s">
        <v>20</v>
      </c>
      <c r="B697" s="73" t="s">
        <v>21</v>
      </c>
      <c r="C697" s="73" t="s">
        <v>22</v>
      </c>
      <c r="D697" s="70" t="s">
        <v>23</v>
      </c>
      <c r="E697" s="71" t="s">
        <v>24</v>
      </c>
      <c r="F697" s="70" t="s">
        <v>25</v>
      </c>
      <c r="G697" s="70" t="s">
        <v>26</v>
      </c>
      <c r="H697" s="70" t="s">
        <v>27</v>
      </c>
      <c r="I697" s="70" t="s">
        <v>28</v>
      </c>
      <c r="J697" s="70" t="s">
        <v>29</v>
      </c>
      <c r="K697" s="70" t="s">
        <v>30</v>
      </c>
      <c r="L697" s="66"/>
      <c r="M697" s="18"/>
      <c r="N697" s="18"/>
      <c r="O697" s="18"/>
      <c r="P697" s="7"/>
      <c r="Q697" s="7"/>
      <c r="R697" s="7"/>
      <c r="S697" s="18"/>
      <c r="T697" s="7"/>
      <c r="U697" s="7"/>
      <c r="V697" s="7"/>
      <c r="W697" s="18"/>
      <c r="X697" s="18"/>
      <c r="Y697" s="18"/>
      <c r="Z697" s="18"/>
    </row>
    <row r="698" spans="1:26" ht="16.5" customHeight="1" x14ac:dyDescent="0.35">
      <c r="A698" s="229">
        <v>41</v>
      </c>
      <c r="B698" s="238" t="s">
        <v>344</v>
      </c>
      <c r="C698" s="234" t="s">
        <v>50</v>
      </c>
      <c r="D698" s="232">
        <v>3</v>
      </c>
      <c r="E698" s="233">
        <v>1.5</v>
      </c>
      <c r="F698" s="232" t="s">
        <v>75</v>
      </c>
      <c r="G698" s="232" t="s">
        <v>45</v>
      </c>
      <c r="H698" s="118" t="s">
        <v>35</v>
      </c>
      <c r="I698" s="118" t="s">
        <v>56</v>
      </c>
      <c r="J698" s="118" t="s">
        <v>124</v>
      </c>
      <c r="K698" s="242" t="s">
        <v>38</v>
      </c>
      <c r="L698" s="119"/>
      <c r="M698" s="18"/>
      <c r="N698" s="18"/>
      <c r="O698" s="18"/>
      <c r="P698" s="293"/>
      <c r="Q698" s="295"/>
      <c r="R698" s="294"/>
      <c r="S698" s="18"/>
      <c r="T698" s="293"/>
      <c r="U698" s="295"/>
      <c r="V698" s="294"/>
      <c r="W698" s="18"/>
      <c r="X698" s="18"/>
      <c r="Y698" s="18"/>
      <c r="Z698" s="18"/>
    </row>
    <row r="699" spans="1:26" ht="16.5" customHeight="1" x14ac:dyDescent="0.35">
      <c r="A699" s="230"/>
      <c r="B699" s="230"/>
      <c r="C699" s="217"/>
      <c r="D699" s="217"/>
      <c r="E699" s="217"/>
      <c r="F699" s="217"/>
      <c r="G699" s="217"/>
      <c r="H699" s="118" t="s">
        <v>48</v>
      </c>
      <c r="I699" s="118" t="s">
        <v>123</v>
      </c>
      <c r="J699" s="118" t="s">
        <v>155</v>
      </c>
      <c r="K699" s="217"/>
      <c r="L699" s="119"/>
      <c r="M699" s="18"/>
      <c r="N699" s="18"/>
      <c r="O699" s="18"/>
      <c r="P699" s="284"/>
      <c r="Q699" s="284"/>
      <c r="R699" s="284"/>
      <c r="S699" s="18"/>
      <c r="T699" s="284"/>
      <c r="U699" s="284"/>
      <c r="V699" s="284"/>
      <c r="W699" s="18"/>
      <c r="X699" s="18"/>
      <c r="Y699" s="18"/>
      <c r="Z699" s="18"/>
    </row>
    <row r="700" spans="1:26" ht="16.5" customHeight="1" x14ac:dyDescent="0.35">
      <c r="A700" s="230"/>
      <c r="B700" s="230"/>
      <c r="C700" s="234" t="s">
        <v>58</v>
      </c>
      <c r="D700" s="232">
        <v>3</v>
      </c>
      <c r="E700" s="233">
        <v>1.5</v>
      </c>
      <c r="F700" s="232" t="s">
        <v>75</v>
      </c>
      <c r="G700" s="232" t="s">
        <v>49</v>
      </c>
      <c r="H700" s="118" t="s">
        <v>39</v>
      </c>
      <c r="I700" s="118" t="s">
        <v>56</v>
      </c>
      <c r="J700" s="118" t="s">
        <v>60</v>
      </c>
      <c r="K700" s="242" t="s">
        <v>38</v>
      </c>
      <c r="L700" s="119"/>
      <c r="M700" s="18"/>
      <c r="N700" s="18"/>
      <c r="O700" s="18"/>
      <c r="P700" s="293"/>
      <c r="Q700" s="295"/>
      <c r="R700" s="294"/>
      <c r="S700" s="18"/>
      <c r="T700" s="293"/>
      <c r="U700" s="295"/>
      <c r="V700" s="294"/>
      <c r="W700" s="18"/>
      <c r="X700" s="18"/>
      <c r="Y700" s="18"/>
      <c r="Z700" s="18"/>
    </row>
    <row r="701" spans="1:26" ht="16.5" customHeight="1" x14ac:dyDescent="0.35">
      <c r="A701" s="230"/>
      <c r="B701" s="230"/>
      <c r="C701" s="217"/>
      <c r="D701" s="217"/>
      <c r="E701" s="217"/>
      <c r="F701" s="217"/>
      <c r="G701" s="217"/>
      <c r="H701" s="118" t="s">
        <v>55</v>
      </c>
      <c r="I701" s="118" t="s">
        <v>82</v>
      </c>
      <c r="J701" s="118" t="s">
        <v>60</v>
      </c>
      <c r="K701" s="217"/>
      <c r="L701" s="119"/>
      <c r="M701" s="18"/>
      <c r="N701" s="18"/>
      <c r="O701" s="18"/>
      <c r="P701" s="284"/>
      <c r="Q701" s="284"/>
      <c r="R701" s="284"/>
      <c r="S701" s="18"/>
      <c r="T701" s="284"/>
      <c r="U701" s="284"/>
      <c r="V701" s="284"/>
      <c r="W701" s="18"/>
      <c r="X701" s="18"/>
      <c r="Y701" s="18"/>
      <c r="Z701" s="18"/>
    </row>
    <row r="702" spans="1:26" ht="16.5" customHeight="1" x14ac:dyDescent="0.35">
      <c r="A702" s="230"/>
      <c r="B702" s="230"/>
      <c r="C702" s="234" t="s">
        <v>345</v>
      </c>
      <c r="D702" s="232">
        <v>3</v>
      </c>
      <c r="E702" s="233">
        <v>1.5</v>
      </c>
      <c r="F702" s="232" t="s">
        <v>75</v>
      </c>
      <c r="G702" s="232" t="s">
        <v>289</v>
      </c>
      <c r="H702" s="118" t="s">
        <v>39</v>
      </c>
      <c r="I702" s="118" t="s">
        <v>61</v>
      </c>
      <c r="J702" s="118" t="s">
        <v>60</v>
      </c>
      <c r="K702" s="242" t="s">
        <v>38</v>
      </c>
      <c r="L702" s="119"/>
      <c r="M702" s="18"/>
      <c r="N702" s="18"/>
      <c r="O702" s="18"/>
      <c r="P702" s="293"/>
      <c r="Q702" s="295"/>
      <c r="R702" s="294"/>
      <c r="S702" s="18"/>
      <c r="T702" s="18"/>
      <c r="U702" s="18"/>
      <c r="V702" s="18"/>
      <c r="W702" s="18"/>
      <c r="X702" s="18"/>
      <c r="Y702" s="18"/>
      <c r="Z702" s="18"/>
    </row>
    <row r="703" spans="1:26" ht="16.5" customHeight="1" x14ac:dyDescent="0.35">
      <c r="A703" s="230"/>
      <c r="B703" s="230"/>
      <c r="C703" s="217"/>
      <c r="D703" s="217"/>
      <c r="E703" s="217"/>
      <c r="F703" s="217"/>
      <c r="G703" s="217"/>
      <c r="H703" s="118" t="s">
        <v>55</v>
      </c>
      <c r="I703" s="118" t="s">
        <v>123</v>
      </c>
      <c r="J703" s="118" t="s">
        <v>60</v>
      </c>
      <c r="K703" s="217"/>
      <c r="L703" s="119"/>
      <c r="M703" s="18"/>
      <c r="N703" s="18"/>
      <c r="O703" s="18"/>
      <c r="P703" s="284"/>
      <c r="Q703" s="284"/>
      <c r="R703" s="284"/>
      <c r="S703" s="18"/>
      <c r="T703" s="293"/>
      <c r="U703" s="295"/>
      <c r="V703" s="294"/>
      <c r="W703" s="18"/>
      <c r="X703" s="18"/>
      <c r="Y703" s="18"/>
      <c r="Z703" s="18"/>
    </row>
    <row r="704" spans="1:26" ht="16.5" customHeight="1" x14ac:dyDescent="0.35">
      <c r="A704" s="230"/>
      <c r="B704" s="230"/>
      <c r="C704" s="234" t="s">
        <v>58</v>
      </c>
      <c r="D704" s="232">
        <v>3</v>
      </c>
      <c r="E704" s="233">
        <v>1.5</v>
      </c>
      <c r="F704" s="232" t="s">
        <v>75</v>
      </c>
      <c r="G704" s="232" t="s">
        <v>272</v>
      </c>
      <c r="H704" s="118" t="s">
        <v>46</v>
      </c>
      <c r="I704" s="118" t="s">
        <v>123</v>
      </c>
      <c r="J704" s="118" t="s">
        <v>60</v>
      </c>
      <c r="K704" s="242" t="s">
        <v>54</v>
      </c>
      <c r="L704" s="119"/>
      <c r="M704" s="18"/>
      <c r="N704" s="18"/>
      <c r="O704" s="18"/>
      <c r="P704" s="293"/>
      <c r="Q704" s="295"/>
      <c r="R704" s="294"/>
      <c r="S704" s="18"/>
      <c r="T704" s="284"/>
      <c r="U704" s="284"/>
      <c r="V704" s="284"/>
      <c r="W704" s="18"/>
      <c r="X704" s="18"/>
      <c r="Y704" s="18"/>
      <c r="Z704" s="18"/>
    </row>
    <row r="705" spans="1:26" ht="16.5" customHeight="1" x14ac:dyDescent="0.35">
      <c r="A705" s="230"/>
      <c r="B705" s="230"/>
      <c r="C705" s="217"/>
      <c r="D705" s="217"/>
      <c r="E705" s="217"/>
      <c r="F705" s="217"/>
      <c r="G705" s="217"/>
      <c r="H705" s="120" t="s">
        <v>55</v>
      </c>
      <c r="I705" s="118" t="s">
        <v>82</v>
      </c>
      <c r="J705" s="118" t="s">
        <v>60</v>
      </c>
      <c r="K705" s="217"/>
      <c r="L705" s="119"/>
      <c r="M705" s="18"/>
      <c r="N705" s="18"/>
      <c r="O705" s="18"/>
      <c r="P705" s="284"/>
      <c r="Q705" s="284"/>
      <c r="R705" s="284"/>
      <c r="S705" s="18"/>
      <c r="T705" s="293"/>
      <c r="U705" s="295"/>
      <c r="V705" s="294"/>
      <c r="W705" s="18"/>
      <c r="X705" s="18"/>
      <c r="Y705" s="18"/>
      <c r="Z705" s="18"/>
    </row>
    <row r="706" spans="1:26" ht="16.5" customHeight="1" x14ac:dyDescent="0.35">
      <c r="A706" s="230"/>
      <c r="B706" s="230"/>
      <c r="C706" s="227" t="s">
        <v>50</v>
      </c>
      <c r="D706" s="218">
        <v>3</v>
      </c>
      <c r="E706" s="216">
        <v>1.5</v>
      </c>
      <c r="F706" s="218" t="s">
        <v>346</v>
      </c>
      <c r="G706" s="218" t="s">
        <v>42</v>
      </c>
      <c r="H706" s="74" t="s">
        <v>46</v>
      </c>
      <c r="I706" s="74" t="s">
        <v>36</v>
      </c>
      <c r="J706" s="74" t="s">
        <v>150</v>
      </c>
      <c r="K706" s="218" t="s">
        <v>38</v>
      </c>
      <c r="L706" s="66"/>
      <c r="M706" s="18"/>
      <c r="N706" s="18"/>
      <c r="O706" s="18"/>
      <c r="P706" s="293"/>
      <c r="Q706" s="295"/>
      <c r="R706" s="294"/>
      <c r="S706" s="18"/>
      <c r="T706" s="284"/>
      <c r="U706" s="284"/>
      <c r="V706" s="284"/>
      <c r="W706" s="18"/>
      <c r="X706" s="18"/>
      <c r="Y706" s="18"/>
      <c r="Z706" s="18"/>
    </row>
    <row r="707" spans="1:26" ht="16.5" customHeight="1" x14ac:dyDescent="0.35">
      <c r="A707" s="230"/>
      <c r="B707" s="230"/>
      <c r="C707" s="217"/>
      <c r="D707" s="217"/>
      <c r="E707" s="217"/>
      <c r="F707" s="217"/>
      <c r="G707" s="217"/>
      <c r="H707" s="74" t="s">
        <v>48</v>
      </c>
      <c r="I707" s="74" t="s">
        <v>36</v>
      </c>
      <c r="J707" s="74" t="s">
        <v>133</v>
      </c>
      <c r="K707" s="217"/>
      <c r="L707" s="66"/>
      <c r="M707" s="18"/>
      <c r="N707" s="18"/>
      <c r="O707" s="18"/>
      <c r="P707" s="284"/>
      <c r="Q707" s="284"/>
      <c r="R707" s="284"/>
      <c r="S707" s="18"/>
      <c r="T707" s="293"/>
      <c r="U707" s="295"/>
      <c r="V707" s="294"/>
      <c r="W707" s="18"/>
      <c r="X707" s="18"/>
      <c r="Y707" s="18"/>
      <c r="Z707" s="18"/>
    </row>
    <row r="708" spans="1:26" ht="16.5" customHeight="1" x14ac:dyDescent="0.35">
      <c r="A708" s="230"/>
      <c r="B708" s="230"/>
      <c r="C708" s="227" t="s">
        <v>171</v>
      </c>
      <c r="D708" s="218">
        <v>2</v>
      </c>
      <c r="E708" s="216">
        <v>2</v>
      </c>
      <c r="F708" s="218" t="s">
        <v>158</v>
      </c>
      <c r="G708" s="218" t="s">
        <v>90</v>
      </c>
      <c r="H708" s="74" t="s">
        <v>35</v>
      </c>
      <c r="I708" s="74" t="s">
        <v>52</v>
      </c>
      <c r="J708" s="74" t="s">
        <v>159</v>
      </c>
      <c r="K708" s="218" t="s">
        <v>38</v>
      </c>
      <c r="L708" s="66"/>
      <c r="M708" s="18"/>
      <c r="N708" s="18"/>
      <c r="O708" s="18"/>
      <c r="P708" s="293"/>
      <c r="Q708" s="295"/>
      <c r="R708" s="294"/>
      <c r="S708" s="18"/>
      <c r="T708" s="284"/>
      <c r="U708" s="284"/>
      <c r="V708" s="284"/>
      <c r="W708" s="18"/>
      <c r="X708" s="18"/>
      <c r="Y708" s="18"/>
      <c r="Z708" s="18"/>
    </row>
    <row r="709" spans="1:26" ht="16.5" customHeight="1" x14ac:dyDescent="0.35">
      <c r="A709" s="230"/>
      <c r="B709" s="230"/>
      <c r="C709" s="217"/>
      <c r="D709" s="217"/>
      <c r="E709" s="217"/>
      <c r="F709" s="217"/>
      <c r="G709" s="217"/>
      <c r="H709" s="74" t="s">
        <v>55</v>
      </c>
      <c r="I709" s="74" t="s">
        <v>52</v>
      </c>
      <c r="J709" s="74" t="s">
        <v>208</v>
      </c>
      <c r="K709" s="217"/>
      <c r="L709" s="66"/>
      <c r="M709" s="18"/>
      <c r="N709" s="18"/>
      <c r="O709" s="18"/>
      <c r="P709" s="284"/>
      <c r="Q709" s="284"/>
      <c r="R709" s="284"/>
      <c r="S709" s="18"/>
      <c r="T709" s="293"/>
      <c r="U709" s="295"/>
      <c r="V709" s="294"/>
      <c r="W709" s="18"/>
      <c r="X709" s="18"/>
      <c r="Y709" s="18"/>
      <c r="Z709" s="18"/>
    </row>
    <row r="710" spans="1:26" ht="16.5" customHeight="1" x14ac:dyDescent="0.35">
      <c r="A710" s="230"/>
      <c r="B710" s="217"/>
      <c r="C710" s="94" t="s">
        <v>191</v>
      </c>
      <c r="D710" s="74">
        <v>3</v>
      </c>
      <c r="E710" s="81">
        <v>3</v>
      </c>
      <c r="F710" s="74" t="s">
        <v>75</v>
      </c>
      <c r="G710" s="74" t="s">
        <v>347</v>
      </c>
      <c r="H710" s="74" t="s">
        <v>119</v>
      </c>
      <c r="I710" s="74" t="s">
        <v>82</v>
      </c>
      <c r="J710" s="75" t="s">
        <v>78</v>
      </c>
      <c r="K710" s="74" t="s">
        <v>93</v>
      </c>
      <c r="L710" s="66"/>
      <c r="M710" s="18"/>
      <c r="N710" s="18"/>
      <c r="O710" s="18"/>
      <c r="P710" s="18"/>
      <c r="Q710" s="18"/>
      <c r="R710" s="18"/>
      <c r="S710" s="18"/>
      <c r="T710" s="284"/>
      <c r="U710" s="284"/>
      <c r="V710" s="284"/>
      <c r="W710" s="18"/>
      <c r="X710" s="18"/>
      <c r="Y710" s="18"/>
      <c r="Z710" s="18"/>
    </row>
    <row r="711" spans="1:26" ht="16.5" customHeight="1" x14ac:dyDescent="0.35">
      <c r="A711" s="217"/>
      <c r="B711" s="228" t="s">
        <v>72</v>
      </c>
      <c r="C711" s="221"/>
      <c r="D711" s="222"/>
      <c r="E711" s="71">
        <f>SUM(E685:E710)</f>
        <v>15.5</v>
      </c>
      <c r="F711" s="220"/>
      <c r="G711" s="221"/>
      <c r="H711" s="221"/>
      <c r="I711" s="221"/>
      <c r="J711" s="221"/>
      <c r="K711" s="222"/>
      <c r="L711" s="66"/>
      <c r="M711" s="18"/>
      <c r="N711" s="18"/>
      <c r="O711" s="18"/>
      <c r="P711" s="18"/>
      <c r="Q711" s="18"/>
      <c r="R711" s="18"/>
      <c r="S711" s="18"/>
      <c r="T711" s="293"/>
      <c r="U711" s="295"/>
      <c r="V711" s="294"/>
      <c r="W711" s="18"/>
      <c r="X711" s="18"/>
      <c r="Y711" s="18"/>
      <c r="Z711" s="18"/>
    </row>
    <row r="712" spans="1:26" ht="16.5" customHeight="1" x14ac:dyDescent="0.35">
      <c r="A712" s="229">
        <v>42</v>
      </c>
      <c r="B712" s="253" t="s">
        <v>348</v>
      </c>
      <c r="C712" s="227" t="s">
        <v>228</v>
      </c>
      <c r="D712" s="218">
        <v>3</v>
      </c>
      <c r="E712" s="216">
        <v>3</v>
      </c>
      <c r="F712" s="218" t="s">
        <v>75</v>
      </c>
      <c r="G712" s="218" t="s">
        <v>101</v>
      </c>
      <c r="H712" s="74" t="s">
        <v>35</v>
      </c>
      <c r="I712" s="74" t="s">
        <v>40</v>
      </c>
      <c r="J712" s="75" t="s">
        <v>149</v>
      </c>
      <c r="K712" s="218" t="s">
        <v>38</v>
      </c>
      <c r="L712" s="66"/>
      <c r="M712" s="18"/>
      <c r="N712" s="18"/>
      <c r="O712" s="18"/>
      <c r="P712" s="293"/>
      <c r="Q712" s="295"/>
      <c r="R712" s="294"/>
      <c r="S712" s="18"/>
      <c r="T712" s="284"/>
      <c r="U712" s="284"/>
      <c r="V712" s="284"/>
      <c r="W712" s="18"/>
      <c r="X712" s="18"/>
      <c r="Y712" s="18"/>
      <c r="Z712" s="18"/>
    </row>
    <row r="713" spans="1:26" ht="16.5" customHeight="1" x14ac:dyDescent="0.35">
      <c r="A713" s="230"/>
      <c r="B713" s="236"/>
      <c r="C713" s="217"/>
      <c r="D713" s="217"/>
      <c r="E713" s="217"/>
      <c r="F713" s="217"/>
      <c r="G713" s="217"/>
      <c r="H713" s="74" t="s">
        <v>55</v>
      </c>
      <c r="I713" s="74" t="s">
        <v>44</v>
      </c>
      <c r="J713" s="74" t="s">
        <v>174</v>
      </c>
      <c r="K713" s="217"/>
      <c r="L713" s="66"/>
      <c r="M713" s="18"/>
      <c r="N713" s="18"/>
      <c r="O713" s="18"/>
      <c r="P713" s="284"/>
      <c r="Q713" s="284"/>
      <c r="R713" s="284"/>
      <c r="S713" s="18"/>
      <c r="T713" s="293"/>
      <c r="U713" s="295"/>
      <c r="V713" s="294"/>
      <c r="W713" s="18"/>
      <c r="X713" s="18"/>
      <c r="Y713" s="18"/>
      <c r="Z713" s="18"/>
    </row>
    <row r="714" spans="1:26" ht="16.5" customHeight="1" x14ac:dyDescent="0.35">
      <c r="A714" s="230"/>
      <c r="B714" s="236"/>
      <c r="C714" s="227" t="s">
        <v>228</v>
      </c>
      <c r="D714" s="218">
        <v>3</v>
      </c>
      <c r="E714" s="216">
        <v>3</v>
      </c>
      <c r="F714" s="218" t="s">
        <v>158</v>
      </c>
      <c r="G714" s="218" t="s">
        <v>101</v>
      </c>
      <c r="H714" s="74" t="s">
        <v>46</v>
      </c>
      <c r="I714" s="74" t="s">
        <v>44</v>
      </c>
      <c r="J714" s="75" t="s">
        <v>53</v>
      </c>
      <c r="K714" s="218" t="s">
        <v>38</v>
      </c>
      <c r="L714" s="66"/>
      <c r="M714" s="18"/>
      <c r="N714" s="18"/>
      <c r="O714" s="18"/>
      <c r="P714" s="293"/>
      <c r="Q714" s="295"/>
      <c r="R714" s="294"/>
      <c r="S714" s="18"/>
      <c r="T714" s="284"/>
      <c r="U714" s="284"/>
      <c r="V714" s="284"/>
      <c r="W714" s="18"/>
      <c r="X714" s="18"/>
      <c r="Y714" s="18"/>
      <c r="Z714" s="18"/>
    </row>
    <row r="715" spans="1:26" ht="16.5" customHeight="1" x14ac:dyDescent="0.35">
      <c r="A715" s="230"/>
      <c r="B715" s="236"/>
      <c r="C715" s="217"/>
      <c r="D715" s="217"/>
      <c r="E715" s="217"/>
      <c r="F715" s="217"/>
      <c r="G715" s="217"/>
      <c r="H715" s="74" t="s">
        <v>48</v>
      </c>
      <c r="I715" s="74" t="s">
        <v>44</v>
      </c>
      <c r="J715" s="75" t="s">
        <v>126</v>
      </c>
      <c r="K715" s="217"/>
      <c r="L715" s="66"/>
      <c r="M715" s="18"/>
      <c r="N715" s="18"/>
      <c r="O715" s="18"/>
      <c r="P715" s="284"/>
      <c r="Q715" s="284"/>
      <c r="R715" s="284"/>
      <c r="S715" s="18"/>
      <c r="T715" s="18"/>
      <c r="U715" s="18"/>
      <c r="V715" s="18"/>
      <c r="W715" s="18"/>
      <c r="X715" s="18"/>
      <c r="Y715" s="18"/>
      <c r="Z715" s="18"/>
    </row>
    <row r="716" spans="1:26" ht="16.5" customHeight="1" x14ac:dyDescent="0.35">
      <c r="A716" s="230"/>
      <c r="B716" s="236"/>
      <c r="C716" s="227" t="s">
        <v>239</v>
      </c>
      <c r="D716" s="218">
        <v>3</v>
      </c>
      <c r="E716" s="216">
        <v>3</v>
      </c>
      <c r="F716" s="218" t="s">
        <v>75</v>
      </c>
      <c r="G716" s="218" t="s">
        <v>247</v>
      </c>
      <c r="H716" s="74" t="s">
        <v>46</v>
      </c>
      <c r="I716" s="74" t="s">
        <v>40</v>
      </c>
      <c r="J716" s="75" t="s">
        <v>107</v>
      </c>
      <c r="K716" s="218" t="s">
        <v>54</v>
      </c>
      <c r="L716" s="66"/>
      <c r="M716" s="18"/>
      <c r="N716" s="18"/>
      <c r="O716" s="18"/>
      <c r="P716" s="293"/>
      <c r="Q716" s="295"/>
      <c r="R716" s="294"/>
      <c r="S716" s="18"/>
      <c r="T716" s="293"/>
      <c r="U716" s="295"/>
      <c r="V716" s="294"/>
      <c r="W716" s="18"/>
      <c r="X716" s="18"/>
      <c r="Y716" s="18"/>
      <c r="Z716" s="18"/>
    </row>
    <row r="717" spans="1:26" ht="16.5" customHeight="1" x14ac:dyDescent="0.35">
      <c r="A717" s="230"/>
      <c r="B717" s="236"/>
      <c r="C717" s="219"/>
      <c r="D717" s="219"/>
      <c r="E717" s="219"/>
      <c r="F717" s="219"/>
      <c r="G717" s="219"/>
      <c r="H717" s="84" t="s">
        <v>55</v>
      </c>
      <c r="I717" s="84" t="s">
        <v>36</v>
      </c>
      <c r="J717" s="111" t="s">
        <v>159</v>
      </c>
      <c r="K717" s="219"/>
      <c r="L717" s="66"/>
      <c r="M717" s="18"/>
      <c r="N717" s="18"/>
      <c r="O717" s="18"/>
      <c r="P717" s="284"/>
      <c r="Q717" s="284"/>
      <c r="R717" s="284"/>
      <c r="S717" s="18"/>
      <c r="T717" s="284"/>
      <c r="U717" s="284"/>
      <c r="V717" s="284"/>
      <c r="W717" s="18"/>
      <c r="X717" s="18"/>
      <c r="Y717" s="18"/>
      <c r="Z717" s="18"/>
    </row>
    <row r="718" spans="1:26" ht="16.5" customHeight="1" x14ac:dyDescent="0.35">
      <c r="A718" s="230"/>
      <c r="B718" s="236"/>
      <c r="C718" s="227" t="s">
        <v>186</v>
      </c>
      <c r="D718" s="218">
        <v>3</v>
      </c>
      <c r="E718" s="216">
        <v>1</v>
      </c>
      <c r="F718" s="218" t="s">
        <v>63</v>
      </c>
      <c r="G718" s="218" t="s">
        <v>34</v>
      </c>
      <c r="H718" s="84" t="s">
        <v>35</v>
      </c>
      <c r="I718" s="84" t="s">
        <v>44</v>
      </c>
      <c r="J718" s="111" t="s">
        <v>155</v>
      </c>
      <c r="K718" s="218" t="s">
        <v>38</v>
      </c>
      <c r="L718" s="66"/>
      <c r="M718" s="18"/>
      <c r="N718" s="18"/>
      <c r="O718" s="18"/>
      <c r="P718" s="293"/>
      <c r="Q718" s="295"/>
      <c r="R718" s="294"/>
      <c r="S718" s="18"/>
      <c r="T718" s="293"/>
      <c r="U718" s="295"/>
      <c r="V718" s="294"/>
      <c r="W718" s="18"/>
      <c r="X718" s="18"/>
      <c r="Y718" s="18"/>
      <c r="Z718" s="18"/>
    </row>
    <row r="719" spans="1:26" ht="16.5" customHeight="1" x14ac:dyDescent="0.35">
      <c r="A719" s="230"/>
      <c r="B719" s="236"/>
      <c r="C719" s="217"/>
      <c r="D719" s="217"/>
      <c r="E719" s="217"/>
      <c r="F719" s="217"/>
      <c r="G719" s="217"/>
      <c r="H719" s="84" t="s">
        <v>46</v>
      </c>
      <c r="I719" s="84" t="s">
        <v>44</v>
      </c>
      <c r="J719" s="111" t="s">
        <v>155</v>
      </c>
      <c r="K719" s="217"/>
      <c r="L719" s="66"/>
      <c r="M719" s="18"/>
      <c r="N719" s="18"/>
      <c r="O719" s="18"/>
      <c r="P719" s="284"/>
      <c r="Q719" s="284"/>
      <c r="R719" s="284"/>
      <c r="S719" s="18"/>
      <c r="T719" s="284"/>
      <c r="U719" s="284"/>
      <c r="V719" s="284"/>
      <c r="W719" s="18"/>
      <c r="X719" s="18"/>
      <c r="Y719" s="18"/>
      <c r="Z719" s="18"/>
    </row>
    <row r="720" spans="1:26" ht="16.5" customHeight="1" x14ac:dyDescent="0.35">
      <c r="A720" s="230"/>
      <c r="B720" s="236"/>
      <c r="C720" s="227" t="s">
        <v>229</v>
      </c>
      <c r="D720" s="218">
        <v>2</v>
      </c>
      <c r="E720" s="216">
        <v>1</v>
      </c>
      <c r="F720" s="218" t="s">
        <v>63</v>
      </c>
      <c r="G720" s="218" t="s">
        <v>64</v>
      </c>
      <c r="H720" s="84" t="s">
        <v>48</v>
      </c>
      <c r="I720" s="84" t="s">
        <v>349</v>
      </c>
      <c r="J720" s="111" t="s">
        <v>155</v>
      </c>
      <c r="K720" s="218" t="s">
        <v>38</v>
      </c>
      <c r="L720" s="66"/>
      <c r="M720" s="18"/>
      <c r="N720" s="18"/>
      <c r="O720" s="18"/>
      <c r="P720" s="293"/>
      <c r="Q720" s="295"/>
      <c r="R720" s="294"/>
      <c r="S720" s="18"/>
      <c r="T720" s="293"/>
      <c r="U720" s="295"/>
      <c r="V720" s="294"/>
      <c r="W720" s="18"/>
      <c r="X720" s="18"/>
      <c r="Y720" s="18"/>
      <c r="Z720" s="18"/>
    </row>
    <row r="721" spans="1:26" ht="16.5" customHeight="1" x14ac:dyDescent="0.35">
      <c r="A721" s="230"/>
      <c r="B721" s="236"/>
      <c r="C721" s="217"/>
      <c r="D721" s="217"/>
      <c r="E721" s="217"/>
      <c r="F721" s="217"/>
      <c r="G721" s="217"/>
      <c r="H721" s="84" t="s">
        <v>55</v>
      </c>
      <c r="I721" s="84" t="s">
        <v>349</v>
      </c>
      <c r="J721" s="111" t="s">
        <v>155</v>
      </c>
      <c r="K721" s="217"/>
      <c r="L721" s="66"/>
      <c r="M721" s="18"/>
      <c r="N721" s="18"/>
      <c r="O721" s="18"/>
      <c r="P721" s="284"/>
      <c r="Q721" s="284"/>
      <c r="R721" s="284"/>
      <c r="S721" s="18"/>
      <c r="T721" s="284"/>
      <c r="U721" s="284"/>
      <c r="V721" s="284"/>
      <c r="W721" s="18"/>
      <c r="X721" s="18"/>
      <c r="Y721" s="18"/>
      <c r="Z721" s="18"/>
    </row>
    <row r="722" spans="1:26" ht="16.5" customHeight="1" x14ac:dyDescent="0.35">
      <c r="A722" s="230"/>
      <c r="B722" s="236"/>
      <c r="C722" s="227" t="s">
        <v>279</v>
      </c>
      <c r="D722" s="218">
        <v>3</v>
      </c>
      <c r="E722" s="216">
        <v>1.5</v>
      </c>
      <c r="F722" s="218" t="s">
        <v>350</v>
      </c>
      <c r="G722" s="218" t="s">
        <v>101</v>
      </c>
      <c r="H722" s="84" t="s">
        <v>46</v>
      </c>
      <c r="I722" s="76" t="s">
        <v>40</v>
      </c>
      <c r="J722" s="77" t="s">
        <v>111</v>
      </c>
      <c r="K722" s="218" t="s">
        <v>38</v>
      </c>
      <c r="L722" s="66"/>
      <c r="M722" s="18"/>
      <c r="N722" s="18"/>
      <c r="O722" s="18"/>
      <c r="P722" s="293"/>
      <c r="Q722" s="295"/>
      <c r="R722" s="294"/>
      <c r="S722" s="18"/>
      <c r="T722" s="293"/>
      <c r="U722" s="295"/>
      <c r="V722" s="294"/>
      <c r="W722" s="18"/>
      <c r="X722" s="18"/>
      <c r="Y722" s="18"/>
      <c r="Z722" s="18"/>
    </row>
    <row r="723" spans="1:26" ht="16.5" customHeight="1" x14ac:dyDescent="0.35">
      <c r="A723" s="230"/>
      <c r="B723" s="236"/>
      <c r="C723" s="217"/>
      <c r="D723" s="217"/>
      <c r="E723" s="217"/>
      <c r="F723" s="217"/>
      <c r="G723" s="217"/>
      <c r="H723" s="84" t="s">
        <v>48</v>
      </c>
      <c r="I723" s="76" t="s">
        <v>40</v>
      </c>
      <c r="J723" s="77" t="s">
        <v>111</v>
      </c>
      <c r="K723" s="217"/>
      <c r="L723" s="66"/>
      <c r="M723" s="18"/>
      <c r="N723" s="18"/>
      <c r="O723" s="18"/>
      <c r="P723" s="284"/>
      <c r="Q723" s="284"/>
      <c r="R723" s="284"/>
      <c r="S723" s="18"/>
      <c r="T723" s="284"/>
      <c r="U723" s="284"/>
      <c r="V723" s="284"/>
      <c r="W723" s="18"/>
      <c r="X723" s="18"/>
      <c r="Y723" s="18"/>
      <c r="Z723" s="18"/>
    </row>
    <row r="724" spans="1:26" ht="16.5" customHeight="1" x14ac:dyDescent="0.35">
      <c r="A724" s="230"/>
      <c r="B724" s="236"/>
      <c r="C724" s="227" t="s">
        <v>231</v>
      </c>
      <c r="D724" s="218">
        <v>3</v>
      </c>
      <c r="E724" s="216">
        <v>1.5</v>
      </c>
      <c r="F724" s="218" t="s">
        <v>350</v>
      </c>
      <c r="G724" s="218" t="s">
        <v>64</v>
      </c>
      <c r="H724" s="74" t="s">
        <v>35</v>
      </c>
      <c r="I724" s="74" t="s">
        <v>232</v>
      </c>
      <c r="J724" s="76" t="s">
        <v>149</v>
      </c>
      <c r="K724" s="218" t="s">
        <v>54</v>
      </c>
      <c r="L724" s="66"/>
      <c r="M724" s="18"/>
      <c r="N724" s="18"/>
      <c r="O724" s="18"/>
      <c r="P724" s="293"/>
      <c r="Q724" s="295"/>
      <c r="R724" s="294"/>
      <c r="S724" s="18"/>
      <c r="T724" s="293"/>
      <c r="U724" s="295"/>
      <c r="V724" s="294"/>
      <c r="W724" s="18"/>
      <c r="X724" s="18"/>
      <c r="Y724" s="18"/>
      <c r="Z724" s="18"/>
    </row>
    <row r="725" spans="1:26" ht="16.5" customHeight="1" x14ac:dyDescent="0.35">
      <c r="A725" s="230"/>
      <c r="B725" s="236"/>
      <c r="C725" s="217"/>
      <c r="D725" s="217"/>
      <c r="E725" s="217"/>
      <c r="F725" s="217"/>
      <c r="G725" s="217"/>
      <c r="H725" s="74" t="s">
        <v>48</v>
      </c>
      <c r="I725" s="76" t="s">
        <v>232</v>
      </c>
      <c r="J725" s="76" t="s">
        <v>149</v>
      </c>
      <c r="K725" s="217"/>
      <c r="L725" s="66"/>
      <c r="M725" s="18"/>
      <c r="N725" s="18"/>
      <c r="O725" s="18"/>
      <c r="P725" s="284"/>
      <c r="Q725" s="284"/>
      <c r="R725" s="284"/>
      <c r="S725" s="18"/>
      <c r="T725" s="284"/>
      <c r="U725" s="284"/>
      <c r="V725" s="284"/>
      <c r="W725" s="18"/>
      <c r="X725" s="18"/>
      <c r="Y725" s="18"/>
      <c r="Z725" s="18"/>
    </row>
    <row r="726" spans="1:26" ht="16.5" customHeight="1" x14ac:dyDescent="0.35">
      <c r="A726" s="230"/>
      <c r="B726" s="236"/>
      <c r="C726" s="227" t="s">
        <v>161</v>
      </c>
      <c r="D726" s="218">
        <v>2</v>
      </c>
      <c r="E726" s="216">
        <v>2</v>
      </c>
      <c r="F726" s="218" t="s">
        <v>75</v>
      </c>
      <c r="G726" s="218" t="s">
        <v>351</v>
      </c>
      <c r="H726" s="74" t="s">
        <v>46</v>
      </c>
      <c r="I726" s="74" t="s">
        <v>52</v>
      </c>
      <c r="J726" s="74" t="s">
        <v>163</v>
      </c>
      <c r="K726" s="218" t="s">
        <v>38</v>
      </c>
      <c r="L726" s="66"/>
      <c r="M726" s="18"/>
      <c r="N726" s="18"/>
      <c r="O726" s="18"/>
      <c r="P726" s="293"/>
      <c r="Q726" s="295"/>
      <c r="R726" s="294"/>
      <c r="S726" s="18"/>
      <c r="T726" s="293"/>
      <c r="U726" s="295"/>
      <c r="V726" s="294"/>
      <c r="W726" s="18"/>
      <c r="X726" s="18"/>
      <c r="Y726" s="18"/>
      <c r="Z726" s="18"/>
    </row>
    <row r="727" spans="1:26" ht="16.5" customHeight="1" x14ac:dyDescent="0.35">
      <c r="A727" s="230"/>
      <c r="B727" s="240"/>
      <c r="C727" s="217"/>
      <c r="D727" s="217"/>
      <c r="E727" s="217"/>
      <c r="F727" s="217"/>
      <c r="G727" s="217"/>
      <c r="H727" s="74" t="s">
        <v>48</v>
      </c>
      <c r="I727" s="74" t="s">
        <v>56</v>
      </c>
      <c r="J727" s="74" t="s">
        <v>163</v>
      </c>
      <c r="K727" s="217"/>
      <c r="L727" s="66"/>
      <c r="M727" s="18"/>
      <c r="N727" s="18"/>
      <c r="O727" s="18"/>
      <c r="P727" s="284"/>
      <c r="Q727" s="284"/>
      <c r="R727" s="284"/>
      <c r="S727" s="18"/>
      <c r="T727" s="284"/>
      <c r="U727" s="284"/>
      <c r="V727" s="284"/>
      <c r="W727" s="18"/>
      <c r="X727" s="18"/>
      <c r="Y727" s="18"/>
      <c r="Z727" s="18"/>
    </row>
    <row r="728" spans="1:26" ht="16.5" customHeight="1" x14ac:dyDescent="0.35">
      <c r="A728" s="217"/>
      <c r="B728" s="228" t="s">
        <v>72</v>
      </c>
      <c r="C728" s="221"/>
      <c r="D728" s="222"/>
      <c r="E728" s="100">
        <f>SUM(E712:E727)</f>
        <v>16</v>
      </c>
      <c r="F728" s="220"/>
      <c r="G728" s="221"/>
      <c r="H728" s="221"/>
      <c r="I728" s="221"/>
      <c r="J728" s="221"/>
      <c r="K728" s="222"/>
      <c r="L728" s="66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6.5" customHeight="1" x14ac:dyDescent="0.35">
      <c r="A729" s="229">
        <v>43</v>
      </c>
      <c r="B729" s="235" t="s">
        <v>352</v>
      </c>
      <c r="C729" s="227" t="s">
        <v>353</v>
      </c>
      <c r="D729" s="218">
        <v>3</v>
      </c>
      <c r="E729" s="216">
        <v>1.5</v>
      </c>
      <c r="F729" s="218" t="s">
        <v>51</v>
      </c>
      <c r="G729" s="218" t="s">
        <v>76</v>
      </c>
      <c r="H729" s="74" t="s">
        <v>46</v>
      </c>
      <c r="I729" s="74" t="s">
        <v>36</v>
      </c>
      <c r="J729" s="74" t="s">
        <v>125</v>
      </c>
      <c r="K729" s="218" t="s">
        <v>38</v>
      </c>
      <c r="L729" s="97"/>
      <c r="M729" s="37"/>
      <c r="N729" s="37"/>
      <c r="O729" s="37"/>
      <c r="P729" s="293"/>
      <c r="Q729" s="295"/>
      <c r="R729" s="294"/>
      <c r="S729" s="18"/>
      <c r="T729" s="293"/>
      <c r="U729" s="295"/>
      <c r="V729" s="294"/>
      <c r="W729" s="18"/>
      <c r="X729" s="18"/>
      <c r="Y729" s="18"/>
      <c r="Z729" s="18"/>
    </row>
    <row r="730" spans="1:26" ht="16.5" customHeight="1" x14ac:dyDescent="0.35">
      <c r="A730" s="230"/>
      <c r="B730" s="236"/>
      <c r="C730" s="217"/>
      <c r="D730" s="217"/>
      <c r="E730" s="217"/>
      <c r="F730" s="217"/>
      <c r="G730" s="217"/>
      <c r="H730" s="74" t="s">
        <v>55</v>
      </c>
      <c r="I730" s="74" t="s">
        <v>44</v>
      </c>
      <c r="J730" s="74" t="s">
        <v>65</v>
      </c>
      <c r="K730" s="217"/>
      <c r="L730" s="66"/>
      <c r="M730" s="18"/>
      <c r="N730" s="18"/>
      <c r="O730" s="18"/>
      <c r="P730" s="284"/>
      <c r="Q730" s="284"/>
      <c r="R730" s="284"/>
      <c r="S730" s="18"/>
      <c r="T730" s="284"/>
      <c r="U730" s="284"/>
      <c r="V730" s="284"/>
      <c r="W730" s="18"/>
      <c r="X730" s="18"/>
      <c r="Y730" s="18"/>
      <c r="Z730" s="18"/>
    </row>
    <row r="731" spans="1:26" ht="16.5" customHeight="1" x14ac:dyDescent="0.35">
      <c r="A731" s="230"/>
      <c r="B731" s="236"/>
      <c r="C731" s="227" t="s">
        <v>353</v>
      </c>
      <c r="D731" s="218">
        <v>3</v>
      </c>
      <c r="E731" s="216">
        <v>1.5</v>
      </c>
      <c r="F731" s="218" t="s">
        <v>51</v>
      </c>
      <c r="G731" s="218" t="s">
        <v>79</v>
      </c>
      <c r="H731" s="74" t="s">
        <v>46</v>
      </c>
      <c r="I731" s="74" t="s">
        <v>40</v>
      </c>
      <c r="J731" s="74" t="s">
        <v>114</v>
      </c>
      <c r="K731" s="218" t="s">
        <v>54</v>
      </c>
      <c r="L731" s="66"/>
      <c r="M731" s="18"/>
      <c r="N731" s="18"/>
      <c r="O731" s="18"/>
      <c r="P731" s="293"/>
      <c r="Q731" s="295"/>
      <c r="R731" s="294"/>
      <c r="S731" s="18"/>
      <c r="T731" s="293"/>
      <c r="U731" s="295"/>
      <c r="V731" s="294"/>
      <c r="W731" s="18"/>
      <c r="X731" s="18"/>
      <c r="Y731" s="18"/>
      <c r="Z731" s="18"/>
    </row>
    <row r="732" spans="1:26" ht="16.5" customHeight="1" x14ac:dyDescent="0.35">
      <c r="A732" s="230"/>
      <c r="B732" s="236"/>
      <c r="C732" s="217"/>
      <c r="D732" s="217"/>
      <c r="E732" s="217"/>
      <c r="F732" s="217"/>
      <c r="G732" s="217"/>
      <c r="H732" s="74" t="s">
        <v>55</v>
      </c>
      <c r="I732" s="74" t="s">
        <v>44</v>
      </c>
      <c r="J732" s="74" t="s">
        <v>132</v>
      </c>
      <c r="K732" s="217"/>
      <c r="L732" s="66"/>
      <c r="M732" s="18"/>
      <c r="N732" s="18"/>
      <c r="O732" s="18"/>
      <c r="P732" s="284"/>
      <c r="Q732" s="284"/>
      <c r="R732" s="284"/>
      <c r="S732" s="18"/>
      <c r="T732" s="284"/>
      <c r="U732" s="284"/>
      <c r="V732" s="284"/>
      <c r="W732" s="18"/>
      <c r="X732" s="18"/>
      <c r="Y732" s="18"/>
      <c r="Z732" s="18"/>
    </row>
    <row r="733" spans="1:26" ht="16.5" customHeight="1" x14ac:dyDescent="0.35">
      <c r="A733" s="230"/>
      <c r="B733" s="236"/>
      <c r="C733" s="227" t="s">
        <v>354</v>
      </c>
      <c r="D733" s="218">
        <v>3</v>
      </c>
      <c r="E733" s="216">
        <v>1.5</v>
      </c>
      <c r="F733" s="218" t="s">
        <v>51</v>
      </c>
      <c r="G733" s="218" t="s">
        <v>79</v>
      </c>
      <c r="H733" s="74" t="s">
        <v>35</v>
      </c>
      <c r="I733" s="74" t="s">
        <v>44</v>
      </c>
      <c r="J733" s="74" t="s">
        <v>196</v>
      </c>
      <c r="K733" s="218" t="s">
        <v>38</v>
      </c>
      <c r="L733" s="66"/>
      <c r="M733" s="18"/>
      <c r="N733" s="18"/>
      <c r="O733" s="18"/>
      <c r="P733" s="293"/>
      <c r="Q733" s="295"/>
      <c r="R733" s="294"/>
      <c r="S733" s="18"/>
      <c r="T733" s="293"/>
      <c r="U733" s="295"/>
      <c r="V733" s="294"/>
      <c r="W733" s="18"/>
      <c r="X733" s="18"/>
      <c r="Y733" s="18"/>
      <c r="Z733" s="18"/>
    </row>
    <row r="734" spans="1:26" ht="16.5" customHeight="1" x14ac:dyDescent="0.35">
      <c r="A734" s="230"/>
      <c r="B734" s="236"/>
      <c r="C734" s="217"/>
      <c r="D734" s="217"/>
      <c r="E734" s="217"/>
      <c r="F734" s="217"/>
      <c r="G734" s="217"/>
      <c r="H734" s="74" t="s">
        <v>39</v>
      </c>
      <c r="I734" s="74" t="s">
        <v>44</v>
      </c>
      <c r="J734" s="74" t="s">
        <v>132</v>
      </c>
      <c r="K734" s="217"/>
      <c r="L734" s="66"/>
      <c r="M734" s="18"/>
      <c r="N734" s="18"/>
      <c r="O734" s="18"/>
      <c r="P734" s="284"/>
      <c r="Q734" s="284"/>
      <c r="R734" s="284"/>
      <c r="S734" s="18"/>
      <c r="T734" s="284"/>
      <c r="U734" s="284"/>
      <c r="V734" s="284"/>
      <c r="W734" s="18"/>
      <c r="X734" s="18"/>
      <c r="Y734" s="18"/>
      <c r="Z734" s="18"/>
    </row>
    <row r="735" spans="1:26" ht="16.5" customHeight="1" x14ac:dyDescent="0.35">
      <c r="A735" s="230"/>
      <c r="B735" s="236"/>
      <c r="C735" s="227" t="s">
        <v>355</v>
      </c>
      <c r="D735" s="218">
        <v>3</v>
      </c>
      <c r="E735" s="216">
        <v>3</v>
      </c>
      <c r="F735" s="218" t="s">
        <v>51</v>
      </c>
      <c r="G735" s="218" t="s">
        <v>90</v>
      </c>
      <c r="H735" s="74" t="s">
        <v>46</v>
      </c>
      <c r="I735" s="74" t="s">
        <v>44</v>
      </c>
      <c r="J735" s="74" t="s">
        <v>124</v>
      </c>
      <c r="K735" s="218" t="s">
        <v>54</v>
      </c>
      <c r="L735" s="66"/>
      <c r="M735" s="18"/>
      <c r="N735" s="18"/>
      <c r="O735" s="18"/>
      <c r="P735" s="293"/>
      <c r="Q735" s="295"/>
      <c r="R735" s="294"/>
      <c r="S735" s="18"/>
      <c r="T735" s="293"/>
      <c r="U735" s="295"/>
      <c r="V735" s="294"/>
      <c r="W735" s="18"/>
      <c r="X735" s="18"/>
      <c r="Y735" s="18"/>
      <c r="Z735" s="18"/>
    </row>
    <row r="736" spans="1:26" ht="16.5" customHeight="1" x14ac:dyDescent="0.35">
      <c r="A736" s="230"/>
      <c r="B736" s="236"/>
      <c r="C736" s="217"/>
      <c r="D736" s="217"/>
      <c r="E736" s="217"/>
      <c r="F736" s="217"/>
      <c r="G736" s="217"/>
      <c r="H736" s="74" t="s">
        <v>39</v>
      </c>
      <c r="I736" s="74" t="s">
        <v>91</v>
      </c>
      <c r="J736" s="74" t="s">
        <v>65</v>
      </c>
      <c r="K736" s="217"/>
      <c r="L736" s="66"/>
      <c r="M736" s="18"/>
      <c r="N736" s="18"/>
      <c r="O736" s="18"/>
      <c r="P736" s="284"/>
      <c r="Q736" s="284"/>
      <c r="R736" s="284"/>
      <c r="S736" s="18"/>
      <c r="T736" s="284"/>
      <c r="U736" s="284"/>
      <c r="V736" s="284"/>
      <c r="W736" s="18"/>
      <c r="X736" s="18"/>
      <c r="Y736" s="18"/>
      <c r="Z736" s="18"/>
    </row>
    <row r="737" spans="1:26" ht="16.5" customHeight="1" x14ac:dyDescent="0.35">
      <c r="A737" s="230"/>
      <c r="B737" s="236"/>
      <c r="C737" s="227" t="s">
        <v>50</v>
      </c>
      <c r="D737" s="218">
        <v>3</v>
      </c>
      <c r="E737" s="216">
        <v>1.5</v>
      </c>
      <c r="F737" s="218" t="s">
        <v>158</v>
      </c>
      <c r="G737" s="218" t="s">
        <v>34</v>
      </c>
      <c r="H737" s="74" t="s">
        <v>35</v>
      </c>
      <c r="I737" s="74" t="s">
        <v>52</v>
      </c>
      <c r="J737" s="74" t="s">
        <v>78</v>
      </c>
      <c r="K737" s="218" t="s">
        <v>38</v>
      </c>
      <c r="L737" s="66"/>
      <c r="M737" s="18"/>
      <c r="N737" s="18"/>
      <c r="O737" s="18"/>
      <c r="P737" s="293"/>
      <c r="Q737" s="295"/>
      <c r="R737" s="294"/>
      <c r="S737" s="18"/>
      <c r="T737" s="293"/>
      <c r="U737" s="295"/>
      <c r="V737" s="294"/>
      <c r="W737" s="18"/>
      <c r="X737" s="18"/>
      <c r="Y737" s="18"/>
      <c r="Z737" s="18"/>
    </row>
    <row r="738" spans="1:26" ht="16.5" customHeight="1" x14ac:dyDescent="0.35">
      <c r="A738" s="230"/>
      <c r="B738" s="236"/>
      <c r="C738" s="217"/>
      <c r="D738" s="217"/>
      <c r="E738" s="217"/>
      <c r="F738" s="217"/>
      <c r="G738" s="217"/>
      <c r="H738" s="74" t="s">
        <v>48</v>
      </c>
      <c r="I738" s="74" t="s">
        <v>123</v>
      </c>
      <c r="J738" s="74" t="s">
        <v>150</v>
      </c>
      <c r="K738" s="217"/>
      <c r="L738" s="66"/>
      <c r="M738" s="18"/>
      <c r="N738" s="18"/>
      <c r="O738" s="18"/>
      <c r="P738" s="284"/>
      <c r="Q738" s="284"/>
      <c r="R738" s="284"/>
      <c r="S738" s="18"/>
      <c r="T738" s="284"/>
      <c r="U738" s="284"/>
      <c r="V738" s="284"/>
      <c r="W738" s="18"/>
      <c r="X738" s="18"/>
      <c r="Y738" s="18"/>
      <c r="Z738" s="18"/>
    </row>
    <row r="739" spans="1:26" ht="16.5" customHeight="1" x14ac:dyDescent="0.35">
      <c r="A739" s="230"/>
      <c r="B739" s="236"/>
      <c r="C739" s="227" t="s">
        <v>187</v>
      </c>
      <c r="D739" s="218">
        <v>3</v>
      </c>
      <c r="E739" s="216">
        <v>1.5</v>
      </c>
      <c r="F739" s="218" t="s">
        <v>158</v>
      </c>
      <c r="G739" s="218" t="s">
        <v>136</v>
      </c>
      <c r="H739" s="74" t="s">
        <v>35</v>
      </c>
      <c r="I739" s="74" t="s">
        <v>40</v>
      </c>
      <c r="J739" s="74" t="s">
        <v>124</v>
      </c>
      <c r="K739" s="218" t="s">
        <v>54</v>
      </c>
      <c r="L739" s="66"/>
      <c r="M739" s="18"/>
      <c r="N739" s="18"/>
      <c r="O739" s="18"/>
      <c r="P739" s="293"/>
      <c r="Q739" s="295"/>
      <c r="R739" s="294"/>
      <c r="S739" s="18"/>
      <c r="T739" s="293"/>
      <c r="U739" s="295"/>
      <c r="V739" s="294"/>
      <c r="W739" s="18"/>
      <c r="X739" s="18"/>
      <c r="Y739" s="18"/>
      <c r="Z739" s="18"/>
    </row>
    <row r="740" spans="1:26" ht="16.5" customHeight="1" x14ac:dyDescent="0.35">
      <c r="A740" s="230"/>
      <c r="B740" s="236"/>
      <c r="C740" s="217"/>
      <c r="D740" s="217"/>
      <c r="E740" s="217"/>
      <c r="F740" s="217"/>
      <c r="G740" s="217"/>
      <c r="H740" s="74" t="s">
        <v>55</v>
      </c>
      <c r="I740" s="74" t="s">
        <v>66</v>
      </c>
      <c r="J740" s="74" t="s">
        <v>107</v>
      </c>
      <c r="K740" s="217"/>
      <c r="L740" s="66"/>
      <c r="M740" s="18"/>
      <c r="N740" s="18"/>
      <c r="O740" s="18"/>
      <c r="P740" s="284"/>
      <c r="Q740" s="284"/>
      <c r="R740" s="284"/>
      <c r="S740" s="18"/>
      <c r="T740" s="284"/>
      <c r="U740" s="284"/>
      <c r="V740" s="284"/>
      <c r="W740" s="18"/>
      <c r="X740" s="18"/>
      <c r="Y740" s="18"/>
      <c r="Z740" s="18"/>
    </row>
    <row r="741" spans="1:26" ht="16.5" customHeight="1" x14ac:dyDescent="0.35">
      <c r="A741" s="230"/>
      <c r="B741" s="236"/>
      <c r="C741" s="227" t="s">
        <v>62</v>
      </c>
      <c r="D741" s="218">
        <v>3</v>
      </c>
      <c r="E741" s="216">
        <v>1.5</v>
      </c>
      <c r="F741" s="218" t="s">
        <v>63</v>
      </c>
      <c r="G741" s="218" t="s">
        <v>64</v>
      </c>
      <c r="H741" s="74" t="s">
        <v>48</v>
      </c>
      <c r="I741" s="74" t="s">
        <v>40</v>
      </c>
      <c r="J741" s="74" t="s">
        <v>65</v>
      </c>
      <c r="K741" s="218" t="s">
        <v>38</v>
      </c>
      <c r="L741" s="66"/>
      <c r="M741" s="18"/>
      <c r="N741" s="18"/>
      <c r="O741" s="18"/>
      <c r="P741" s="293"/>
      <c r="Q741" s="295"/>
      <c r="R741" s="294"/>
      <c r="S741" s="18"/>
      <c r="T741" s="18"/>
      <c r="U741" s="18"/>
      <c r="V741" s="18"/>
      <c r="W741" s="18"/>
      <c r="X741" s="18"/>
      <c r="Y741" s="18"/>
      <c r="Z741" s="18"/>
    </row>
    <row r="742" spans="1:26" ht="16.5" customHeight="1" x14ac:dyDescent="0.35">
      <c r="A742" s="230"/>
      <c r="B742" s="236"/>
      <c r="C742" s="217"/>
      <c r="D742" s="217"/>
      <c r="E742" s="217"/>
      <c r="F742" s="217"/>
      <c r="G742" s="217"/>
      <c r="H742" s="74" t="s">
        <v>55</v>
      </c>
      <c r="I742" s="74" t="s">
        <v>66</v>
      </c>
      <c r="J742" s="74" t="s">
        <v>65</v>
      </c>
      <c r="K742" s="217"/>
      <c r="L742" s="66"/>
      <c r="M742" s="18"/>
      <c r="N742" s="18"/>
      <c r="O742" s="18"/>
      <c r="P742" s="284"/>
      <c r="Q742" s="284"/>
      <c r="R742" s="284"/>
      <c r="S742" s="18"/>
      <c r="T742" s="18"/>
      <c r="U742" s="18"/>
      <c r="V742" s="18"/>
      <c r="W742" s="18"/>
      <c r="X742" s="18"/>
      <c r="Y742" s="18"/>
      <c r="Z742" s="18"/>
    </row>
    <row r="743" spans="1:26" ht="16.5" customHeight="1" x14ac:dyDescent="0.35">
      <c r="A743" s="230"/>
      <c r="B743" s="236"/>
      <c r="C743" s="227" t="s">
        <v>182</v>
      </c>
      <c r="D743" s="218">
        <v>3</v>
      </c>
      <c r="E743" s="216">
        <v>1.5</v>
      </c>
      <c r="F743" s="218" t="s">
        <v>68</v>
      </c>
      <c r="G743" s="218" t="s">
        <v>42</v>
      </c>
      <c r="H743" s="74" t="s">
        <v>35</v>
      </c>
      <c r="I743" s="76" t="s">
        <v>36</v>
      </c>
      <c r="J743" s="76" t="s">
        <v>110</v>
      </c>
      <c r="K743" s="218" t="s">
        <v>54</v>
      </c>
      <c r="L743" s="66"/>
      <c r="M743" s="18"/>
      <c r="N743" s="18"/>
      <c r="O743" s="18"/>
      <c r="P743" s="293"/>
      <c r="Q743" s="295"/>
      <c r="R743" s="294"/>
      <c r="S743" s="18"/>
      <c r="T743" s="293"/>
      <c r="U743" s="295"/>
      <c r="V743" s="294"/>
      <c r="W743" s="18"/>
      <c r="X743" s="18"/>
      <c r="Y743" s="18"/>
      <c r="Z743" s="18"/>
    </row>
    <row r="744" spans="1:26" ht="16.5" customHeight="1" x14ac:dyDescent="0.35">
      <c r="A744" s="230"/>
      <c r="B744" s="236"/>
      <c r="C744" s="217"/>
      <c r="D744" s="217"/>
      <c r="E744" s="217"/>
      <c r="F744" s="217"/>
      <c r="G744" s="217"/>
      <c r="H744" s="74" t="s">
        <v>48</v>
      </c>
      <c r="I744" s="76" t="s">
        <v>36</v>
      </c>
      <c r="J744" s="76" t="s">
        <v>110</v>
      </c>
      <c r="K744" s="217"/>
      <c r="L744" s="66"/>
      <c r="M744" s="18"/>
      <c r="N744" s="18"/>
      <c r="O744" s="18"/>
      <c r="P744" s="284"/>
      <c r="Q744" s="284"/>
      <c r="R744" s="284"/>
      <c r="S744" s="18"/>
      <c r="T744" s="284"/>
      <c r="U744" s="284"/>
      <c r="V744" s="284"/>
      <c r="W744" s="18"/>
      <c r="X744" s="18"/>
      <c r="Y744" s="18"/>
      <c r="Z744" s="18"/>
    </row>
    <row r="745" spans="1:26" ht="16.5" customHeight="1" x14ac:dyDescent="0.35">
      <c r="A745" s="230"/>
      <c r="B745" s="236"/>
      <c r="C745" s="227" t="s">
        <v>231</v>
      </c>
      <c r="D745" s="218">
        <v>3</v>
      </c>
      <c r="E745" s="216">
        <v>1.5</v>
      </c>
      <c r="F745" s="218" t="s">
        <v>68</v>
      </c>
      <c r="G745" s="218" t="s">
        <v>69</v>
      </c>
      <c r="H745" s="74" t="s">
        <v>35</v>
      </c>
      <c r="I745" s="76" t="s">
        <v>146</v>
      </c>
      <c r="J745" s="74" t="s">
        <v>71</v>
      </c>
      <c r="K745" s="218" t="s">
        <v>54</v>
      </c>
      <c r="L745" s="66"/>
      <c r="M745" s="18"/>
      <c r="N745" s="18"/>
      <c r="O745" s="18"/>
      <c r="P745" s="293"/>
      <c r="Q745" s="295"/>
      <c r="R745" s="294"/>
      <c r="S745" s="18"/>
      <c r="T745" s="293"/>
      <c r="U745" s="295"/>
      <c r="V745" s="294"/>
      <c r="W745" s="18"/>
      <c r="X745" s="18"/>
      <c r="Y745" s="18"/>
      <c r="Z745" s="18"/>
    </row>
    <row r="746" spans="1:26" ht="16.5" customHeight="1" x14ac:dyDescent="0.35">
      <c r="A746" s="230"/>
      <c r="B746" s="240"/>
      <c r="C746" s="217"/>
      <c r="D746" s="217"/>
      <c r="E746" s="217"/>
      <c r="F746" s="217"/>
      <c r="G746" s="217"/>
      <c r="H746" s="74" t="s">
        <v>48</v>
      </c>
      <c r="I746" s="76" t="s">
        <v>146</v>
      </c>
      <c r="J746" s="76" t="s">
        <v>71</v>
      </c>
      <c r="K746" s="217"/>
      <c r="L746" s="66"/>
      <c r="M746" s="18"/>
      <c r="N746" s="18"/>
      <c r="O746" s="18"/>
      <c r="P746" s="284"/>
      <c r="Q746" s="284"/>
      <c r="R746" s="284"/>
      <c r="S746" s="18"/>
      <c r="T746" s="284"/>
      <c r="U746" s="284"/>
      <c r="V746" s="284"/>
      <c r="W746" s="18"/>
      <c r="X746" s="18"/>
      <c r="Y746" s="18"/>
      <c r="Z746" s="18"/>
    </row>
    <row r="747" spans="1:26" ht="16.5" customHeight="1" x14ac:dyDescent="0.35">
      <c r="A747" s="217"/>
      <c r="B747" s="228" t="s">
        <v>72</v>
      </c>
      <c r="C747" s="221"/>
      <c r="D747" s="222"/>
      <c r="E747" s="71">
        <f>SUM(E729:E746)</f>
        <v>15</v>
      </c>
      <c r="F747" s="220"/>
      <c r="G747" s="221"/>
      <c r="H747" s="221"/>
      <c r="I747" s="221"/>
      <c r="J747" s="221"/>
      <c r="K747" s="222"/>
      <c r="L747" s="66"/>
      <c r="M747" s="18"/>
      <c r="N747" s="18"/>
      <c r="O747" s="18"/>
      <c r="P747" s="18"/>
      <c r="Q747" s="18"/>
      <c r="R747" s="18"/>
      <c r="S747" s="18"/>
      <c r="T747" s="293"/>
      <c r="U747" s="295"/>
      <c r="V747" s="294"/>
      <c r="W747" s="18"/>
      <c r="X747" s="18"/>
      <c r="Y747" s="18"/>
      <c r="Z747" s="18"/>
    </row>
    <row r="748" spans="1:26" ht="16.5" customHeight="1" x14ac:dyDescent="0.35">
      <c r="A748" s="229">
        <v>44</v>
      </c>
      <c r="B748" s="238" t="s">
        <v>356</v>
      </c>
      <c r="C748" s="227" t="s">
        <v>186</v>
      </c>
      <c r="D748" s="218">
        <v>3</v>
      </c>
      <c r="E748" s="216">
        <v>3</v>
      </c>
      <c r="F748" s="218" t="s">
        <v>75</v>
      </c>
      <c r="G748" s="218" t="s">
        <v>97</v>
      </c>
      <c r="H748" s="74" t="s">
        <v>46</v>
      </c>
      <c r="I748" s="74" t="s">
        <v>108</v>
      </c>
      <c r="J748" s="74" t="s">
        <v>357</v>
      </c>
      <c r="K748" s="218" t="s">
        <v>54</v>
      </c>
      <c r="L748" s="66"/>
      <c r="M748" s="18"/>
      <c r="N748" s="18"/>
      <c r="O748" s="18"/>
      <c r="P748" s="293"/>
      <c r="Q748" s="295"/>
      <c r="R748" s="294"/>
      <c r="S748" s="18"/>
      <c r="T748" s="284"/>
      <c r="U748" s="284"/>
      <c r="V748" s="284"/>
      <c r="W748" s="18"/>
      <c r="X748" s="18"/>
      <c r="Y748" s="18"/>
      <c r="Z748" s="18"/>
    </row>
    <row r="749" spans="1:26" ht="16.5" customHeight="1" x14ac:dyDescent="0.35">
      <c r="A749" s="230"/>
      <c r="B749" s="230"/>
      <c r="C749" s="217"/>
      <c r="D749" s="217"/>
      <c r="E749" s="217"/>
      <c r="F749" s="217"/>
      <c r="G749" s="217"/>
      <c r="H749" s="74" t="s">
        <v>48</v>
      </c>
      <c r="I749" s="74" t="s">
        <v>108</v>
      </c>
      <c r="J749" s="74" t="s">
        <v>357</v>
      </c>
      <c r="K749" s="217"/>
      <c r="L749" s="66"/>
      <c r="M749" s="18"/>
      <c r="N749" s="18"/>
      <c r="O749" s="18"/>
      <c r="P749" s="284"/>
      <c r="Q749" s="284"/>
      <c r="R749" s="284"/>
      <c r="S749" s="18"/>
      <c r="T749" s="293"/>
      <c r="U749" s="295"/>
      <c r="V749" s="294"/>
      <c r="W749" s="18"/>
      <c r="X749" s="18"/>
      <c r="Y749" s="18"/>
      <c r="Z749" s="18"/>
    </row>
    <row r="750" spans="1:26" ht="16.5" customHeight="1" x14ac:dyDescent="0.35">
      <c r="A750" s="230"/>
      <c r="B750" s="230"/>
      <c r="C750" s="227" t="s">
        <v>168</v>
      </c>
      <c r="D750" s="218">
        <v>3</v>
      </c>
      <c r="E750" s="216">
        <v>1.5</v>
      </c>
      <c r="F750" s="218" t="s">
        <v>75</v>
      </c>
      <c r="G750" s="218" t="s">
        <v>136</v>
      </c>
      <c r="H750" s="74" t="s">
        <v>46</v>
      </c>
      <c r="I750" s="74" t="s">
        <v>91</v>
      </c>
      <c r="J750" s="74" t="s">
        <v>65</v>
      </c>
      <c r="K750" s="218" t="s">
        <v>54</v>
      </c>
      <c r="L750" s="66"/>
      <c r="M750" s="18"/>
      <c r="N750" s="18"/>
      <c r="O750" s="18"/>
      <c r="P750" s="293"/>
      <c r="Q750" s="295"/>
      <c r="R750" s="294"/>
      <c r="S750" s="18"/>
      <c r="T750" s="284"/>
      <c r="U750" s="284"/>
      <c r="V750" s="284"/>
      <c r="W750" s="18"/>
      <c r="X750" s="18"/>
      <c r="Y750" s="18"/>
      <c r="Z750" s="18"/>
    </row>
    <row r="751" spans="1:26" ht="16.5" customHeight="1" x14ac:dyDescent="0.35">
      <c r="A751" s="230"/>
      <c r="B751" s="230"/>
      <c r="C751" s="217"/>
      <c r="D751" s="217"/>
      <c r="E751" s="217"/>
      <c r="F751" s="217"/>
      <c r="G751" s="217"/>
      <c r="H751" s="74" t="s">
        <v>55</v>
      </c>
      <c r="I751" s="74" t="s">
        <v>36</v>
      </c>
      <c r="J751" s="74" t="s">
        <v>152</v>
      </c>
      <c r="K751" s="217"/>
      <c r="L751" s="66"/>
      <c r="M751" s="18"/>
      <c r="N751" s="18"/>
      <c r="O751" s="18"/>
      <c r="P751" s="284"/>
      <c r="Q751" s="284"/>
      <c r="R751" s="284"/>
      <c r="S751" s="18"/>
      <c r="T751" s="18"/>
      <c r="U751" s="18"/>
      <c r="V751" s="18"/>
      <c r="W751" s="18"/>
      <c r="X751" s="18"/>
      <c r="Y751" s="18"/>
      <c r="Z751" s="18"/>
    </row>
    <row r="752" spans="1:26" ht="16.5" customHeight="1" x14ac:dyDescent="0.35">
      <c r="A752" s="230"/>
      <c r="B752" s="230"/>
      <c r="C752" s="227" t="s">
        <v>168</v>
      </c>
      <c r="D752" s="218">
        <v>3</v>
      </c>
      <c r="E752" s="216">
        <v>1.5</v>
      </c>
      <c r="F752" s="218" t="s">
        <v>75</v>
      </c>
      <c r="G752" s="218" t="s">
        <v>76</v>
      </c>
      <c r="H752" s="74" t="s">
        <v>39</v>
      </c>
      <c r="I752" s="74" t="s">
        <v>66</v>
      </c>
      <c r="J752" s="74" t="s">
        <v>132</v>
      </c>
      <c r="K752" s="218" t="s">
        <v>54</v>
      </c>
      <c r="L752" s="66"/>
      <c r="M752" s="18"/>
      <c r="N752" s="18"/>
      <c r="O752" s="18"/>
      <c r="P752" s="293"/>
      <c r="Q752" s="295"/>
      <c r="R752" s="294"/>
      <c r="S752" s="18"/>
      <c r="T752" s="293"/>
      <c r="U752" s="295"/>
      <c r="V752" s="294"/>
      <c r="W752" s="18"/>
      <c r="X752" s="18"/>
      <c r="Y752" s="18"/>
      <c r="Z752" s="18"/>
    </row>
    <row r="753" spans="1:26" ht="16.5" customHeight="1" x14ac:dyDescent="0.35">
      <c r="A753" s="230"/>
      <c r="B753" s="230"/>
      <c r="C753" s="217"/>
      <c r="D753" s="217"/>
      <c r="E753" s="217"/>
      <c r="F753" s="217"/>
      <c r="G753" s="217"/>
      <c r="H753" s="74" t="s">
        <v>48</v>
      </c>
      <c r="I753" s="74" t="s">
        <v>40</v>
      </c>
      <c r="J753" s="74" t="s">
        <v>169</v>
      </c>
      <c r="K753" s="217"/>
      <c r="L753" s="66"/>
      <c r="M753" s="18"/>
      <c r="N753" s="18"/>
      <c r="O753" s="18"/>
      <c r="P753" s="284"/>
      <c r="Q753" s="284"/>
      <c r="R753" s="284"/>
      <c r="S753" s="18"/>
      <c r="T753" s="284"/>
      <c r="U753" s="284"/>
      <c r="V753" s="284"/>
      <c r="W753" s="18"/>
      <c r="X753" s="18"/>
      <c r="Y753" s="18"/>
      <c r="Z753" s="18"/>
    </row>
    <row r="754" spans="1:26" ht="16.5" customHeight="1" x14ac:dyDescent="0.35">
      <c r="A754" s="230"/>
      <c r="B754" s="230"/>
      <c r="C754" s="227" t="s">
        <v>168</v>
      </c>
      <c r="D754" s="218">
        <v>3</v>
      </c>
      <c r="E754" s="216">
        <v>1.5</v>
      </c>
      <c r="F754" s="218" t="s">
        <v>75</v>
      </c>
      <c r="G754" s="218" t="s">
        <v>79</v>
      </c>
      <c r="H754" s="74" t="s">
        <v>46</v>
      </c>
      <c r="I754" s="74" t="s">
        <v>36</v>
      </c>
      <c r="J754" s="74" t="s">
        <v>170</v>
      </c>
      <c r="K754" s="218" t="s">
        <v>54</v>
      </c>
      <c r="L754" s="66"/>
      <c r="M754" s="18"/>
      <c r="N754" s="18"/>
      <c r="O754" s="18"/>
      <c r="P754" s="293"/>
      <c r="Q754" s="295"/>
      <c r="R754" s="294"/>
      <c r="S754" s="18"/>
      <c r="T754" s="293"/>
      <c r="U754" s="295"/>
      <c r="V754" s="294"/>
      <c r="W754" s="18"/>
      <c r="X754" s="18"/>
      <c r="Y754" s="18"/>
      <c r="Z754" s="18"/>
    </row>
    <row r="755" spans="1:26" ht="16.5" customHeight="1" x14ac:dyDescent="0.35">
      <c r="A755" s="230"/>
      <c r="B755" s="230"/>
      <c r="C755" s="217"/>
      <c r="D755" s="217"/>
      <c r="E755" s="217"/>
      <c r="F755" s="217"/>
      <c r="G755" s="217"/>
      <c r="H755" s="74" t="s">
        <v>55</v>
      </c>
      <c r="I755" s="74" t="s">
        <v>44</v>
      </c>
      <c r="J755" s="74" t="s">
        <v>169</v>
      </c>
      <c r="K755" s="217"/>
      <c r="L755" s="66"/>
      <c r="M755" s="18"/>
      <c r="N755" s="18"/>
      <c r="O755" s="18"/>
      <c r="P755" s="284"/>
      <c r="Q755" s="284"/>
      <c r="R755" s="284"/>
      <c r="S755" s="18"/>
      <c r="T755" s="284"/>
      <c r="U755" s="284"/>
      <c r="V755" s="284"/>
      <c r="W755" s="18"/>
      <c r="X755" s="18"/>
      <c r="Y755" s="18"/>
      <c r="Z755" s="18"/>
    </row>
    <row r="756" spans="1:26" ht="16.5" customHeight="1" x14ac:dyDescent="0.35">
      <c r="A756" s="230"/>
      <c r="B756" s="230"/>
      <c r="C756" s="227" t="s">
        <v>171</v>
      </c>
      <c r="D756" s="218">
        <v>2</v>
      </c>
      <c r="E756" s="216">
        <v>1</v>
      </c>
      <c r="F756" s="218" t="s">
        <v>75</v>
      </c>
      <c r="G756" s="218" t="s">
        <v>175</v>
      </c>
      <c r="H756" s="74" t="s">
        <v>46</v>
      </c>
      <c r="I756" s="74" t="s">
        <v>123</v>
      </c>
      <c r="J756" s="75" t="s">
        <v>176</v>
      </c>
      <c r="K756" s="218" t="s">
        <v>38</v>
      </c>
      <c r="L756" s="66"/>
      <c r="M756" s="22"/>
      <c r="N756" s="22"/>
      <c r="O756" s="22"/>
      <c r="P756" s="293"/>
      <c r="Q756" s="295"/>
      <c r="R756" s="294"/>
      <c r="S756" s="18"/>
      <c r="T756" s="293"/>
      <c r="U756" s="295"/>
      <c r="V756" s="294"/>
      <c r="W756" s="18"/>
      <c r="X756" s="18"/>
      <c r="Y756" s="18"/>
      <c r="Z756" s="18"/>
    </row>
    <row r="757" spans="1:26" ht="16.5" customHeight="1" x14ac:dyDescent="0.35">
      <c r="A757" s="230"/>
      <c r="B757" s="230"/>
      <c r="C757" s="217"/>
      <c r="D757" s="217"/>
      <c r="E757" s="217"/>
      <c r="F757" s="217"/>
      <c r="G757" s="217"/>
      <c r="H757" s="74" t="s">
        <v>55</v>
      </c>
      <c r="I757" s="74" t="s">
        <v>56</v>
      </c>
      <c r="J757" s="75" t="s">
        <v>41</v>
      </c>
      <c r="K757" s="217"/>
      <c r="L757" s="66"/>
      <c r="M757" s="22"/>
      <c r="N757" s="22"/>
      <c r="O757" s="22"/>
      <c r="P757" s="284"/>
      <c r="Q757" s="284"/>
      <c r="R757" s="284"/>
      <c r="S757" s="18"/>
      <c r="T757" s="284"/>
      <c r="U757" s="284"/>
      <c r="V757" s="284"/>
      <c r="W757" s="18"/>
      <c r="X757" s="18"/>
      <c r="Y757" s="18"/>
      <c r="Z757" s="18"/>
    </row>
    <row r="758" spans="1:26" ht="16.5" customHeight="1" x14ac:dyDescent="0.35">
      <c r="A758" s="230"/>
      <c r="B758" s="230"/>
      <c r="C758" s="227" t="s">
        <v>171</v>
      </c>
      <c r="D758" s="218">
        <v>2</v>
      </c>
      <c r="E758" s="216">
        <v>1</v>
      </c>
      <c r="F758" s="218" t="s">
        <v>75</v>
      </c>
      <c r="G758" s="218" t="s">
        <v>177</v>
      </c>
      <c r="H758" s="74" t="s">
        <v>46</v>
      </c>
      <c r="I758" s="74" t="s">
        <v>56</v>
      </c>
      <c r="J758" s="74" t="s">
        <v>78</v>
      </c>
      <c r="K758" s="218" t="s">
        <v>38</v>
      </c>
      <c r="L758" s="66"/>
      <c r="M758" s="22"/>
      <c r="N758" s="22"/>
      <c r="O758" s="22"/>
      <c r="P758" s="293"/>
      <c r="Q758" s="295"/>
      <c r="R758" s="294"/>
      <c r="S758" s="18"/>
      <c r="T758" s="293"/>
      <c r="U758" s="295"/>
      <c r="V758" s="294"/>
      <c r="W758" s="18"/>
      <c r="X758" s="18"/>
      <c r="Y758" s="18"/>
      <c r="Z758" s="18"/>
    </row>
    <row r="759" spans="1:26" ht="16.5" customHeight="1" x14ac:dyDescent="0.35">
      <c r="A759" s="230"/>
      <c r="B759" s="230"/>
      <c r="C759" s="217"/>
      <c r="D759" s="217"/>
      <c r="E759" s="217"/>
      <c r="F759" s="217"/>
      <c r="G759" s="217"/>
      <c r="H759" s="74" t="s">
        <v>55</v>
      </c>
      <c r="I759" s="74" t="s">
        <v>131</v>
      </c>
      <c r="J759" s="75" t="s">
        <v>47</v>
      </c>
      <c r="K759" s="219"/>
      <c r="L759" s="66"/>
      <c r="M759" s="22"/>
      <c r="N759" s="22"/>
      <c r="O759" s="22"/>
      <c r="P759" s="284"/>
      <c r="Q759" s="284"/>
      <c r="R759" s="284"/>
      <c r="S759" s="18"/>
      <c r="T759" s="284"/>
      <c r="U759" s="284"/>
      <c r="V759" s="284"/>
      <c r="W759" s="18"/>
      <c r="X759" s="18"/>
      <c r="Y759" s="18"/>
      <c r="Z759" s="18"/>
    </row>
    <row r="760" spans="1:26" ht="16.5" customHeight="1" x14ac:dyDescent="0.35">
      <c r="A760" s="230"/>
      <c r="B760" s="230"/>
      <c r="C760" s="227" t="s">
        <v>171</v>
      </c>
      <c r="D760" s="218">
        <v>2</v>
      </c>
      <c r="E760" s="216">
        <v>1</v>
      </c>
      <c r="F760" s="218" t="s">
        <v>75</v>
      </c>
      <c r="G760" s="218" t="s">
        <v>178</v>
      </c>
      <c r="H760" s="74" t="s">
        <v>35</v>
      </c>
      <c r="I760" s="74" t="s">
        <v>123</v>
      </c>
      <c r="J760" s="74" t="s">
        <v>53</v>
      </c>
      <c r="K760" s="218" t="s">
        <v>54</v>
      </c>
      <c r="L760" s="66"/>
      <c r="M760" s="22"/>
      <c r="N760" s="22"/>
      <c r="O760" s="22"/>
      <c r="P760" s="293"/>
      <c r="Q760" s="295"/>
      <c r="R760" s="294"/>
      <c r="S760" s="18"/>
      <c r="T760" s="293"/>
      <c r="U760" s="295"/>
      <c r="V760" s="294"/>
      <c r="W760" s="18"/>
      <c r="X760" s="18"/>
      <c r="Y760" s="18"/>
      <c r="Z760" s="18"/>
    </row>
    <row r="761" spans="1:26" ht="16.5" customHeight="1" x14ac:dyDescent="0.35">
      <c r="A761" s="230"/>
      <c r="B761" s="230"/>
      <c r="C761" s="217"/>
      <c r="D761" s="217"/>
      <c r="E761" s="217"/>
      <c r="F761" s="217"/>
      <c r="G761" s="217"/>
      <c r="H761" s="74" t="s">
        <v>55</v>
      </c>
      <c r="I761" s="74" t="s">
        <v>179</v>
      </c>
      <c r="J761" s="74" t="s">
        <v>110</v>
      </c>
      <c r="K761" s="217"/>
      <c r="L761" s="66"/>
      <c r="M761" s="22"/>
      <c r="N761" s="22"/>
      <c r="O761" s="22"/>
      <c r="P761" s="284"/>
      <c r="Q761" s="284"/>
      <c r="R761" s="284"/>
      <c r="S761" s="18"/>
      <c r="T761" s="284"/>
      <c r="U761" s="284"/>
      <c r="V761" s="284"/>
      <c r="W761" s="18"/>
      <c r="X761" s="18"/>
      <c r="Y761" s="18"/>
      <c r="Z761" s="18"/>
    </row>
    <row r="762" spans="1:26" ht="16.5" customHeight="1" x14ac:dyDescent="0.35">
      <c r="A762" s="230"/>
      <c r="B762" s="230"/>
      <c r="C762" s="227" t="s">
        <v>180</v>
      </c>
      <c r="D762" s="218">
        <v>3</v>
      </c>
      <c r="E762" s="216">
        <v>1</v>
      </c>
      <c r="F762" s="218" t="s">
        <v>63</v>
      </c>
      <c r="G762" s="239" t="s">
        <v>34</v>
      </c>
      <c r="H762" s="74" t="s">
        <v>35</v>
      </c>
      <c r="I762" s="74" t="s">
        <v>91</v>
      </c>
      <c r="J762" s="74" t="s">
        <v>53</v>
      </c>
      <c r="K762" s="249" t="s">
        <v>54</v>
      </c>
      <c r="L762" s="66"/>
      <c r="M762" s="18"/>
      <c r="N762" s="18"/>
      <c r="O762" s="18"/>
      <c r="P762" s="293"/>
      <c r="Q762" s="295"/>
      <c r="R762" s="294"/>
      <c r="S762" s="18"/>
      <c r="T762" s="18"/>
      <c r="U762" s="18"/>
      <c r="V762" s="18"/>
      <c r="W762" s="18"/>
      <c r="X762" s="18"/>
      <c r="Y762" s="18"/>
      <c r="Z762" s="18"/>
    </row>
    <row r="763" spans="1:26" ht="16.5" customHeight="1" x14ac:dyDescent="0.35">
      <c r="A763" s="230"/>
      <c r="B763" s="230"/>
      <c r="C763" s="217"/>
      <c r="D763" s="217"/>
      <c r="E763" s="217"/>
      <c r="F763" s="217"/>
      <c r="G763" s="240"/>
      <c r="H763" s="74" t="s">
        <v>39</v>
      </c>
      <c r="I763" s="74" t="s">
        <v>44</v>
      </c>
      <c r="J763" s="74" t="s">
        <v>53</v>
      </c>
      <c r="K763" s="250"/>
      <c r="L763" s="66"/>
      <c r="M763" s="18"/>
      <c r="N763" s="18"/>
      <c r="O763" s="18"/>
      <c r="P763" s="284"/>
      <c r="Q763" s="284"/>
      <c r="R763" s="284"/>
      <c r="S763" s="18"/>
      <c r="T763" s="293"/>
      <c r="U763" s="295"/>
      <c r="V763" s="294"/>
      <c r="W763" s="18"/>
      <c r="X763" s="18"/>
      <c r="Y763" s="18"/>
      <c r="Z763" s="18"/>
    </row>
    <row r="764" spans="1:26" ht="16.5" customHeight="1" x14ac:dyDescent="0.35">
      <c r="A764" s="230"/>
      <c r="B764" s="230"/>
      <c r="C764" s="227" t="s">
        <v>181</v>
      </c>
      <c r="D764" s="218">
        <v>2</v>
      </c>
      <c r="E764" s="216">
        <v>1</v>
      </c>
      <c r="F764" s="218" t="s">
        <v>63</v>
      </c>
      <c r="G764" s="239" t="s">
        <v>101</v>
      </c>
      <c r="H764" s="74" t="s">
        <v>35</v>
      </c>
      <c r="I764" s="74" t="s">
        <v>40</v>
      </c>
      <c r="J764" s="74" t="s">
        <v>169</v>
      </c>
      <c r="K764" s="249" t="s">
        <v>54</v>
      </c>
      <c r="L764" s="66"/>
      <c r="M764" s="18"/>
      <c r="N764" s="18"/>
      <c r="O764" s="18"/>
      <c r="P764" s="293"/>
      <c r="Q764" s="295"/>
      <c r="R764" s="294"/>
      <c r="S764" s="18"/>
      <c r="T764" s="284"/>
      <c r="U764" s="284"/>
      <c r="V764" s="284"/>
      <c r="W764" s="18"/>
      <c r="X764" s="18"/>
      <c r="Y764" s="18"/>
      <c r="Z764" s="18"/>
    </row>
    <row r="765" spans="1:26" ht="16.5" customHeight="1" x14ac:dyDescent="0.35">
      <c r="A765" s="217"/>
      <c r="B765" s="217"/>
      <c r="C765" s="219"/>
      <c r="D765" s="219"/>
      <c r="E765" s="219"/>
      <c r="F765" s="219"/>
      <c r="G765" s="237"/>
      <c r="H765" s="84" t="s">
        <v>46</v>
      </c>
      <c r="I765" s="84" t="s">
        <v>40</v>
      </c>
      <c r="J765" s="84" t="s">
        <v>149</v>
      </c>
      <c r="K765" s="271"/>
      <c r="L765" s="66"/>
      <c r="M765" s="18"/>
      <c r="N765" s="18"/>
      <c r="O765" s="18"/>
      <c r="P765" s="284"/>
      <c r="Q765" s="284"/>
      <c r="R765" s="284"/>
      <c r="S765" s="18"/>
      <c r="T765" s="293"/>
      <c r="U765" s="295"/>
      <c r="V765" s="294"/>
      <c r="W765" s="18"/>
      <c r="X765" s="18"/>
      <c r="Y765" s="18"/>
      <c r="Z765" s="18"/>
    </row>
    <row r="766" spans="1:26" ht="16.5" customHeight="1" x14ac:dyDescent="0.35">
      <c r="A766" s="104"/>
      <c r="B766" s="59"/>
      <c r="C766" s="60"/>
      <c r="D766" s="61"/>
      <c r="E766" s="62"/>
      <c r="F766" s="61"/>
      <c r="G766" s="61"/>
      <c r="H766" s="61"/>
      <c r="I766" s="61"/>
      <c r="J766" s="61"/>
      <c r="K766" s="61"/>
      <c r="L766" s="66"/>
      <c r="M766" s="18"/>
      <c r="N766" s="18"/>
      <c r="O766" s="18"/>
      <c r="P766" s="7"/>
      <c r="Q766" s="7"/>
      <c r="R766" s="7"/>
      <c r="S766" s="18"/>
      <c r="T766" s="284"/>
      <c r="U766" s="284"/>
      <c r="V766" s="284"/>
      <c r="W766" s="18"/>
      <c r="X766" s="18"/>
      <c r="Y766" s="18"/>
      <c r="Z766" s="18"/>
    </row>
    <row r="767" spans="1:26" ht="16.5" customHeight="1" x14ac:dyDescent="0.35">
      <c r="A767" s="105"/>
      <c r="B767" s="65"/>
      <c r="C767" s="66"/>
      <c r="D767" s="67"/>
      <c r="E767" s="68"/>
      <c r="F767" s="67"/>
      <c r="G767" s="67"/>
      <c r="H767" s="67"/>
      <c r="I767" s="67"/>
      <c r="J767" s="67"/>
      <c r="K767" s="67"/>
      <c r="L767" s="66"/>
      <c r="M767" s="18"/>
      <c r="N767" s="18"/>
      <c r="O767" s="18"/>
      <c r="P767" s="7"/>
      <c r="Q767" s="7"/>
      <c r="R767" s="7"/>
      <c r="S767" s="18"/>
      <c r="T767" s="284"/>
      <c r="U767" s="284"/>
      <c r="V767" s="284"/>
      <c r="W767" s="18"/>
      <c r="X767" s="18"/>
      <c r="Y767" s="18"/>
      <c r="Z767" s="18"/>
    </row>
    <row r="768" spans="1:26" ht="16.5" customHeight="1" x14ac:dyDescent="0.35">
      <c r="A768" s="105"/>
      <c r="B768" s="65"/>
      <c r="C768" s="66"/>
      <c r="D768" s="67"/>
      <c r="E768" s="68"/>
      <c r="F768" s="67"/>
      <c r="G768" s="67"/>
      <c r="H768" s="67"/>
      <c r="I768" s="67"/>
      <c r="J768" s="67"/>
      <c r="K768" s="67"/>
      <c r="L768" s="66"/>
      <c r="M768" s="18"/>
      <c r="N768" s="18"/>
      <c r="O768" s="18"/>
      <c r="P768" s="7"/>
      <c r="Q768" s="7"/>
      <c r="R768" s="7"/>
      <c r="S768" s="18"/>
      <c r="T768" s="284"/>
      <c r="U768" s="284"/>
      <c r="V768" s="284"/>
      <c r="W768" s="18"/>
      <c r="X768" s="18"/>
      <c r="Y768" s="18"/>
      <c r="Z768" s="18"/>
    </row>
    <row r="769" spans="1:26" ht="16.5" customHeight="1" x14ac:dyDescent="0.35">
      <c r="A769" s="105"/>
      <c r="B769" s="65"/>
      <c r="C769" s="66"/>
      <c r="D769" s="67"/>
      <c r="E769" s="68"/>
      <c r="F769" s="67"/>
      <c r="G769" s="67"/>
      <c r="H769" s="67"/>
      <c r="I769" s="67"/>
      <c r="J769" s="67"/>
      <c r="K769" s="67"/>
      <c r="L769" s="66"/>
      <c r="M769" s="18"/>
      <c r="N769" s="18"/>
      <c r="O769" s="18"/>
      <c r="P769" s="7"/>
      <c r="Q769" s="7"/>
      <c r="R769" s="7"/>
      <c r="S769" s="18"/>
      <c r="T769" s="284"/>
      <c r="U769" s="284"/>
      <c r="V769" s="284"/>
      <c r="W769" s="18"/>
      <c r="X769" s="18"/>
      <c r="Y769" s="18"/>
      <c r="Z769" s="18"/>
    </row>
    <row r="770" spans="1:26" ht="16.5" customHeight="1" x14ac:dyDescent="0.35">
      <c r="A770" s="105"/>
      <c r="B770" s="65"/>
      <c r="C770" s="66"/>
      <c r="D770" s="67"/>
      <c r="E770" s="68"/>
      <c r="F770" s="67"/>
      <c r="G770" s="67"/>
      <c r="H770" s="67"/>
      <c r="I770" s="67"/>
      <c r="J770" s="67"/>
      <c r="K770" s="67"/>
      <c r="L770" s="66"/>
      <c r="M770" s="18"/>
      <c r="N770" s="18"/>
      <c r="O770" s="18"/>
      <c r="P770" s="7"/>
      <c r="Q770" s="7"/>
      <c r="R770" s="7"/>
      <c r="S770" s="18"/>
      <c r="T770" s="284"/>
      <c r="U770" s="284"/>
      <c r="V770" s="284"/>
      <c r="W770" s="18"/>
      <c r="X770" s="18"/>
      <c r="Y770" s="18"/>
      <c r="Z770" s="18"/>
    </row>
    <row r="771" spans="1:26" ht="16.5" customHeight="1" x14ac:dyDescent="0.35">
      <c r="A771" s="105"/>
      <c r="B771" s="65"/>
      <c r="C771" s="66"/>
      <c r="D771" s="67"/>
      <c r="E771" s="68"/>
      <c r="F771" s="67"/>
      <c r="G771" s="67"/>
      <c r="H771" s="67"/>
      <c r="I771" s="67"/>
      <c r="J771" s="67"/>
      <c r="K771" s="67"/>
      <c r="L771" s="66"/>
      <c r="M771" s="18"/>
      <c r="N771" s="18"/>
      <c r="O771" s="18"/>
      <c r="P771" s="7"/>
      <c r="Q771" s="7"/>
      <c r="R771" s="7"/>
      <c r="S771" s="18"/>
      <c r="T771" s="284"/>
      <c r="U771" s="284"/>
      <c r="V771" s="284"/>
      <c r="W771" s="18"/>
      <c r="X771" s="18"/>
      <c r="Y771" s="18"/>
      <c r="Z771" s="18"/>
    </row>
    <row r="772" spans="1:26" ht="16.5" customHeight="1" x14ac:dyDescent="0.35">
      <c r="A772" s="223" t="s">
        <v>7</v>
      </c>
      <c r="B772" s="223" t="s">
        <v>8</v>
      </c>
      <c r="C772" s="223" t="s">
        <v>9</v>
      </c>
      <c r="D772" s="220" t="s">
        <v>10</v>
      </c>
      <c r="E772" s="222"/>
      <c r="F772" s="223" t="s">
        <v>11</v>
      </c>
      <c r="G772" s="223" t="s">
        <v>12</v>
      </c>
      <c r="H772" s="226" t="s">
        <v>13</v>
      </c>
      <c r="I772" s="221"/>
      <c r="J772" s="221"/>
      <c r="K772" s="222"/>
      <c r="L772" s="66"/>
      <c r="M772" s="18"/>
      <c r="N772" s="18"/>
      <c r="O772" s="18"/>
      <c r="P772" s="7"/>
      <c r="Q772" s="7"/>
      <c r="R772" s="7"/>
      <c r="S772" s="18"/>
      <c r="T772" s="284"/>
      <c r="U772" s="284"/>
      <c r="V772" s="284"/>
      <c r="W772" s="18"/>
      <c r="X772" s="18"/>
      <c r="Y772" s="18"/>
      <c r="Z772" s="18"/>
    </row>
    <row r="773" spans="1:26" ht="16.5" customHeight="1" x14ac:dyDescent="0.35">
      <c r="A773" s="217"/>
      <c r="B773" s="217"/>
      <c r="C773" s="217"/>
      <c r="D773" s="70" t="s">
        <v>14</v>
      </c>
      <c r="E773" s="71" t="s">
        <v>15</v>
      </c>
      <c r="F773" s="217"/>
      <c r="G773" s="217"/>
      <c r="H773" s="70" t="s">
        <v>16</v>
      </c>
      <c r="I773" s="70" t="s">
        <v>17</v>
      </c>
      <c r="J773" s="70" t="s">
        <v>18</v>
      </c>
      <c r="K773" s="70" t="s">
        <v>19</v>
      </c>
      <c r="L773" s="66"/>
      <c r="M773" s="18"/>
      <c r="N773" s="18"/>
      <c r="O773" s="18"/>
      <c r="P773" s="7"/>
      <c r="Q773" s="7"/>
      <c r="R773" s="7"/>
      <c r="S773" s="18"/>
      <c r="T773" s="284"/>
      <c r="U773" s="284"/>
      <c r="V773" s="284"/>
      <c r="W773" s="18"/>
      <c r="X773" s="18"/>
      <c r="Y773" s="18"/>
      <c r="Z773" s="18"/>
    </row>
    <row r="774" spans="1:26" ht="16.5" customHeight="1" x14ac:dyDescent="0.35">
      <c r="A774" s="72" t="s">
        <v>20</v>
      </c>
      <c r="B774" s="73" t="s">
        <v>21</v>
      </c>
      <c r="C774" s="73" t="s">
        <v>22</v>
      </c>
      <c r="D774" s="70" t="s">
        <v>23</v>
      </c>
      <c r="E774" s="71" t="s">
        <v>24</v>
      </c>
      <c r="F774" s="70" t="s">
        <v>25</v>
      </c>
      <c r="G774" s="70" t="s">
        <v>26</v>
      </c>
      <c r="H774" s="70" t="s">
        <v>27</v>
      </c>
      <c r="I774" s="70" t="s">
        <v>28</v>
      </c>
      <c r="J774" s="70" t="s">
        <v>29</v>
      </c>
      <c r="K774" s="70" t="s">
        <v>30</v>
      </c>
      <c r="L774" s="66"/>
      <c r="M774" s="18"/>
      <c r="N774" s="18"/>
      <c r="O774" s="18"/>
      <c r="P774" s="7"/>
      <c r="Q774" s="7"/>
      <c r="R774" s="7"/>
      <c r="S774" s="18"/>
      <c r="T774" s="284"/>
      <c r="U774" s="284"/>
      <c r="V774" s="284"/>
      <c r="W774" s="18"/>
      <c r="X774" s="18"/>
      <c r="Y774" s="18"/>
      <c r="Z774" s="18"/>
    </row>
    <row r="775" spans="1:26" ht="16.5" customHeight="1" x14ac:dyDescent="0.35">
      <c r="A775" s="229">
        <v>44</v>
      </c>
      <c r="B775" s="238" t="s">
        <v>356</v>
      </c>
      <c r="C775" s="227" t="s">
        <v>183</v>
      </c>
      <c r="D775" s="218">
        <v>3</v>
      </c>
      <c r="E775" s="216">
        <v>1.5</v>
      </c>
      <c r="F775" s="218" t="s">
        <v>68</v>
      </c>
      <c r="G775" s="239" t="s">
        <v>42</v>
      </c>
      <c r="H775" s="74" t="s">
        <v>35</v>
      </c>
      <c r="I775" s="76" t="s">
        <v>44</v>
      </c>
      <c r="J775" s="76" t="s">
        <v>110</v>
      </c>
      <c r="K775" s="249" t="s">
        <v>38</v>
      </c>
      <c r="L775" s="66"/>
      <c r="M775" s="18"/>
      <c r="N775" s="18"/>
      <c r="O775" s="18"/>
      <c r="P775" s="293"/>
      <c r="Q775" s="295"/>
      <c r="R775" s="294"/>
      <c r="S775" s="18"/>
      <c r="T775" s="284"/>
      <c r="U775" s="284"/>
      <c r="V775" s="284"/>
      <c r="W775" s="18"/>
      <c r="X775" s="18"/>
      <c r="Y775" s="18"/>
      <c r="Z775" s="18"/>
    </row>
    <row r="776" spans="1:26" ht="16.5" customHeight="1" x14ac:dyDescent="0.35">
      <c r="A776" s="230"/>
      <c r="B776" s="230"/>
      <c r="C776" s="217"/>
      <c r="D776" s="217"/>
      <c r="E776" s="217"/>
      <c r="F776" s="217"/>
      <c r="G776" s="240"/>
      <c r="H776" s="74" t="s">
        <v>48</v>
      </c>
      <c r="I776" s="76" t="s">
        <v>44</v>
      </c>
      <c r="J776" s="76" t="s">
        <v>110</v>
      </c>
      <c r="K776" s="250"/>
      <c r="L776" s="66"/>
      <c r="M776" s="18"/>
      <c r="N776" s="18"/>
      <c r="O776" s="18"/>
      <c r="P776" s="284"/>
      <c r="Q776" s="284"/>
      <c r="R776" s="284"/>
      <c r="S776" s="18"/>
      <c r="T776" s="293"/>
      <c r="U776" s="295"/>
      <c r="V776" s="294"/>
      <c r="W776" s="18"/>
      <c r="X776" s="18"/>
      <c r="Y776" s="18"/>
      <c r="Z776" s="18"/>
    </row>
    <row r="777" spans="1:26" ht="16.5" customHeight="1" x14ac:dyDescent="0.35">
      <c r="A777" s="230"/>
      <c r="B777" s="230"/>
      <c r="C777" s="227" t="s">
        <v>182</v>
      </c>
      <c r="D777" s="218">
        <v>3</v>
      </c>
      <c r="E777" s="216">
        <v>1.5</v>
      </c>
      <c r="F777" s="218" t="s">
        <v>68</v>
      </c>
      <c r="G777" s="239" t="s">
        <v>34</v>
      </c>
      <c r="H777" s="74" t="s">
        <v>35</v>
      </c>
      <c r="I777" s="74" t="s">
        <v>36</v>
      </c>
      <c r="J777" s="74" t="s">
        <v>53</v>
      </c>
      <c r="K777" s="249" t="s">
        <v>54</v>
      </c>
      <c r="L777" s="66"/>
      <c r="M777" s="18"/>
      <c r="N777" s="18"/>
      <c r="O777" s="18"/>
      <c r="P777" s="293"/>
      <c r="Q777" s="295"/>
      <c r="R777" s="294"/>
      <c r="S777" s="18"/>
      <c r="T777" s="284"/>
      <c r="U777" s="284"/>
      <c r="V777" s="284"/>
      <c r="W777" s="18"/>
      <c r="X777" s="18"/>
      <c r="Y777" s="18"/>
      <c r="Z777" s="18"/>
    </row>
    <row r="778" spans="1:26" ht="16.5" customHeight="1" x14ac:dyDescent="0.35">
      <c r="A778" s="230"/>
      <c r="B778" s="217"/>
      <c r="C778" s="217"/>
      <c r="D778" s="217"/>
      <c r="E778" s="217"/>
      <c r="F778" s="217"/>
      <c r="G778" s="240"/>
      <c r="H778" s="74" t="s">
        <v>48</v>
      </c>
      <c r="I778" s="74" t="s">
        <v>36</v>
      </c>
      <c r="J778" s="74" t="s">
        <v>53</v>
      </c>
      <c r="K778" s="250"/>
      <c r="L778" s="66"/>
      <c r="M778" s="18"/>
      <c r="N778" s="18"/>
      <c r="O778" s="18"/>
      <c r="P778" s="284"/>
      <c r="Q778" s="284"/>
      <c r="R778" s="284"/>
      <c r="S778" s="18"/>
      <c r="T778" s="293"/>
      <c r="U778" s="295"/>
      <c r="V778" s="294"/>
      <c r="W778" s="18"/>
      <c r="X778" s="18"/>
      <c r="Y778" s="18"/>
      <c r="Z778" s="18"/>
    </row>
    <row r="779" spans="1:26" ht="16.5" customHeight="1" x14ac:dyDescent="0.35">
      <c r="A779" s="217"/>
      <c r="B779" s="228" t="s">
        <v>72</v>
      </c>
      <c r="C779" s="221"/>
      <c r="D779" s="222"/>
      <c r="E779" s="100">
        <f>SUM(E748:E778)</f>
        <v>15.5</v>
      </c>
      <c r="F779" s="220"/>
      <c r="G779" s="221"/>
      <c r="H779" s="221"/>
      <c r="I779" s="221"/>
      <c r="J779" s="221"/>
      <c r="K779" s="222"/>
      <c r="L779" s="66"/>
      <c r="M779" s="18"/>
      <c r="N779" s="18"/>
      <c r="O779" s="18"/>
      <c r="P779" s="18"/>
      <c r="Q779" s="18"/>
      <c r="R779" s="18"/>
      <c r="S779" s="18"/>
      <c r="T779" s="284"/>
      <c r="U779" s="284"/>
      <c r="V779" s="284"/>
      <c r="W779" s="18"/>
      <c r="X779" s="18"/>
      <c r="Y779" s="18"/>
      <c r="Z779" s="18"/>
    </row>
    <row r="780" spans="1:26" ht="16.5" customHeight="1" x14ac:dyDescent="0.35">
      <c r="A780" s="229">
        <v>45</v>
      </c>
      <c r="B780" s="238" t="s">
        <v>358</v>
      </c>
      <c r="C780" s="227" t="s">
        <v>135</v>
      </c>
      <c r="D780" s="218">
        <v>3</v>
      </c>
      <c r="E780" s="216">
        <v>3</v>
      </c>
      <c r="F780" s="218" t="s">
        <v>33</v>
      </c>
      <c r="G780" s="218" t="s">
        <v>79</v>
      </c>
      <c r="H780" s="74" t="s">
        <v>35</v>
      </c>
      <c r="I780" s="74" t="s">
        <v>40</v>
      </c>
      <c r="J780" s="74" t="s">
        <v>359</v>
      </c>
      <c r="K780" s="218" t="s">
        <v>54</v>
      </c>
      <c r="L780" s="66"/>
      <c r="M780" s="18"/>
      <c r="N780" s="18"/>
      <c r="O780" s="18"/>
      <c r="P780" s="293"/>
      <c r="Q780" s="295"/>
      <c r="R780" s="294"/>
      <c r="S780" s="18"/>
      <c r="T780" s="293"/>
      <c r="U780" s="295"/>
      <c r="V780" s="294"/>
      <c r="W780" s="18"/>
      <c r="X780" s="18"/>
      <c r="Y780" s="18"/>
      <c r="Z780" s="18"/>
    </row>
    <row r="781" spans="1:26" ht="16.5" customHeight="1" x14ac:dyDescent="0.35">
      <c r="A781" s="230"/>
      <c r="B781" s="230"/>
      <c r="C781" s="217"/>
      <c r="D781" s="217"/>
      <c r="E781" s="217"/>
      <c r="F781" s="217"/>
      <c r="G781" s="217"/>
      <c r="H781" s="74" t="s">
        <v>39</v>
      </c>
      <c r="I781" s="74" t="s">
        <v>40</v>
      </c>
      <c r="J781" s="74" t="s">
        <v>359</v>
      </c>
      <c r="K781" s="217"/>
      <c r="L781" s="66"/>
      <c r="M781" s="18"/>
      <c r="N781" s="18"/>
      <c r="O781" s="18"/>
      <c r="P781" s="284"/>
      <c r="Q781" s="284"/>
      <c r="R781" s="284"/>
      <c r="S781" s="18"/>
      <c r="T781" s="284"/>
      <c r="U781" s="284"/>
      <c r="V781" s="284"/>
      <c r="W781" s="18"/>
      <c r="X781" s="18"/>
      <c r="Y781" s="18"/>
      <c r="Z781" s="18"/>
    </row>
    <row r="782" spans="1:26" ht="16.5" customHeight="1" x14ac:dyDescent="0.35">
      <c r="A782" s="230"/>
      <c r="B782" s="230"/>
      <c r="C782" s="227" t="s">
        <v>135</v>
      </c>
      <c r="D782" s="218">
        <v>3</v>
      </c>
      <c r="E782" s="216">
        <v>3</v>
      </c>
      <c r="F782" s="218" t="s">
        <v>33</v>
      </c>
      <c r="G782" s="218" t="s">
        <v>97</v>
      </c>
      <c r="H782" s="74" t="s">
        <v>39</v>
      </c>
      <c r="I782" s="74" t="s">
        <v>91</v>
      </c>
      <c r="J782" s="74" t="s">
        <v>43</v>
      </c>
      <c r="K782" s="218" t="s">
        <v>54</v>
      </c>
      <c r="L782" s="66"/>
      <c r="M782" s="18"/>
      <c r="N782" s="18"/>
      <c r="O782" s="18"/>
      <c r="P782" s="293"/>
      <c r="Q782" s="295"/>
      <c r="R782" s="294"/>
      <c r="S782" s="18"/>
      <c r="T782" s="293"/>
      <c r="U782" s="295"/>
      <c r="V782" s="294"/>
      <c r="W782" s="18"/>
      <c r="X782" s="18"/>
      <c r="Y782" s="18"/>
      <c r="Z782" s="18"/>
    </row>
    <row r="783" spans="1:26" ht="16.5" customHeight="1" x14ac:dyDescent="0.35">
      <c r="A783" s="230"/>
      <c r="B783" s="230"/>
      <c r="C783" s="217"/>
      <c r="D783" s="217"/>
      <c r="E783" s="217"/>
      <c r="F783" s="217"/>
      <c r="G783" s="217"/>
      <c r="H783" s="74" t="s">
        <v>55</v>
      </c>
      <c r="I783" s="74" t="s">
        <v>44</v>
      </c>
      <c r="J783" s="74" t="s">
        <v>43</v>
      </c>
      <c r="K783" s="217"/>
      <c r="L783" s="66"/>
      <c r="M783" s="18"/>
      <c r="N783" s="18"/>
      <c r="O783" s="18"/>
      <c r="P783" s="284"/>
      <c r="Q783" s="284"/>
      <c r="R783" s="284"/>
      <c r="S783" s="18"/>
      <c r="T783" s="284"/>
      <c r="U783" s="284"/>
      <c r="V783" s="284"/>
      <c r="W783" s="18"/>
      <c r="X783" s="18"/>
      <c r="Y783" s="18"/>
      <c r="Z783" s="18"/>
    </row>
    <row r="784" spans="1:26" ht="16.5" customHeight="1" x14ac:dyDescent="0.35">
      <c r="A784" s="230"/>
      <c r="B784" s="230"/>
      <c r="C784" s="227" t="s">
        <v>360</v>
      </c>
      <c r="D784" s="218">
        <v>3</v>
      </c>
      <c r="E784" s="216">
        <v>3</v>
      </c>
      <c r="F784" s="218" t="s">
        <v>33</v>
      </c>
      <c r="G784" s="218" t="s">
        <v>90</v>
      </c>
      <c r="H784" s="74" t="s">
        <v>46</v>
      </c>
      <c r="I784" s="74" t="s">
        <v>36</v>
      </c>
      <c r="J784" s="74" t="s">
        <v>259</v>
      </c>
      <c r="K784" s="218" t="s">
        <v>54</v>
      </c>
      <c r="L784" s="66"/>
      <c r="M784" s="18"/>
      <c r="N784" s="18"/>
      <c r="O784" s="18"/>
      <c r="P784" s="293"/>
      <c r="Q784" s="295"/>
      <c r="R784" s="294"/>
      <c r="S784" s="18"/>
      <c r="T784" s="293"/>
      <c r="U784" s="295"/>
      <c r="V784" s="294"/>
      <c r="W784" s="18"/>
      <c r="X784" s="18"/>
      <c r="Y784" s="18"/>
      <c r="Z784" s="18"/>
    </row>
    <row r="785" spans="1:26" ht="16.5" customHeight="1" x14ac:dyDescent="0.35">
      <c r="A785" s="230"/>
      <c r="B785" s="230"/>
      <c r="C785" s="217"/>
      <c r="D785" s="217"/>
      <c r="E785" s="217"/>
      <c r="F785" s="217"/>
      <c r="G785" s="217"/>
      <c r="H785" s="74" t="s">
        <v>48</v>
      </c>
      <c r="I785" s="74" t="s">
        <v>36</v>
      </c>
      <c r="J785" s="74" t="s">
        <v>259</v>
      </c>
      <c r="K785" s="217"/>
      <c r="L785" s="66"/>
      <c r="M785" s="18"/>
      <c r="N785" s="18"/>
      <c r="O785" s="18"/>
      <c r="P785" s="284"/>
      <c r="Q785" s="284"/>
      <c r="R785" s="284"/>
      <c r="S785" s="18"/>
      <c r="T785" s="284"/>
      <c r="U785" s="284"/>
      <c r="V785" s="284"/>
      <c r="W785" s="18"/>
      <c r="X785" s="18"/>
      <c r="Y785" s="18"/>
      <c r="Z785" s="18"/>
    </row>
    <row r="786" spans="1:26" ht="16.5" customHeight="1" x14ac:dyDescent="0.35">
      <c r="A786" s="230"/>
      <c r="B786" s="230"/>
      <c r="C786" s="227" t="s">
        <v>360</v>
      </c>
      <c r="D786" s="218">
        <v>3</v>
      </c>
      <c r="E786" s="216">
        <v>3</v>
      </c>
      <c r="F786" s="218" t="s">
        <v>33</v>
      </c>
      <c r="G786" s="218" t="s">
        <v>173</v>
      </c>
      <c r="H786" s="74" t="s">
        <v>46</v>
      </c>
      <c r="I786" s="74" t="s">
        <v>40</v>
      </c>
      <c r="J786" s="74" t="s">
        <v>259</v>
      </c>
      <c r="K786" s="218" t="s">
        <v>54</v>
      </c>
      <c r="L786" s="66"/>
      <c r="M786" s="18"/>
      <c r="N786" s="18"/>
      <c r="O786" s="18"/>
      <c r="P786" s="293"/>
      <c r="Q786" s="295"/>
      <c r="R786" s="294"/>
      <c r="S786" s="18"/>
      <c r="T786" s="18"/>
      <c r="U786" s="18"/>
      <c r="V786" s="18"/>
      <c r="W786" s="18"/>
      <c r="X786" s="18"/>
      <c r="Y786" s="18"/>
      <c r="Z786" s="18"/>
    </row>
    <row r="787" spans="1:26" ht="16.5" customHeight="1" x14ac:dyDescent="0.35">
      <c r="A787" s="230"/>
      <c r="B787" s="230"/>
      <c r="C787" s="217"/>
      <c r="D787" s="217"/>
      <c r="E787" s="217"/>
      <c r="F787" s="217"/>
      <c r="G787" s="217"/>
      <c r="H787" s="74" t="s">
        <v>48</v>
      </c>
      <c r="I787" s="74" t="s">
        <v>40</v>
      </c>
      <c r="J787" s="74" t="s">
        <v>259</v>
      </c>
      <c r="K787" s="217"/>
      <c r="L787" s="66"/>
      <c r="M787" s="18"/>
      <c r="N787" s="18"/>
      <c r="O787" s="18"/>
      <c r="P787" s="284"/>
      <c r="Q787" s="284"/>
      <c r="R787" s="284"/>
      <c r="S787" s="18"/>
      <c r="T787" s="18"/>
      <c r="U787" s="18"/>
      <c r="V787" s="18"/>
      <c r="W787" s="18"/>
      <c r="X787" s="18"/>
      <c r="Y787" s="18"/>
      <c r="Z787" s="18"/>
    </row>
    <row r="788" spans="1:26" ht="16.5" customHeight="1" x14ac:dyDescent="0.35">
      <c r="A788" s="230"/>
      <c r="B788" s="230"/>
      <c r="C788" s="227" t="s">
        <v>360</v>
      </c>
      <c r="D788" s="218">
        <v>3</v>
      </c>
      <c r="E788" s="216">
        <v>3</v>
      </c>
      <c r="F788" s="218" t="s">
        <v>33</v>
      </c>
      <c r="G788" s="218" t="s">
        <v>175</v>
      </c>
      <c r="H788" s="74" t="s">
        <v>35</v>
      </c>
      <c r="I788" s="74" t="s">
        <v>36</v>
      </c>
      <c r="J788" s="74" t="s">
        <v>361</v>
      </c>
      <c r="K788" s="218" t="s">
        <v>54</v>
      </c>
      <c r="L788" s="66"/>
      <c r="M788" s="18"/>
      <c r="N788" s="18"/>
      <c r="O788" s="18"/>
      <c r="P788" s="293"/>
      <c r="Q788" s="295"/>
      <c r="R788" s="294"/>
      <c r="S788" s="18"/>
      <c r="T788" s="293"/>
      <c r="U788" s="295"/>
      <c r="V788" s="294"/>
      <c r="W788" s="18"/>
      <c r="X788" s="18"/>
      <c r="Y788" s="18"/>
      <c r="Z788" s="18"/>
    </row>
    <row r="789" spans="1:26" ht="16.5" customHeight="1" x14ac:dyDescent="0.35">
      <c r="A789" s="230"/>
      <c r="B789" s="219"/>
      <c r="C789" s="217"/>
      <c r="D789" s="217"/>
      <c r="E789" s="217"/>
      <c r="F789" s="217"/>
      <c r="G789" s="217"/>
      <c r="H789" s="74" t="s">
        <v>55</v>
      </c>
      <c r="I789" s="74" t="s">
        <v>36</v>
      </c>
      <c r="J789" s="74" t="s">
        <v>361</v>
      </c>
      <c r="K789" s="217"/>
      <c r="L789" s="66"/>
      <c r="M789" s="18"/>
      <c r="N789" s="18"/>
      <c r="O789" s="18"/>
      <c r="P789" s="284"/>
      <c r="Q789" s="284"/>
      <c r="R789" s="284"/>
      <c r="S789" s="18"/>
      <c r="T789" s="284"/>
      <c r="U789" s="284"/>
      <c r="V789" s="284"/>
      <c r="W789" s="18"/>
      <c r="X789" s="18"/>
      <c r="Y789" s="18"/>
      <c r="Z789" s="18"/>
    </row>
    <row r="790" spans="1:26" ht="16.5" customHeight="1" x14ac:dyDescent="0.35">
      <c r="A790" s="217"/>
      <c r="B790" s="228" t="s">
        <v>72</v>
      </c>
      <c r="C790" s="221"/>
      <c r="D790" s="222"/>
      <c r="E790" s="71">
        <f>SUM(E780:E789)</f>
        <v>15</v>
      </c>
      <c r="F790" s="220"/>
      <c r="G790" s="221"/>
      <c r="H790" s="221"/>
      <c r="I790" s="221"/>
      <c r="J790" s="221"/>
      <c r="K790" s="222"/>
      <c r="L790" s="66"/>
      <c r="M790" s="18"/>
      <c r="N790" s="18"/>
      <c r="O790" s="18"/>
      <c r="P790" s="18"/>
      <c r="Q790" s="18"/>
      <c r="R790" s="18"/>
      <c r="S790" s="18"/>
      <c r="T790" s="293"/>
      <c r="U790" s="295"/>
      <c r="V790" s="294"/>
      <c r="W790" s="18"/>
      <c r="X790" s="18"/>
      <c r="Y790" s="18"/>
      <c r="Z790" s="18"/>
    </row>
    <row r="791" spans="1:26" ht="16.5" customHeight="1" x14ac:dyDescent="0.35">
      <c r="A791" s="229">
        <v>46</v>
      </c>
      <c r="B791" s="238" t="s">
        <v>362</v>
      </c>
      <c r="C791" s="227" t="s">
        <v>207</v>
      </c>
      <c r="D791" s="218">
        <v>2</v>
      </c>
      <c r="E791" s="216">
        <v>2</v>
      </c>
      <c r="F791" s="218" t="s">
        <v>75</v>
      </c>
      <c r="G791" s="218" t="s">
        <v>136</v>
      </c>
      <c r="H791" s="74" t="s">
        <v>46</v>
      </c>
      <c r="I791" s="74" t="s">
        <v>123</v>
      </c>
      <c r="J791" s="74" t="s">
        <v>80</v>
      </c>
      <c r="K791" s="218" t="s">
        <v>38</v>
      </c>
      <c r="L791" s="66"/>
      <c r="M791" s="22"/>
      <c r="N791" s="22"/>
      <c r="O791" s="22"/>
      <c r="P791" s="293"/>
      <c r="Q791" s="295"/>
      <c r="R791" s="294"/>
      <c r="S791" s="18"/>
      <c r="T791" s="284"/>
      <c r="U791" s="284"/>
      <c r="V791" s="284"/>
      <c r="W791" s="18"/>
      <c r="X791" s="18"/>
      <c r="Y791" s="18"/>
      <c r="Z791" s="18"/>
    </row>
    <row r="792" spans="1:26" ht="16.5" customHeight="1" x14ac:dyDescent="0.35">
      <c r="A792" s="230"/>
      <c r="B792" s="230"/>
      <c r="C792" s="217"/>
      <c r="D792" s="217"/>
      <c r="E792" s="217"/>
      <c r="F792" s="217"/>
      <c r="G792" s="217"/>
      <c r="H792" s="74" t="s">
        <v>48</v>
      </c>
      <c r="I792" s="74" t="s">
        <v>56</v>
      </c>
      <c r="J792" s="74" t="s">
        <v>80</v>
      </c>
      <c r="K792" s="217"/>
      <c r="L792" s="66"/>
      <c r="M792" s="22"/>
      <c r="N792" s="22"/>
      <c r="O792" s="22"/>
      <c r="P792" s="284"/>
      <c r="Q792" s="284"/>
      <c r="R792" s="284"/>
      <c r="S792" s="18"/>
      <c r="T792" s="293"/>
      <c r="U792" s="295"/>
      <c r="V792" s="294"/>
      <c r="W792" s="18"/>
      <c r="X792" s="18"/>
      <c r="Y792" s="18"/>
      <c r="Z792" s="18"/>
    </row>
    <row r="793" spans="1:26" ht="16.5" customHeight="1" x14ac:dyDescent="0.35">
      <c r="A793" s="230"/>
      <c r="B793" s="230"/>
      <c r="C793" s="227" t="s">
        <v>207</v>
      </c>
      <c r="D793" s="218">
        <v>2</v>
      </c>
      <c r="E793" s="216">
        <v>2</v>
      </c>
      <c r="F793" s="218" t="s">
        <v>75</v>
      </c>
      <c r="G793" s="218" t="s">
        <v>76</v>
      </c>
      <c r="H793" s="74" t="s">
        <v>35</v>
      </c>
      <c r="I793" s="74" t="s">
        <v>123</v>
      </c>
      <c r="J793" s="74" t="s">
        <v>80</v>
      </c>
      <c r="K793" s="218" t="s">
        <v>38</v>
      </c>
      <c r="L793" s="66"/>
      <c r="M793" s="22"/>
      <c r="N793" s="22"/>
      <c r="O793" s="22"/>
      <c r="P793" s="293"/>
      <c r="Q793" s="295"/>
      <c r="R793" s="294"/>
      <c r="S793" s="18"/>
      <c r="T793" s="284"/>
      <c r="U793" s="284"/>
      <c r="V793" s="284"/>
      <c r="W793" s="18"/>
      <c r="X793" s="18"/>
      <c r="Y793" s="18"/>
      <c r="Z793" s="18"/>
    </row>
    <row r="794" spans="1:26" ht="16.5" customHeight="1" x14ac:dyDescent="0.35">
      <c r="A794" s="230"/>
      <c r="B794" s="217"/>
      <c r="C794" s="217"/>
      <c r="D794" s="217"/>
      <c r="E794" s="217"/>
      <c r="F794" s="217"/>
      <c r="G794" s="217"/>
      <c r="H794" s="74" t="s">
        <v>55</v>
      </c>
      <c r="I794" s="74" t="s">
        <v>52</v>
      </c>
      <c r="J794" s="74" t="s">
        <v>152</v>
      </c>
      <c r="K794" s="217"/>
      <c r="L794" s="66"/>
      <c r="M794" s="18"/>
      <c r="N794" s="18"/>
      <c r="O794" s="18"/>
      <c r="P794" s="284"/>
      <c r="Q794" s="284"/>
      <c r="R794" s="284"/>
      <c r="S794" s="18"/>
      <c r="T794" s="293"/>
      <c r="U794" s="295"/>
      <c r="V794" s="294"/>
      <c r="W794" s="18"/>
      <c r="X794" s="18"/>
      <c r="Y794" s="18"/>
      <c r="Z794" s="18"/>
    </row>
    <row r="795" spans="1:26" ht="16.5" customHeight="1" x14ac:dyDescent="0.35">
      <c r="A795" s="217"/>
      <c r="B795" s="228" t="s">
        <v>72</v>
      </c>
      <c r="C795" s="221"/>
      <c r="D795" s="222"/>
      <c r="E795" s="71">
        <f>SUM(E791:E794)</f>
        <v>4</v>
      </c>
      <c r="F795" s="220"/>
      <c r="G795" s="221"/>
      <c r="H795" s="221"/>
      <c r="I795" s="221"/>
      <c r="J795" s="221"/>
      <c r="K795" s="222"/>
      <c r="L795" s="66"/>
      <c r="M795" s="18"/>
      <c r="N795" s="18"/>
      <c r="O795" s="18"/>
      <c r="P795" s="18"/>
      <c r="Q795" s="18"/>
      <c r="R795" s="18"/>
      <c r="S795" s="18"/>
      <c r="T795" s="284"/>
      <c r="U795" s="284"/>
      <c r="V795" s="284"/>
      <c r="W795" s="18"/>
      <c r="X795" s="18"/>
      <c r="Y795" s="18"/>
      <c r="Z795" s="18"/>
    </row>
    <row r="796" spans="1:26" ht="16.5" customHeight="1" x14ac:dyDescent="0.35">
      <c r="A796" s="229">
        <v>47</v>
      </c>
      <c r="B796" s="254" t="s">
        <v>363</v>
      </c>
      <c r="C796" s="227" t="s">
        <v>127</v>
      </c>
      <c r="D796" s="218">
        <v>1</v>
      </c>
      <c r="E796" s="216">
        <v>1</v>
      </c>
      <c r="F796" s="218" t="s">
        <v>51</v>
      </c>
      <c r="G796" s="218" t="s">
        <v>64</v>
      </c>
      <c r="H796" s="74" t="s">
        <v>35</v>
      </c>
      <c r="I796" s="74" t="s">
        <v>123</v>
      </c>
      <c r="J796" s="74" t="s">
        <v>96</v>
      </c>
      <c r="K796" s="218" t="s">
        <v>38</v>
      </c>
      <c r="L796" s="97"/>
      <c r="M796" s="37"/>
      <c r="N796" s="37"/>
      <c r="O796" s="37"/>
      <c r="P796" s="293"/>
      <c r="Q796" s="295"/>
      <c r="R796" s="294"/>
      <c r="S796" s="18"/>
      <c r="T796" s="293"/>
      <c r="U796" s="295"/>
      <c r="V796" s="294"/>
      <c r="W796" s="18"/>
      <c r="X796" s="18"/>
      <c r="Y796" s="18"/>
      <c r="Z796" s="18"/>
    </row>
    <row r="797" spans="1:26" ht="16.5" customHeight="1" x14ac:dyDescent="0.35">
      <c r="A797" s="230"/>
      <c r="B797" s="230"/>
      <c r="C797" s="217"/>
      <c r="D797" s="217"/>
      <c r="E797" s="217"/>
      <c r="F797" s="217"/>
      <c r="G797" s="217"/>
      <c r="H797" s="74" t="s">
        <v>48</v>
      </c>
      <c r="I797" s="74" t="s">
        <v>123</v>
      </c>
      <c r="J797" s="74" t="s">
        <v>96</v>
      </c>
      <c r="K797" s="217"/>
      <c r="L797" s="66"/>
      <c r="M797" s="18"/>
      <c r="N797" s="18"/>
      <c r="O797" s="18"/>
      <c r="P797" s="284"/>
      <c r="Q797" s="284"/>
      <c r="R797" s="284"/>
      <c r="S797" s="18"/>
      <c r="T797" s="284"/>
      <c r="U797" s="284"/>
      <c r="V797" s="284"/>
      <c r="W797" s="18"/>
      <c r="X797" s="18"/>
      <c r="Y797" s="18"/>
      <c r="Z797" s="18"/>
    </row>
    <row r="798" spans="1:26" ht="16.5" customHeight="1" x14ac:dyDescent="0.35">
      <c r="A798" s="230"/>
      <c r="B798" s="230"/>
      <c r="C798" s="227" t="s">
        <v>364</v>
      </c>
      <c r="D798" s="218">
        <v>3</v>
      </c>
      <c r="E798" s="216">
        <v>3</v>
      </c>
      <c r="F798" s="218" t="s">
        <v>51</v>
      </c>
      <c r="G798" s="218" t="s">
        <v>34</v>
      </c>
      <c r="H798" s="74" t="s">
        <v>35</v>
      </c>
      <c r="I798" s="74" t="s">
        <v>40</v>
      </c>
      <c r="J798" s="74" t="s">
        <v>196</v>
      </c>
      <c r="K798" s="218" t="s">
        <v>54</v>
      </c>
      <c r="L798" s="66"/>
      <c r="M798" s="18"/>
      <c r="N798" s="18"/>
      <c r="O798" s="18"/>
      <c r="P798" s="293"/>
      <c r="Q798" s="295"/>
      <c r="R798" s="294"/>
      <c r="S798" s="18"/>
      <c r="T798" s="293"/>
      <c r="U798" s="295"/>
      <c r="V798" s="294"/>
      <c r="W798" s="18"/>
      <c r="X798" s="18"/>
      <c r="Y798" s="18"/>
      <c r="Z798" s="18"/>
    </row>
    <row r="799" spans="1:26" ht="16.5" customHeight="1" x14ac:dyDescent="0.35">
      <c r="A799" s="230"/>
      <c r="B799" s="230"/>
      <c r="C799" s="217"/>
      <c r="D799" s="217"/>
      <c r="E799" s="217"/>
      <c r="F799" s="217"/>
      <c r="G799" s="217"/>
      <c r="H799" s="74" t="s">
        <v>48</v>
      </c>
      <c r="I799" s="74" t="s">
        <v>36</v>
      </c>
      <c r="J799" s="74" t="s">
        <v>114</v>
      </c>
      <c r="K799" s="217"/>
      <c r="L799" s="66"/>
      <c r="M799" s="18"/>
      <c r="N799" s="18"/>
      <c r="O799" s="18"/>
      <c r="P799" s="284"/>
      <c r="Q799" s="284"/>
      <c r="R799" s="284"/>
      <c r="S799" s="18"/>
      <c r="T799" s="284"/>
      <c r="U799" s="284"/>
      <c r="V799" s="284"/>
      <c r="W799" s="18"/>
      <c r="X799" s="18"/>
      <c r="Y799" s="18"/>
      <c r="Z799" s="18"/>
    </row>
    <row r="800" spans="1:26" ht="16.5" customHeight="1" x14ac:dyDescent="0.35">
      <c r="A800" s="230"/>
      <c r="B800" s="230"/>
      <c r="C800" s="227" t="s">
        <v>364</v>
      </c>
      <c r="D800" s="218">
        <v>3</v>
      </c>
      <c r="E800" s="216">
        <v>3</v>
      </c>
      <c r="F800" s="218" t="s">
        <v>51</v>
      </c>
      <c r="G800" s="218" t="s">
        <v>42</v>
      </c>
      <c r="H800" s="74" t="s">
        <v>46</v>
      </c>
      <c r="I800" s="74" t="s">
        <v>40</v>
      </c>
      <c r="J800" s="74" t="s">
        <v>71</v>
      </c>
      <c r="K800" s="218" t="s">
        <v>54</v>
      </c>
      <c r="L800" s="66"/>
      <c r="M800" s="18"/>
      <c r="N800" s="18"/>
      <c r="O800" s="18"/>
      <c r="P800" s="293"/>
      <c r="Q800" s="295"/>
      <c r="R800" s="294"/>
      <c r="S800" s="18"/>
      <c r="T800" s="18"/>
      <c r="U800" s="18"/>
      <c r="V800" s="18"/>
      <c r="W800" s="18"/>
      <c r="X800" s="18"/>
      <c r="Y800" s="18"/>
      <c r="Z800" s="18"/>
    </row>
    <row r="801" spans="1:26" ht="16.5" customHeight="1" x14ac:dyDescent="0.35">
      <c r="A801" s="230"/>
      <c r="B801" s="230"/>
      <c r="C801" s="217"/>
      <c r="D801" s="217"/>
      <c r="E801" s="217"/>
      <c r="F801" s="217"/>
      <c r="G801" s="217"/>
      <c r="H801" s="74" t="s">
        <v>55</v>
      </c>
      <c r="I801" s="74" t="s">
        <v>66</v>
      </c>
      <c r="J801" s="74" t="s">
        <v>365</v>
      </c>
      <c r="K801" s="217"/>
      <c r="L801" s="66"/>
      <c r="M801" s="18"/>
      <c r="N801" s="18"/>
      <c r="O801" s="18"/>
      <c r="P801" s="284"/>
      <c r="Q801" s="284"/>
      <c r="R801" s="284"/>
      <c r="S801" s="18"/>
      <c r="T801" s="18"/>
      <c r="U801" s="18"/>
      <c r="V801" s="18"/>
      <c r="W801" s="18"/>
      <c r="X801" s="18"/>
      <c r="Y801" s="18"/>
      <c r="Z801" s="18"/>
    </row>
    <row r="802" spans="1:26" ht="16.5" customHeight="1" x14ac:dyDescent="0.35">
      <c r="A802" s="230"/>
      <c r="B802" s="230"/>
      <c r="C802" s="227" t="s">
        <v>366</v>
      </c>
      <c r="D802" s="218">
        <v>3</v>
      </c>
      <c r="E802" s="216">
        <v>3</v>
      </c>
      <c r="F802" s="218" t="s">
        <v>51</v>
      </c>
      <c r="G802" s="218" t="s">
        <v>90</v>
      </c>
      <c r="H802" s="74" t="s">
        <v>35</v>
      </c>
      <c r="I802" s="74" t="s">
        <v>146</v>
      </c>
      <c r="J802" s="74" t="s">
        <v>152</v>
      </c>
      <c r="K802" s="218" t="s">
        <v>54</v>
      </c>
      <c r="L802" s="66"/>
      <c r="M802" s="18"/>
      <c r="N802" s="18"/>
      <c r="O802" s="18"/>
      <c r="P802" s="293"/>
      <c r="Q802" s="295"/>
      <c r="R802" s="294"/>
      <c r="S802" s="18"/>
      <c r="T802" s="293"/>
      <c r="U802" s="295"/>
      <c r="V802" s="294"/>
      <c r="W802" s="18"/>
      <c r="X802" s="18"/>
      <c r="Y802" s="18"/>
      <c r="Z802" s="18"/>
    </row>
    <row r="803" spans="1:26" ht="16.5" customHeight="1" x14ac:dyDescent="0.35">
      <c r="A803" s="230"/>
      <c r="B803" s="230"/>
      <c r="C803" s="217"/>
      <c r="D803" s="217"/>
      <c r="E803" s="217"/>
      <c r="F803" s="217"/>
      <c r="G803" s="217"/>
      <c r="H803" s="74" t="s">
        <v>48</v>
      </c>
      <c r="I803" s="74" t="s">
        <v>40</v>
      </c>
      <c r="J803" s="74" t="s">
        <v>114</v>
      </c>
      <c r="K803" s="217"/>
      <c r="L803" s="66"/>
      <c r="M803" s="18"/>
      <c r="N803" s="18"/>
      <c r="O803" s="18"/>
      <c r="P803" s="284"/>
      <c r="Q803" s="284"/>
      <c r="R803" s="284"/>
      <c r="S803" s="18"/>
      <c r="T803" s="284"/>
      <c r="U803" s="284"/>
      <c r="V803" s="284"/>
      <c r="W803" s="18"/>
      <c r="X803" s="18"/>
      <c r="Y803" s="18"/>
      <c r="Z803" s="18"/>
    </row>
    <row r="804" spans="1:26" ht="16.5" customHeight="1" x14ac:dyDescent="0.35">
      <c r="A804" s="230"/>
      <c r="B804" s="230"/>
      <c r="C804" s="241" t="s">
        <v>367</v>
      </c>
      <c r="D804" s="218">
        <v>3</v>
      </c>
      <c r="E804" s="216">
        <v>3</v>
      </c>
      <c r="F804" s="218" t="s">
        <v>106</v>
      </c>
      <c r="G804" s="218" t="s">
        <v>101</v>
      </c>
      <c r="H804" s="74" t="s">
        <v>46</v>
      </c>
      <c r="I804" s="74" t="s">
        <v>40</v>
      </c>
      <c r="J804" s="74" t="s">
        <v>80</v>
      </c>
      <c r="K804" s="218" t="s">
        <v>38</v>
      </c>
      <c r="L804" s="66"/>
      <c r="M804" s="18"/>
      <c r="N804" s="18"/>
      <c r="O804" s="18"/>
      <c r="P804" s="293"/>
      <c r="Q804" s="295"/>
      <c r="R804" s="294"/>
      <c r="S804" s="18"/>
      <c r="T804" s="293"/>
      <c r="U804" s="295"/>
      <c r="V804" s="294"/>
      <c r="W804" s="18"/>
      <c r="X804" s="18"/>
      <c r="Y804" s="18"/>
      <c r="Z804" s="18"/>
    </row>
    <row r="805" spans="1:26" ht="16.5" customHeight="1" x14ac:dyDescent="0.35">
      <c r="A805" s="230"/>
      <c r="B805" s="217"/>
      <c r="C805" s="240"/>
      <c r="D805" s="217"/>
      <c r="E805" s="217"/>
      <c r="F805" s="217"/>
      <c r="G805" s="217"/>
      <c r="H805" s="74" t="s">
        <v>55</v>
      </c>
      <c r="I805" s="74" t="s">
        <v>36</v>
      </c>
      <c r="J805" s="74" t="s">
        <v>80</v>
      </c>
      <c r="K805" s="217"/>
      <c r="L805" s="66"/>
      <c r="M805" s="18"/>
      <c r="N805" s="18"/>
      <c r="O805" s="18"/>
      <c r="P805" s="284"/>
      <c r="Q805" s="284"/>
      <c r="R805" s="284"/>
      <c r="S805" s="18"/>
      <c r="T805" s="284"/>
      <c r="U805" s="284"/>
      <c r="V805" s="284"/>
      <c r="W805" s="18"/>
      <c r="X805" s="18"/>
      <c r="Y805" s="18"/>
      <c r="Z805" s="18"/>
    </row>
    <row r="806" spans="1:26" ht="16.5" customHeight="1" x14ac:dyDescent="0.35">
      <c r="A806" s="217"/>
      <c r="B806" s="228" t="s">
        <v>72</v>
      </c>
      <c r="C806" s="221"/>
      <c r="D806" s="222"/>
      <c r="E806" s="71">
        <f>SUM(E796:E805)</f>
        <v>13</v>
      </c>
      <c r="F806" s="220"/>
      <c r="G806" s="221"/>
      <c r="H806" s="221"/>
      <c r="I806" s="221"/>
      <c r="J806" s="221"/>
      <c r="K806" s="222"/>
      <c r="L806" s="66"/>
      <c r="M806" s="18"/>
      <c r="N806" s="18"/>
      <c r="O806" s="18"/>
      <c r="P806" s="18"/>
      <c r="Q806" s="18"/>
      <c r="R806" s="18"/>
      <c r="S806" s="18"/>
      <c r="T806" s="293"/>
      <c r="U806" s="295"/>
      <c r="V806" s="294"/>
      <c r="W806" s="18"/>
      <c r="X806" s="18"/>
      <c r="Y806" s="18"/>
      <c r="Z806" s="18"/>
    </row>
    <row r="807" spans="1:26" ht="16.5" customHeight="1" x14ac:dyDescent="0.35">
      <c r="A807" s="248">
        <v>48</v>
      </c>
      <c r="B807" s="238" t="s">
        <v>368</v>
      </c>
      <c r="C807" s="227" t="s">
        <v>345</v>
      </c>
      <c r="D807" s="218">
        <v>3</v>
      </c>
      <c r="E807" s="216">
        <v>1.5</v>
      </c>
      <c r="F807" s="218" t="s">
        <v>81</v>
      </c>
      <c r="G807" s="218" t="s">
        <v>45</v>
      </c>
      <c r="H807" s="74" t="s">
        <v>46</v>
      </c>
      <c r="I807" s="74" t="s">
        <v>82</v>
      </c>
      <c r="J807" s="74" t="s">
        <v>118</v>
      </c>
      <c r="K807" s="218" t="s">
        <v>38</v>
      </c>
      <c r="L807" s="66"/>
      <c r="M807" s="18"/>
      <c r="N807" s="18"/>
      <c r="O807" s="18"/>
      <c r="P807" s="293"/>
      <c r="Q807" s="295"/>
      <c r="R807" s="294"/>
      <c r="S807" s="18"/>
      <c r="T807" s="284"/>
      <c r="U807" s="284"/>
      <c r="V807" s="284"/>
      <c r="W807" s="18"/>
      <c r="X807" s="18"/>
      <c r="Y807" s="18"/>
      <c r="Z807" s="18"/>
    </row>
    <row r="808" spans="1:26" ht="16.5" customHeight="1" x14ac:dyDescent="0.35">
      <c r="A808" s="230"/>
      <c r="B808" s="230"/>
      <c r="C808" s="217"/>
      <c r="D808" s="217"/>
      <c r="E808" s="217"/>
      <c r="F808" s="217"/>
      <c r="G808" s="217"/>
      <c r="H808" s="74" t="s">
        <v>48</v>
      </c>
      <c r="I808" s="74" t="s">
        <v>82</v>
      </c>
      <c r="J808" s="74" t="s">
        <v>118</v>
      </c>
      <c r="K808" s="217"/>
      <c r="L808" s="66"/>
      <c r="M808" s="18"/>
      <c r="N808" s="18"/>
      <c r="O808" s="18"/>
      <c r="P808" s="284"/>
      <c r="Q808" s="284"/>
      <c r="R808" s="284"/>
      <c r="S808" s="18"/>
      <c r="T808" s="293"/>
      <c r="U808" s="295"/>
      <c r="V808" s="294"/>
      <c r="W808" s="18"/>
      <c r="X808" s="18"/>
      <c r="Y808" s="18"/>
      <c r="Z808" s="18"/>
    </row>
    <row r="809" spans="1:26" ht="16.5" customHeight="1" x14ac:dyDescent="0.35">
      <c r="A809" s="230"/>
      <c r="B809" s="230"/>
      <c r="C809" s="227" t="s">
        <v>58</v>
      </c>
      <c r="D809" s="218">
        <v>3</v>
      </c>
      <c r="E809" s="216">
        <v>1.5</v>
      </c>
      <c r="F809" s="218" t="s">
        <v>81</v>
      </c>
      <c r="G809" s="218" t="s">
        <v>289</v>
      </c>
      <c r="H809" s="74" t="s">
        <v>35</v>
      </c>
      <c r="I809" s="74" t="s">
        <v>82</v>
      </c>
      <c r="J809" s="74" t="s">
        <v>118</v>
      </c>
      <c r="K809" s="218" t="s">
        <v>38</v>
      </c>
      <c r="L809" s="66"/>
      <c r="M809" s="18"/>
      <c r="N809" s="18"/>
      <c r="O809" s="18"/>
      <c r="P809" s="293"/>
      <c r="Q809" s="295"/>
      <c r="R809" s="294"/>
      <c r="S809" s="18"/>
      <c r="T809" s="284"/>
      <c r="U809" s="284"/>
      <c r="V809" s="284"/>
      <c r="W809" s="18"/>
      <c r="X809" s="18"/>
      <c r="Y809" s="18"/>
      <c r="Z809" s="18"/>
    </row>
    <row r="810" spans="1:26" ht="16.5" customHeight="1" x14ac:dyDescent="0.35">
      <c r="A810" s="230"/>
      <c r="B810" s="230"/>
      <c r="C810" s="217"/>
      <c r="D810" s="217"/>
      <c r="E810" s="217"/>
      <c r="F810" s="217"/>
      <c r="G810" s="217"/>
      <c r="H810" s="74" t="s">
        <v>48</v>
      </c>
      <c r="I810" s="74" t="s">
        <v>82</v>
      </c>
      <c r="J810" s="74" t="s">
        <v>118</v>
      </c>
      <c r="K810" s="217"/>
      <c r="L810" s="66"/>
      <c r="M810" s="18"/>
      <c r="N810" s="18"/>
      <c r="O810" s="18"/>
      <c r="P810" s="284"/>
      <c r="Q810" s="284"/>
      <c r="R810" s="284"/>
      <c r="S810" s="18"/>
      <c r="T810" s="293"/>
      <c r="U810" s="295"/>
      <c r="V810" s="294"/>
      <c r="W810" s="18"/>
      <c r="X810" s="18"/>
      <c r="Y810" s="18"/>
      <c r="Z810" s="18"/>
    </row>
    <row r="811" spans="1:26" ht="16.5" customHeight="1" x14ac:dyDescent="0.35">
      <c r="A811" s="230"/>
      <c r="B811" s="230"/>
      <c r="C811" s="227" t="s">
        <v>345</v>
      </c>
      <c r="D811" s="218">
        <v>3</v>
      </c>
      <c r="E811" s="216">
        <v>1.5</v>
      </c>
      <c r="F811" s="218" t="s">
        <v>120</v>
      </c>
      <c r="G811" s="218" t="s">
        <v>34</v>
      </c>
      <c r="H811" s="74" t="s">
        <v>39</v>
      </c>
      <c r="I811" s="74" t="s">
        <v>82</v>
      </c>
      <c r="J811" s="74" t="s">
        <v>118</v>
      </c>
      <c r="K811" s="218" t="s">
        <v>38</v>
      </c>
      <c r="L811" s="66"/>
      <c r="M811" s="18"/>
      <c r="N811" s="18"/>
      <c r="O811" s="18"/>
      <c r="P811" s="293"/>
      <c r="Q811" s="295"/>
      <c r="R811" s="294"/>
      <c r="S811" s="18"/>
      <c r="T811" s="284"/>
      <c r="U811" s="284"/>
      <c r="V811" s="284"/>
      <c r="W811" s="18"/>
      <c r="X811" s="18"/>
      <c r="Y811" s="18"/>
      <c r="Z811" s="18"/>
    </row>
    <row r="812" spans="1:26" ht="16.5" customHeight="1" x14ac:dyDescent="0.35">
      <c r="A812" s="230"/>
      <c r="B812" s="230"/>
      <c r="C812" s="217"/>
      <c r="D812" s="217"/>
      <c r="E812" s="217"/>
      <c r="F812" s="217"/>
      <c r="G812" s="217"/>
      <c r="H812" s="74" t="s">
        <v>119</v>
      </c>
      <c r="I812" s="74" t="s">
        <v>61</v>
      </c>
      <c r="J812" s="74" t="s">
        <v>118</v>
      </c>
      <c r="K812" s="217"/>
      <c r="L812" s="66"/>
      <c r="M812" s="18"/>
      <c r="N812" s="18"/>
      <c r="O812" s="18"/>
      <c r="P812" s="284"/>
      <c r="Q812" s="284"/>
      <c r="R812" s="284"/>
      <c r="S812" s="18"/>
      <c r="T812" s="293"/>
      <c r="U812" s="295"/>
      <c r="V812" s="294"/>
      <c r="W812" s="18"/>
      <c r="X812" s="18"/>
      <c r="Y812" s="18"/>
      <c r="Z812" s="18"/>
    </row>
    <row r="813" spans="1:26" ht="16.5" customHeight="1" x14ac:dyDescent="0.35">
      <c r="A813" s="230"/>
      <c r="B813" s="230"/>
      <c r="C813" s="227" t="s">
        <v>171</v>
      </c>
      <c r="D813" s="218">
        <v>2</v>
      </c>
      <c r="E813" s="216">
        <v>1</v>
      </c>
      <c r="F813" s="218" t="s">
        <v>75</v>
      </c>
      <c r="G813" s="218" t="s">
        <v>90</v>
      </c>
      <c r="H813" s="74" t="s">
        <v>35</v>
      </c>
      <c r="I813" s="74" t="s">
        <v>123</v>
      </c>
      <c r="J813" s="74" t="s">
        <v>208</v>
      </c>
      <c r="K813" s="218" t="s">
        <v>54</v>
      </c>
      <c r="L813" s="66"/>
      <c r="M813" s="18"/>
      <c r="N813" s="18"/>
      <c r="O813" s="18"/>
      <c r="P813" s="293"/>
      <c r="Q813" s="295"/>
      <c r="R813" s="294"/>
      <c r="S813" s="18"/>
      <c r="T813" s="284"/>
      <c r="U813" s="284"/>
      <c r="V813" s="284"/>
      <c r="W813" s="18"/>
      <c r="X813" s="18"/>
      <c r="Y813" s="18"/>
      <c r="Z813" s="18"/>
    </row>
    <row r="814" spans="1:26" ht="16.5" customHeight="1" x14ac:dyDescent="0.35">
      <c r="A814" s="230"/>
      <c r="B814" s="230"/>
      <c r="C814" s="217"/>
      <c r="D814" s="217"/>
      <c r="E814" s="217"/>
      <c r="F814" s="217"/>
      <c r="G814" s="217"/>
      <c r="H814" s="74" t="s">
        <v>48</v>
      </c>
      <c r="I814" s="74" t="s">
        <v>219</v>
      </c>
      <c r="J814" s="74" t="s">
        <v>369</v>
      </c>
      <c r="K814" s="217"/>
      <c r="L814" s="66"/>
      <c r="M814" s="18"/>
      <c r="N814" s="18"/>
      <c r="O814" s="18"/>
      <c r="P814" s="284"/>
      <c r="Q814" s="284"/>
      <c r="R814" s="284"/>
      <c r="S814" s="18"/>
      <c r="T814" s="293"/>
      <c r="U814" s="295"/>
      <c r="V814" s="294"/>
      <c r="W814" s="18"/>
      <c r="X814" s="18"/>
      <c r="Y814" s="18"/>
      <c r="Z814" s="18"/>
    </row>
    <row r="815" spans="1:26" ht="16.5" customHeight="1" x14ac:dyDescent="0.35">
      <c r="A815" s="230"/>
      <c r="B815" s="230"/>
      <c r="C815" s="227" t="s">
        <v>171</v>
      </c>
      <c r="D815" s="218">
        <v>2</v>
      </c>
      <c r="E815" s="216">
        <v>1</v>
      </c>
      <c r="F815" s="218" t="s">
        <v>75</v>
      </c>
      <c r="G815" s="218" t="s">
        <v>173</v>
      </c>
      <c r="H815" s="74" t="s">
        <v>46</v>
      </c>
      <c r="I815" s="74" t="s">
        <v>123</v>
      </c>
      <c r="J815" s="75" t="s">
        <v>152</v>
      </c>
      <c r="K815" s="218" t="s">
        <v>38</v>
      </c>
      <c r="L815" s="66"/>
      <c r="M815" s="18"/>
      <c r="N815" s="18"/>
      <c r="O815" s="18"/>
      <c r="P815" s="293"/>
      <c r="Q815" s="295"/>
      <c r="R815" s="294"/>
      <c r="S815" s="18"/>
      <c r="T815" s="284"/>
      <c r="U815" s="284"/>
      <c r="V815" s="284"/>
      <c r="W815" s="18"/>
      <c r="X815" s="18"/>
      <c r="Y815" s="18"/>
      <c r="Z815" s="18"/>
    </row>
    <row r="816" spans="1:26" ht="16.5" customHeight="1" x14ac:dyDescent="0.35">
      <c r="A816" s="230"/>
      <c r="B816" s="230"/>
      <c r="C816" s="217"/>
      <c r="D816" s="217"/>
      <c r="E816" s="217"/>
      <c r="F816" s="217"/>
      <c r="G816" s="217"/>
      <c r="H816" s="74" t="s">
        <v>48</v>
      </c>
      <c r="I816" s="74" t="s">
        <v>61</v>
      </c>
      <c r="J816" s="74" t="s">
        <v>174</v>
      </c>
      <c r="K816" s="217"/>
      <c r="L816" s="66"/>
      <c r="M816" s="18"/>
      <c r="N816" s="18"/>
      <c r="O816" s="18"/>
      <c r="P816" s="284"/>
      <c r="Q816" s="284"/>
      <c r="R816" s="284"/>
      <c r="S816" s="18"/>
      <c r="T816" s="293"/>
      <c r="U816" s="295"/>
      <c r="V816" s="294"/>
      <c r="W816" s="18"/>
      <c r="X816" s="18"/>
      <c r="Y816" s="18"/>
      <c r="Z816" s="18"/>
    </row>
    <row r="817" spans="1:26" ht="16.5" customHeight="1" x14ac:dyDescent="0.35">
      <c r="A817" s="230"/>
      <c r="B817" s="230"/>
      <c r="C817" s="227" t="s">
        <v>370</v>
      </c>
      <c r="D817" s="218">
        <v>3</v>
      </c>
      <c r="E817" s="216">
        <v>3</v>
      </c>
      <c r="F817" s="218" t="s">
        <v>33</v>
      </c>
      <c r="G817" s="218" t="s">
        <v>101</v>
      </c>
      <c r="H817" s="74" t="s">
        <v>39</v>
      </c>
      <c r="I817" s="74" t="s">
        <v>44</v>
      </c>
      <c r="J817" s="74" t="s">
        <v>114</v>
      </c>
      <c r="K817" s="218" t="s">
        <v>54</v>
      </c>
      <c r="L817" s="66"/>
      <c r="M817" s="18"/>
      <c r="N817" s="18"/>
      <c r="O817" s="18"/>
      <c r="P817" s="293"/>
      <c r="Q817" s="295"/>
      <c r="R817" s="294"/>
      <c r="S817" s="18"/>
      <c r="T817" s="284"/>
      <c r="U817" s="284"/>
      <c r="V817" s="284"/>
      <c r="W817" s="18"/>
      <c r="X817" s="18"/>
      <c r="Y817" s="18"/>
      <c r="Z817" s="18"/>
    </row>
    <row r="818" spans="1:26" ht="16.5" customHeight="1" x14ac:dyDescent="0.35">
      <c r="A818" s="230"/>
      <c r="B818" s="230"/>
      <c r="C818" s="217"/>
      <c r="D818" s="217"/>
      <c r="E818" s="217"/>
      <c r="F818" s="217"/>
      <c r="G818" s="217"/>
      <c r="H818" s="74" t="s">
        <v>55</v>
      </c>
      <c r="I818" s="74" t="s">
        <v>44</v>
      </c>
      <c r="J818" s="74" t="s">
        <v>114</v>
      </c>
      <c r="K818" s="217"/>
      <c r="L818" s="66"/>
      <c r="M818" s="18"/>
      <c r="N818" s="18"/>
      <c r="O818" s="18"/>
      <c r="P818" s="284"/>
      <c r="Q818" s="284"/>
      <c r="R818" s="284"/>
      <c r="S818" s="18"/>
      <c r="T818" s="18"/>
      <c r="U818" s="18"/>
      <c r="V818" s="18"/>
      <c r="W818" s="18"/>
      <c r="X818" s="18"/>
      <c r="Y818" s="18"/>
      <c r="Z818" s="18"/>
    </row>
    <row r="819" spans="1:26" ht="16.5" customHeight="1" x14ac:dyDescent="0.35">
      <c r="A819" s="230"/>
      <c r="B819" s="217"/>
      <c r="C819" s="94" t="s">
        <v>191</v>
      </c>
      <c r="D819" s="74">
        <v>3</v>
      </c>
      <c r="E819" s="81">
        <v>3</v>
      </c>
      <c r="F819" s="74" t="s">
        <v>75</v>
      </c>
      <c r="G819" s="74" t="s">
        <v>371</v>
      </c>
      <c r="H819" s="74" t="s">
        <v>119</v>
      </c>
      <c r="I819" s="74" t="s">
        <v>82</v>
      </c>
      <c r="J819" s="75" t="s">
        <v>160</v>
      </c>
      <c r="K819" s="74" t="s">
        <v>93</v>
      </c>
      <c r="L819" s="66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6.5" customHeight="1" x14ac:dyDescent="0.35">
      <c r="A820" s="217"/>
      <c r="B820" s="228" t="s">
        <v>72</v>
      </c>
      <c r="C820" s="221"/>
      <c r="D820" s="222"/>
      <c r="E820" s="71">
        <v>12.5</v>
      </c>
      <c r="F820" s="220"/>
      <c r="G820" s="221"/>
      <c r="H820" s="221"/>
      <c r="I820" s="221"/>
      <c r="J820" s="221"/>
      <c r="K820" s="222"/>
      <c r="L820" s="66"/>
      <c r="M820" s="18"/>
      <c r="N820" s="18"/>
      <c r="O820" s="18"/>
      <c r="P820" s="18"/>
      <c r="Q820" s="18"/>
      <c r="R820" s="18"/>
      <c r="S820" s="18"/>
      <c r="T820" s="293"/>
      <c r="U820" s="295"/>
      <c r="V820" s="294"/>
      <c r="W820" s="18"/>
      <c r="X820" s="18"/>
      <c r="Y820" s="18"/>
      <c r="Z820" s="18"/>
    </row>
    <row r="821" spans="1:26" ht="16.5" customHeight="1" x14ac:dyDescent="0.35">
      <c r="A821" s="229">
        <v>49</v>
      </c>
      <c r="B821" s="238" t="s">
        <v>372</v>
      </c>
      <c r="C821" s="227" t="s">
        <v>32</v>
      </c>
      <c r="D821" s="218">
        <v>3</v>
      </c>
      <c r="E821" s="216">
        <v>1.5</v>
      </c>
      <c r="F821" s="218" t="s">
        <v>158</v>
      </c>
      <c r="G821" s="218" t="s">
        <v>34</v>
      </c>
      <c r="H821" s="74" t="s">
        <v>46</v>
      </c>
      <c r="I821" s="74" t="s">
        <v>36</v>
      </c>
      <c r="J821" s="74" t="s">
        <v>159</v>
      </c>
      <c r="K821" s="218" t="s">
        <v>38</v>
      </c>
      <c r="L821" s="66"/>
      <c r="M821" s="18"/>
      <c r="N821" s="18"/>
      <c r="O821" s="18"/>
      <c r="P821" s="293"/>
      <c r="Q821" s="295"/>
      <c r="R821" s="294"/>
      <c r="S821" s="18"/>
      <c r="T821" s="284"/>
      <c r="U821" s="284"/>
      <c r="V821" s="284"/>
      <c r="W821" s="18"/>
      <c r="X821" s="18"/>
      <c r="Y821" s="18"/>
      <c r="Z821" s="18"/>
    </row>
    <row r="822" spans="1:26" ht="16.5" customHeight="1" x14ac:dyDescent="0.35">
      <c r="A822" s="230"/>
      <c r="B822" s="230"/>
      <c r="C822" s="217"/>
      <c r="D822" s="217"/>
      <c r="E822" s="217"/>
      <c r="F822" s="217"/>
      <c r="G822" s="217"/>
      <c r="H822" s="74" t="s">
        <v>55</v>
      </c>
      <c r="I822" s="74" t="s">
        <v>36</v>
      </c>
      <c r="J822" s="74" t="s">
        <v>124</v>
      </c>
      <c r="K822" s="217"/>
      <c r="L822" s="66"/>
      <c r="M822" s="18"/>
      <c r="N822" s="18"/>
      <c r="O822" s="18"/>
      <c r="P822" s="284"/>
      <c r="Q822" s="284"/>
      <c r="R822" s="284"/>
      <c r="S822" s="18"/>
      <c r="T822" s="293"/>
      <c r="U822" s="295"/>
      <c r="V822" s="294"/>
      <c r="W822" s="18"/>
      <c r="X822" s="18"/>
      <c r="Y822" s="18"/>
      <c r="Z822" s="18"/>
    </row>
    <row r="823" spans="1:26" ht="16.5" customHeight="1" x14ac:dyDescent="0.35">
      <c r="A823" s="230"/>
      <c r="B823" s="230"/>
      <c r="C823" s="227" t="s">
        <v>32</v>
      </c>
      <c r="D823" s="218">
        <v>3</v>
      </c>
      <c r="E823" s="216">
        <v>1.5</v>
      </c>
      <c r="F823" s="218" t="s">
        <v>75</v>
      </c>
      <c r="G823" s="218" t="s">
        <v>34</v>
      </c>
      <c r="H823" s="74" t="s">
        <v>35</v>
      </c>
      <c r="I823" s="74" t="s">
        <v>44</v>
      </c>
      <c r="J823" s="74" t="s">
        <v>126</v>
      </c>
      <c r="K823" s="218" t="s">
        <v>38</v>
      </c>
      <c r="L823" s="66"/>
      <c r="M823" s="18"/>
      <c r="N823" s="18"/>
      <c r="O823" s="18"/>
      <c r="P823" s="293"/>
      <c r="Q823" s="295"/>
      <c r="R823" s="294"/>
      <c r="S823" s="18"/>
      <c r="T823" s="284"/>
      <c r="U823" s="284"/>
      <c r="V823" s="284"/>
      <c r="W823" s="18"/>
      <c r="X823" s="18"/>
      <c r="Y823" s="18"/>
      <c r="Z823" s="18"/>
    </row>
    <row r="824" spans="1:26" ht="16.5" customHeight="1" x14ac:dyDescent="0.35">
      <c r="A824" s="230"/>
      <c r="B824" s="230"/>
      <c r="C824" s="217"/>
      <c r="D824" s="217"/>
      <c r="E824" s="217"/>
      <c r="F824" s="217"/>
      <c r="G824" s="217"/>
      <c r="H824" s="74" t="s">
        <v>48</v>
      </c>
      <c r="I824" s="74" t="s">
        <v>36</v>
      </c>
      <c r="J824" s="74" t="s">
        <v>373</v>
      </c>
      <c r="K824" s="217"/>
      <c r="L824" s="66"/>
      <c r="M824" s="18"/>
      <c r="N824" s="18"/>
      <c r="O824" s="18"/>
      <c r="P824" s="284"/>
      <c r="Q824" s="284"/>
      <c r="R824" s="284"/>
      <c r="S824" s="18"/>
      <c r="T824" s="293"/>
      <c r="U824" s="295"/>
      <c r="V824" s="294"/>
      <c r="W824" s="18"/>
      <c r="X824" s="18"/>
      <c r="Y824" s="18"/>
      <c r="Z824" s="18"/>
    </row>
    <row r="825" spans="1:26" ht="16.5" customHeight="1" x14ac:dyDescent="0.35">
      <c r="A825" s="230"/>
      <c r="B825" s="230"/>
      <c r="C825" s="227" t="s">
        <v>32</v>
      </c>
      <c r="D825" s="218">
        <v>3</v>
      </c>
      <c r="E825" s="216">
        <v>1.5</v>
      </c>
      <c r="F825" s="218" t="s">
        <v>75</v>
      </c>
      <c r="G825" s="218" t="s">
        <v>42</v>
      </c>
      <c r="H825" s="74" t="s">
        <v>46</v>
      </c>
      <c r="I825" s="74" t="s">
        <v>40</v>
      </c>
      <c r="J825" s="74" t="s">
        <v>150</v>
      </c>
      <c r="K825" s="218" t="s">
        <v>38</v>
      </c>
      <c r="L825" s="66"/>
      <c r="M825" s="18"/>
      <c r="N825" s="18"/>
      <c r="O825" s="18"/>
      <c r="P825" s="293"/>
      <c r="Q825" s="295"/>
      <c r="R825" s="294"/>
      <c r="S825" s="18"/>
      <c r="T825" s="284"/>
      <c r="U825" s="284"/>
      <c r="V825" s="284"/>
      <c r="W825" s="18"/>
      <c r="X825" s="18"/>
      <c r="Y825" s="18"/>
      <c r="Z825" s="18"/>
    </row>
    <row r="826" spans="1:26" ht="16.5" customHeight="1" x14ac:dyDescent="0.35">
      <c r="A826" s="230"/>
      <c r="B826" s="230"/>
      <c r="C826" s="217"/>
      <c r="D826" s="217"/>
      <c r="E826" s="217"/>
      <c r="F826" s="217"/>
      <c r="G826" s="217"/>
      <c r="H826" s="74" t="s">
        <v>48</v>
      </c>
      <c r="I826" s="74" t="s">
        <v>40</v>
      </c>
      <c r="J826" s="74" t="s">
        <v>133</v>
      </c>
      <c r="K826" s="217"/>
      <c r="L826" s="66"/>
      <c r="M826" s="18"/>
      <c r="N826" s="18"/>
      <c r="O826" s="18"/>
      <c r="P826" s="284"/>
      <c r="Q826" s="284"/>
      <c r="R826" s="284"/>
      <c r="S826" s="18"/>
      <c r="T826" s="293"/>
      <c r="U826" s="295"/>
      <c r="V826" s="294"/>
      <c r="W826" s="18"/>
      <c r="X826" s="18"/>
      <c r="Y826" s="18"/>
      <c r="Z826" s="18"/>
    </row>
    <row r="827" spans="1:26" ht="16.5" customHeight="1" x14ac:dyDescent="0.35">
      <c r="A827" s="230"/>
      <c r="B827" s="230"/>
      <c r="C827" s="227" t="s">
        <v>32</v>
      </c>
      <c r="D827" s="218">
        <v>3</v>
      </c>
      <c r="E827" s="216">
        <v>1.5</v>
      </c>
      <c r="F827" s="218" t="s">
        <v>75</v>
      </c>
      <c r="G827" s="218" t="s">
        <v>45</v>
      </c>
      <c r="H827" s="74" t="s">
        <v>46</v>
      </c>
      <c r="I827" s="74" t="s">
        <v>44</v>
      </c>
      <c r="J827" s="74" t="s">
        <v>65</v>
      </c>
      <c r="K827" s="218" t="s">
        <v>38</v>
      </c>
      <c r="L827" s="66"/>
      <c r="M827" s="18"/>
      <c r="N827" s="18"/>
      <c r="O827" s="18"/>
      <c r="P827" s="293"/>
      <c r="Q827" s="295"/>
      <c r="R827" s="294"/>
      <c r="S827" s="18"/>
      <c r="T827" s="284"/>
      <c r="U827" s="284"/>
      <c r="V827" s="284"/>
      <c r="W827" s="18"/>
      <c r="X827" s="18"/>
      <c r="Y827" s="18"/>
      <c r="Z827" s="18"/>
    </row>
    <row r="828" spans="1:26" ht="16.5" customHeight="1" x14ac:dyDescent="0.35">
      <c r="A828" s="230"/>
      <c r="B828" s="230"/>
      <c r="C828" s="217"/>
      <c r="D828" s="217"/>
      <c r="E828" s="217"/>
      <c r="F828" s="217"/>
      <c r="G828" s="217"/>
      <c r="H828" s="74" t="s">
        <v>55</v>
      </c>
      <c r="I828" s="74" t="s">
        <v>44</v>
      </c>
      <c r="J828" s="74" t="s">
        <v>159</v>
      </c>
      <c r="K828" s="217"/>
      <c r="L828" s="66"/>
      <c r="M828" s="18"/>
      <c r="N828" s="18"/>
      <c r="O828" s="18"/>
      <c r="P828" s="284"/>
      <c r="Q828" s="284"/>
      <c r="R828" s="284"/>
      <c r="S828" s="18"/>
      <c r="T828" s="293"/>
      <c r="U828" s="295"/>
      <c r="V828" s="294"/>
      <c r="W828" s="18"/>
      <c r="X828" s="18"/>
      <c r="Y828" s="18"/>
      <c r="Z828" s="18"/>
    </row>
    <row r="829" spans="1:26" ht="16.5" customHeight="1" x14ac:dyDescent="0.35">
      <c r="A829" s="230"/>
      <c r="B829" s="230"/>
      <c r="C829" s="227" t="s">
        <v>187</v>
      </c>
      <c r="D829" s="218">
        <v>3</v>
      </c>
      <c r="E829" s="216">
        <v>3</v>
      </c>
      <c r="F829" s="218" t="s">
        <v>75</v>
      </c>
      <c r="G829" s="218" t="s">
        <v>247</v>
      </c>
      <c r="H829" s="74" t="s">
        <v>35</v>
      </c>
      <c r="I829" s="74" t="s">
        <v>40</v>
      </c>
      <c r="J829" s="74" t="s">
        <v>110</v>
      </c>
      <c r="K829" s="218" t="s">
        <v>38</v>
      </c>
      <c r="L829" s="66"/>
      <c r="M829" s="22"/>
      <c r="N829" s="22"/>
      <c r="O829" s="22"/>
      <c r="P829" s="293"/>
      <c r="Q829" s="295"/>
      <c r="R829" s="294"/>
      <c r="S829" s="18"/>
      <c r="T829" s="284"/>
      <c r="U829" s="284"/>
      <c r="V829" s="284"/>
      <c r="W829" s="18"/>
      <c r="X829" s="18"/>
      <c r="Y829" s="18"/>
      <c r="Z829" s="18"/>
    </row>
    <row r="830" spans="1:26" ht="16.5" customHeight="1" x14ac:dyDescent="0.35">
      <c r="A830" s="230"/>
      <c r="B830" s="230"/>
      <c r="C830" s="219"/>
      <c r="D830" s="217"/>
      <c r="E830" s="217"/>
      <c r="F830" s="217"/>
      <c r="G830" s="217"/>
      <c r="H830" s="74" t="s">
        <v>48</v>
      </c>
      <c r="I830" s="74" t="s">
        <v>44</v>
      </c>
      <c r="J830" s="74" t="s">
        <v>71</v>
      </c>
      <c r="K830" s="217"/>
      <c r="L830" s="66"/>
      <c r="M830" s="22"/>
      <c r="N830" s="22"/>
      <c r="O830" s="22"/>
      <c r="P830" s="284"/>
      <c r="Q830" s="284"/>
      <c r="R830" s="284"/>
      <c r="S830" s="18"/>
      <c r="T830" s="293"/>
      <c r="U830" s="295"/>
      <c r="V830" s="294"/>
      <c r="W830" s="18"/>
      <c r="X830" s="18"/>
      <c r="Y830" s="18"/>
      <c r="Z830" s="18"/>
    </row>
    <row r="831" spans="1:26" ht="16.5" customHeight="1" x14ac:dyDescent="0.35">
      <c r="A831" s="230"/>
      <c r="B831" s="230"/>
      <c r="C831" s="227" t="s">
        <v>374</v>
      </c>
      <c r="D831" s="218">
        <v>2</v>
      </c>
      <c r="E831" s="216">
        <v>2</v>
      </c>
      <c r="F831" s="218" t="s">
        <v>158</v>
      </c>
      <c r="G831" s="218" t="s">
        <v>90</v>
      </c>
      <c r="H831" s="74" t="s">
        <v>35</v>
      </c>
      <c r="I831" s="74" t="s">
        <v>123</v>
      </c>
      <c r="J831" s="74" t="s">
        <v>174</v>
      </c>
      <c r="K831" s="218" t="s">
        <v>54</v>
      </c>
      <c r="L831" s="66"/>
      <c r="M831" s="18"/>
      <c r="N831" s="18"/>
      <c r="O831" s="18"/>
      <c r="P831" s="293"/>
      <c r="Q831" s="295"/>
      <c r="R831" s="294"/>
      <c r="S831" s="18"/>
      <c r="T831" s="284"/>
      <c r="U831" s="284"/>
      <c r="V831" s="284"/>
      <c r="W831" s="18"/>
      <c r="X831" s="18"/>
      <c r="Y831" s="18"/>
      <c r="Z831" s="18"/>
    </row>
    <row r="832" spans="1:26" ht="16.5" customHeight="1" x14ac:dyDescent="0.35">
      <c r="A832" s="230"/>
      <c r="B832" s="230"/>
      <c r="C832" s="217"/>
      <c r="D832" s="217"/>
      <c r="E832" s="217"/>
      <c r="F832" s="217"/>
      <c r="G832" s="217"/>
      <c r="H832" s="74" t="s">
        <v>48</v>
      </c>
      <c r="I832" s="74" t="s">
        <v>52</v>
      </c>
      <c r="J832" s="74" t="s">
        <v>159</v>
      </c>
      <c r="K832" s="217"/>
      <c r="L832" s="66"/>
      <c r="M832" s="18"/>
      <c r="N832" s="18"/>
      <c r="O832" s="18"/>
      <c r="P832" s="284"/>
      <c r="Q832" s="284"/>
      <c r="R832" s="284"/>
      <c r="S832" s="18"/>
      <c r="T832" s="293"/>
      <c r="U832" s="295"/>
      <c r="V832" s="294"/>
      <c r="W832" s="18"/>
      <c r="X832" s="18"/>
      <c r="Y832" s="18"/>
      <c r="Z832" s="18"/>
    </row>
    <row r="833" spans="1:26" ht="16.5" customHeight="1" x14ac:dyDescent="0.35">
      <c r="A833" s="230"/>
      <c r="B833" s="230"/>
      <c r="C833" s="227" t="s">
        <v>58</v>
      </c>
      <c r="D833" s="218">
        <v>3</v>
      </c>
      <c r="E833" s="216">
        <v>1.5</v>
      </c>
      <c r="F833" s="218" t="s">
        <v>375</v>
      </c>
      <c r="G833" s="218" t="s">
        <v>34</v>
      </c>
      <c r="H833" s="74" t="s">
        <v>39</v>
      </c>
      <c r="I833" s="74" t="s">
        <v>61</v>
      </c>
      <c r="J833" s="74" t="s">
        <v>60</v>
      </c>
      <c r="K833" s="218" t="s">
        <v>54</v>
      </c>
      <c r="L833" s="66"/>
      <c r="M833" s="18"/>
      <c r="N833" s="18"/>
      <c r="O833" s="18"/>
      <c r="P833" s="293"/>
      <c r="Q833" s="295"/>
      <c r="R833" s="294"/>
      <c r="S833" s="18"/>
      <c r="T833" s="284"/>
      <c r="U833" s="284"/>
      <c r="V833" s="284"/>
      <c r="W833" s="18"/>
      <c r="X833" s="18"/>
      <c r="Y833" s="18"/>
      <c r="Z833" s="18"/>
    </row>
    <row r="834" spans="1:26" ht="16.5" customHeight="1" x14ac:dyDescent="0.35">
      <c r="A834" s="230"/>
      <c r="B834" s="230"/>
      <c r="C834" s="217"/>
      <c r="D834" s="217"/>
      <c r="E834" s="217"/>
      <c r="F834" s="217"/>
      <c r="G834" s="217"/>
      <c r="H834" s="74" t="s">
        <v>119</v>
      </c>
      <c r="I834" s="74" t="s">
        <v>82</v>
      </c>
      <c r="J834" s="74" t="s">
        <v>60</v>
      </c>
      <c r="K834" s="217"/>
      <c r="L834" s="66"/>
      <c r="M834" s="18"/>
      <c r="N834" s="18"/>
      <c r="O834" s="18"/>
      <c r="P834" s="284"/>
      <c r="Q834" s="284"/>
      <c r="R834" s="284"/>
      <c r="S834" s="18"/>
      <c r="T834" s="293"/>
      <c r="U834" s="295"/>
      <c r="V834" s="294"/>
      <c r="W834" s="18"/>
      <c r="X834" s="18"/>
      <c r="Y834" s="18"/>
      <c r="Z834" s="18"/>
    </row>
    <row r="835" spans="1:26" ht="16.5" customHeight="1" x14ac:dyDescent="0.35">
      <c r="A835" s="230"/>
      <c r="B835" s="217"/>
      <c r="C835" s="94" t="s">
        <v>89</v>
      </c>
      <c r="D835" s="74">
        <v>3</v>
      </c>
      <c r="E835" s="81">
        <v>3</v>
      </c>
      <c r="F835" s="74" t="s">
        <v>75</v>
      </c>
      <c r="G835" s="74" t="s">
        <v>211</v>
      </c>
      <c r="H835" s="74" t="s">
        <v>35</v>
      </c>
      <c r="I835" s="74" t="s">
        <v>91</v>
      </c>
      <c r="J835" s="74" t="s">
        <v>267</v>
      </c>
      <c r="K835" s="74" t="s">
        <v>93</v>
      </c>
      <c r="L835" s="66"/>
      <c r="M835" s="18"/>
      <c r="N835" s="18"/>
      <c r="O835" s="18"/>
      <c r="P835" s="18"/>
      <c r="Q835" s="18"/>
      <c r="R835" s="18"/>
      <c r="S835" s="18"/>
      <c r="T835" s="284"/>
      <c r="U835" s="284"/>
      <c r="V835" s="284"/>
      <c r="W835" s="18"/>
      <c r="X835" s="18"/>
      <c r="Y835" s="18"/>
      <c r="Z835" s="18"/>
    </row>
    <row r="836" spans="1:26" ht="16.5" customHeight="1" x14ac:dyDescent="0.35">
      <c r="A836" s="217"/>
      <c r="B836" s="228" t="s">
        <v>72</v>
      </c>
      <c r="C836" s="221"/>
      <c r="D836" s="222"/>
      <c r="E836" s="71">
        <f>SUM(E821:E835)</f>
        <v>15.5</v>
      </c>
      <c r="F836" s="220"/>
      <c r="G836" s="221"/>
      <c r="H836" s="221"/>
      <c r="I836" s="221"/>
      <c r="J836" s="221"/>
      <c r="K836" s="222"/>
      <c r="L836" s="66"/>
      <c r="M836" s="18"/>
      <c r="N836" s="18"/>
      <c r="O836" s="18"/>
      <c r="P836" s="18"/>
      <c r="Q836" s="18"/>
      <c r="R836" s="18"/>
      <c r="S836" s="18"/>
      <c r="T836" s="293"/>
      <c r="U836" s="295"/>
      <c r="V836" s="294"/>
      <c r="W836" s="18"/>
      <c r="X836" s="18"/>
      <c r="Y836" s="18"/>
      <c r="Z836" s="18"/>
    </row>
    <row r="837" spans="1:26" ht="16.5" customHeight="1" x14ac:dyDescent="0.35">
      <c r="A837" s="229">
        <v>50</v>
      </c>
      <c r="B837" s="238" t="s">
        <v>376</v>
      </c>
      <c r="C837" s="227" t="s">
        <v>377</v>
      </c>
      <c r="D837" s="218">
        <v>3</v>
      </c>
      <c r="E837" s="216">
        <v>3</v>
      </c>
      <c r="F837" s="218" t="s">
        <v>75</v>
      </c>
      <c r="G837" s="218" t="s">
        <v>101</v>
      </c>
      <c r="H837" s="74" t="s">
        <v>35</v>
      </c>
      <c r="I837" s="74" t="s">
        <v>36</v>
      </c>
      <c r="J837" s="74" t="s">
        <v>206</v>
      </c>
      <c r="K837" s="218" t="s">
        <v>38</v>
      </c>
      <c r="L837" s="66"/>
      <c r="M837" s="18"/>
      <c r="N837" s="18"/>
      <c r="O837" s="18"/>
      <c r="P837" s="293"/>
      <c r="Q837" s="295"/>
      <c r="R837" s="294"/>
      <c r="S837" s="18"/>
      <c r="T837" s="284"/>
      <c r="U837" s="284"/>
      <c r="V837" s="284"/>
      <c r="W837" s="18"/>
      <c r="X837" s="18"/>
      <c r="Y837" s="18"/>
      <c r="Z837" s="18"/>
    </row>
    <row r="838" spans="1:26" ht="16.5" customHeight="1" x14ac:dyDescent="0.35">
      <c r="A838" s="230"/>
      <c r="B838" s="230"/>
      <c r="C838" s="217"/>
      <c r="D838" s="217"/>
      <c r="E838" s="217"/>
      <c r="F838" s="217"/>
      <c r="G838" s="217"/>
      <c r="H838" s="74" t="s">
        <v>48</v>
      </c>
      <c r="I838" s="74" t="s">
        <v>44</v>
      </c>
      <c r="J838" s="74" t="s">
        <v>133</v>
      </c>
      <c r="K838" s="217"/>
      <c r="L838" s="66"/>
      <c r="M838" s="18"/>
      <c r="N838" s="18"/>
      <c r="O838" s="18"/>
      <c r="P838" s="284"/>
      <c r="Q838" s="284"/>
      <c r="R838" s="284"/>
      <c r="S838" s="18"/>
      <c r="T838" s="18"/>
      <c r="U838" s="18"/>
      <c r="V838" s="18"/>
      <c r="W838" s="18"/>
      <c r="X838" s="18"/>
      <c r="Y838" s="18"/>
      <c r="Z838" s="18"/>
    </row>
    <row r="839" spans="1:26" ht="16.5" customHeight="1" x14ac:dyDescent="0.35">
      <c r="A839" s="230"/>
      <c r="B839" s="230"/>
      <c r="C839" s="227" t="s">
        <v>377</v>
      </c>
      <c r="D839" s="218">
        <v>3</v>
      </c>
      <c r="E839" s="216">
        <v>3</v>
      </c>
      <c r="F839" s="218" t="s">
        <v>75</v>
      </c>
      <c r="G839" s="218" t="s">
        <v>64</v>
      </c>
      <c r="H839" s="74" t="s">
        <v>35</v>
      </c>
      <c r="I839" s="74" t="s">
        <v>44</v>
      </c>
      <c r="J839" s="74" t="s">
        <v>149</v>
      </c>
      <c r="K839" s="218" t="s">
        <v>38</v>
      </c>
      <c r="L839" s="66"/>
      <c r="M839" s="18"/>
      <c r="N839" s="18"/>
      <c r="O839" s="18"/>
      <c r="P839" s="293"/>
      <c r="Q839" s="295"/>
      <c r="R839" s="294"/>
      <c r="S839" s="18"/>
      <c r="T839" s="18"/>
      <c r="U839" s="18"/>
      <c r="V839" s="18"/>
      <c r="W839" s="18"/>
      <c r="X839" s="18"/>
      <c r="Y839" s="18"/>
      <c r="Z839" s="18"/>
    </row>
    <row r="840" spans="1:26" ht="16.5" customHeight="1" x14ac:dyDescent="0.35">
      <c r="A840" s="230"/>
      <c r="B840" s="230"/>
      <c r="C840" s="217"/>
      <c r="D840" s="217"/>
      <c r="E840" s="217"/>
      <c r="F840" s="217"/>
      <c r="G840" s="217"/>
      <c r="H840" s="74" t="s">
        <v>55</v>
      </c>
      <c r="I840" s="74" t="s">
        <v>36</v>
      </c>
      <c r="J840" s="74" t="s">
        <v>133</v>
      </c>
      <c r="K840" s="217"/>
      <c r="L840" s="66"/>
      <c r="M840" s="18"/>
      <c r="N840" s="18"/>
      <c r="O840" s="18"/>
      <c r="P840" s="284"/>
      <c r="Q840" s="284"/>
      <c r="R840" s="284"/>
      <c r="S840" s="18"/>
      <c r="T840" s="293"/>
      <c r="U840" s="295"/>
      <c r="V840" s="294"/>
      <c r="W840" s="18"/>
      <c r="X840" s="18"/>
      <c r="Y840" s="18"/>
      <c r="Z840" s="18"/>
    </row>
    <row r="841" spans="1:26" ht="16.5" customHeight="1" x14ac:dyDescent="0.35">
      <c r="A841" s="230"/>
      <c r="B841" s="230"/>
      <c r="C841" s="227" t="s">
        <v>148</v>
      </c>
      <c r="D841" s="218">
        <v>3</v>
      </c>
      <c r="E841" s="216">
        <v>1.5</v>
      </c>
      <c r="F841" s="218" t="s">
        <v>63</v>
      </c>
      <c r="G841" s="218" t="s">
        <v>34</v>
      </c>
      <c r="H841" s="74" t="s">
        <v>154</v>
      </c>
      <c r="I841" s="74" t="s">
        <v>40</v>
      </c>
      <c r="J841" s="74" t="s">
        <v>155</v>
      </c>
      <c r="K841" s="218" t="s">
        <v>38</v>
      </c>
      <c r="L841" s="66"/>
      <c r="M841" s="18"/>
      <c r="N841" s="18"/>
      <c r="O841" s="18"/>
      <c r="P841" s="293"/>
      <c r="Q841" s="295"/>
      <c r="R841" s="294"/>
      <c r="S841" s="18"/>
      <c r="T841" s="284"/>
      <c r="U841" s="284"/>
      <c r="V841" s="284"/>
      <c r="W841" s="18"/>
      <c r="X841" s="18"/>
      <c r="Y841" s="18"/>
      <c r="Z841" s="18"/>
    </row>
    <row r="842" spans="1:26" ht="16.5" customHeight="1" x14ac:dyDescent="0.35">
      <c r="A842" s="217"/>
      <c r="B842" s="217"/>
      <c r="C842" s="219"/>
      <c r="D842" s="219"/>
      <c r="E842" s="219"/>
      <c r="F842" s="219"/>
      <c r="G842" s="219"/>
      <c r="H842" s="84" t="s">
        <v>46</v>
      </c>
      <c r="I842" s="84" t="s">
        <v>40</v>
      </c>
      <c r="J842" s="84" t="s">
        <v>155</v>
      </c>
      <c r="K842" s="219"/>
      <c r="L842" s="66"/>
      <c r="M842" s="18"/>
      <c r="N842" s="18"/>
      <c r="O842" s="18"/>
      <c r="P842" s="284"/>
      <c r="Q842" s="284"/>
      <c r="R842" s="284"/>
      <c r="S842" s="18"/>
      <c r="T842" s="293"/>
      <c r="U842" s="295"/>
      <c r="V842" s="294"/>
      <c r="W842" s="18"/>
      <c r="X842" s="18"/>
      <c r="Y842" s="18"/>
      <c r="Z842" s="18"/>
    </row>
    <row r="843" spans="1:26" ht="16.5" customHeight="1" x14ac:dyDescent="0.35">
      <c r="A843" s="104"/>
      <c r="B843" s="59"/>
      <c r="C843" s="60"/>
      <c r="D843" s="61"/>
      <c r="E843" s="62"/>
      <c r="F843" s="61"/>
      <c r="G843" s="61"/>
      <c r="H843" s="61"/>
      <c r="I843" s="61"/>
      <c r="J843" s="61"/>
      <c r="K843" s="61"/>
      <c r="L843" s="66"/>
      <c r="M843" s="18"/>
      <c r="N843" s="18"/>
      <c r="O843" s="18"/>
      <c r="P843" s="7"/>
      <c r="Q843" s="7"/>
      <c r="R843" s="7"/>
      <c r="S843" s="18"/>
      <c r="T843" s="284"/>
      <c r="U843" s="284"/>
      <c r="V843" s="284"/>
      <c r="W843" s="18"/>
      <c r="X843" s="18"/>
      <c r="Y843" s="18"/>
      <c r="Z843" s="18"/>
    </row>
    <row r="844" spans="1:26" ht="16.5" customHeight="1" x14ac:dyDescent="0.35">
      <c r="A844" s="105"/>
      <c r="B844" s="65"/>
      <c r="C844" s="66"/>
      <c r="D844" s="67"/>
      <c r="E844" s="68"/>
      <c r="F844" s="67"/>
      <c r="G844" s="67"/>
      <c r="H844" s="67"/>
      <c r="I844" s="67"/>
      <c r="J844" s="67"/>
      <c r="K844" s="67"/>
      <c r="L844" s="66"/>
      <c r="M844" s="18"/>
      <c r="N844" s="18"/>
      <c r="O844" s="18"/>
      <c r="P844" s="7"/>
      <c r="Q844" s="7"/>
      <c r="R844" s="7"/>
      <c r="S844" s="18"/>
      <c r="T844" s="284"/>
      <c r="U844" s="284"/>
      <c r="V844" s="284"/>
      <c r="W844" s="18"/>
      <c r="X844" s="18"/>
      <c r="Y844" s="18"/>
      <c r="Z844" s="18"/>
    </row>
    <row r="845" spans="1:26" ht="16.5" customHeight="1" x14ac:dyDescent="0.35">
      <c r="A845" s="105"/>
      <c r="B845" s="65"/>
      <c r="C845" s="66"/>
      <c r="D845" s="67"/>
      <c r="E845" s="68"/>
      <c r="F845" s="67"/>
      <c r="G845" s="67"/>
      <c r="H845" s="67"/>
      <c r="I845" s="67"/>
      <c r="J845" s="67"/>
      <c r="K845" s="67"/>
      <c r="L845" s="66"/>
      <c r="M845" s="18"/>
      <c r="N845" s="18"/>
      <c r="O845" s="18"/>
      <c r="P845" s="7"/>
      <c r="Q845" s="7"/>
      <c r="R845" s="7"/>
      <c r="S845" s="18"/>
      <c r="T845" s="284"/>
      <c r="U845" s="284"/>
      <c r="V845" s="284"/>
      <c r="W845" s="18"/>
      <c r="X845" s="18"/>
      <c r="Y845" s="18"/>
      <c r="Z845" s="18"/>
    </row>
    <row r="846" spans="1:26" ht="16.5" customHeight="1" x14ac:dyDescent="0.35">
      <c r="A846" s="105"/>
      <c r="B846" s="65"/>
      <c r="C846" s="66"/>
      <c r="D846" s="67"/>
      <c r="E846" s="68"/>
      <c r="F846" s="67"/>
      <c r="G846" s="67"/>
      <c r="H846" s="67"/>
      <c r="I846" s="67"/>
      <c r="J846" s="67"/>
      <c r="K846" s="67"/>
      <c r="L846" s="66"/>
      <c r="M846" s="18"/>
      <c r="N846" s="18"/>
      <c r="O846" s="18"/>
      <c r="P846" s="7"/>
      <c r="Q846" s="7"/>
      <c r="R846" s="7"/>
      <c r="S846" s="18"/>
      <c r="T846" s="284"/>
      <c r="U846" s="284"/>
      <c r="V846" s="284"/>
      <c r="W846" s="18"/>
      <c r="X846" s="18"/>
      <c r="Y846" s="18"/>
      <c r="Z846" s="18"/>
    </row>
    <row r="847" spans="1:26" ht="16.5" customHeight="1" x14ac:dyDescent="0.35">
      <c r="A847" s="105"/>
      <c r="B847" s="65"/>
      <c r="C847" s="66"/>
      <c r="D847" s="67"/>
      <c r="E847" s="68"/>
      <c r="F847" s="67"/>
      <c r="G847" s="67"/>
      <c r="H847" s="67"/>
      <c r="I847" s="67"/>
      <c r="J847" s="67"/>
      <c r="K847" s="67"/>
      <c r="L847" s="66"/>
      <c r="M847" s="18"/>
      <c r="N847" s="18"/>
      <c r="O847" s="18"/>
      <c r="P847" s="7"/>
      <c r="Q847" s="7"/>
      <c r="R847" s="7"/>
      <c r="S847" s="18"/>
      <c r="T847" s="284"/>
      <c r="U847" s="284"/>
      <c r="V847" s="284"/>
      <c r="W847" s="18"/>
      <c r="X847" s="18"/>
      <c r="Y847" s="18"/>
      <c r="Z847" s="18"/>
    </row>
    <row r="848" spans="1:26" ht="16.5" customHeight="1" x14ac:dyDescent="0.35">
      <c r="A848" s="105"/>
      <c r="B848" s="65"/>
      <c r="C848" s="66"/>
      <c r="D848" s="67"/>
      <c r="E848" s="68"/>
      <c r="F848" s="67"/>
      <c r="G848" s="67"/>
      <c r="H848" s="67"/>
      <c r="I848" s="67"/>
      <c r="J848" s="67"/>
      <c r="K848" s="67"/>
      <c r="L848" s="66"/>
      <c r="M848" s="18"/>
      <c r="N848" s="18"/>
      <c r="O848" s="18"/>
      <c r="P848" s="7"/>
      <c r="Q848" s="7"/>
      <c r="R848" s="7"/>
      <c r="S848" s="18"/>
      <c r="T848" s="284"/>
      <c r="U848" s="284"/>
      <c r="V848" s="284"/>
      <c r="W848" s="18"/>
      <c r="X848" s="18"/>
      <c r="Y848" s="18"/>
      <c r="Z848" s="18"/>
    </row>
    <row r="849" spans="1:26" ht="16.5" customHeight="1" x14ac:dyDescent="0.35">
      <c r="A849" s="223" t="s">
        <v>7</v>
      </c>
      <c r="B849" s="223" t="s">
        <v>8</v>
      </c>
      <c r="C849" s="223" t="s">
        <v>9</v>
      </c>
      <c r="D849" s="220" t="s">
        <v>10</v>
      </c>
      <c r="E849" s="222"/>
      <c r="F849" s="223" t="s">
        <v>11</v>
      </c>
      <c r="G849" s="223" t="s">
        <v>12</v>
      </c>
      <c r="H849" s="226" t="s">
        <v>13</v>
      </c>
      <c r="I849" s="221"/>
      <c r="J849" s="221"/>
      <c r="K849" s="222"/>
      <c r="L849" s="66"/>
      <c r="M849" s="18"/>
      <c r="N849" s="18"/>
      <c r="O849" s="18"/>
      <c r="P849" s="7"/>
      <c r="Q849" s="7"/>
      <c r="R849" s="7"/>
      <c r="S849" s="18"/>
      <c r="T849" s="284"/>
      <c r="U849" s="284"/>
      <c r="V849" s="284"/>
      <c r="W849" s="18"/>
      <c r="X849" s="18"/>
      <c r="Y849" s="18"/>
      <c r="Z849" s="18"/>
    </row>
    <row r="850" spans="1:26" ht="16.5" customHeight="1" x14ac:dyDescent="0.35">
      <c r="A850" s="217"/>
      <c r="B850" s="217"/>
      <c r="C850" s="217"/>
      <c r="D850" s="70" t="s">
        <v>14</v>
      </c>
      <c r="E850" s="71" t="s">
        <v>15</v>
      </c>
      <c r="F850" s="217"/>
      <c r="G850" s="217"/>
      <c r="H850" s="70" t="s">
        <v>16</v>
      </c>
      <c r="I850" s="70" t="s">
        <v>17</v>
      </c>
      <c r="J850" s="70" t="s">
        <v>18</v>
      </c>
      <c r="K850" s="70" t="s">
        <v>19</v>
      </c>
      <c r="L850" s="66"/>
      <c r="M850" s="18"/>
      <c r="N850" s="18"/>
      <c r="O850" s="18"/>
      <c r="P850" s="7"/>
      <c r="Q850" s="7"/>
      <c r="R850" s="7"/>
      <c r="S850" s="18"/>
      <c r="T850" s="284"/>
      <c r="U850" s="284"/>
      <c r="V850" s="284"/>
      <c r="W850" s="18"/>
      <c r="X850" s="18"/>
      <c r="Y850" s="18"/>
      <c r="Z850" s="18"/>
    </row>
    <row r="851" spans="1:26" ht="16.5" customHeight="1" x14ac:dyDescent="0.35">
      <c r="A851" s="72" t="s">
        <v>20</v>
      </c>
      <c r="B851" s="73" t="s">
        <v>21</v>
      </c>
      <c r="C851" s="73" t="s">
        <v>22</v>
      </c>
      <c r="D851" s="70" t="s">
        <v>23</v>
      </c>
      <c r="E851" s="71" t="s">
        <v>24</v>
      </c>
      <c r="F851" s="70" t="s">
        <v>25</v>
      </c>
      <c r="G851" s="70" t="s">
        <v>26</v>
      </c>
      <c r="H851" s="70" t="s">
        <v>27</v>
      </c>
      <c r="I851" s="70" t="s">
        <v>28</v>
      </c>
      <c r="J851" s="70" t="s">
        <v>29</v>
      </c>
      <c r="K851" s="70" t="s">
        <v>30</v>
      </c>
      <c r="L851" s="66"/>
      <c r="M851" s="18"/>
      <c r="N851" s="18"/>
      <c r="O851" s="18"/>
      <c r="P851" s="7"/>
      <c r="Q851" s="7"/>
      <c r="R851" s="7"/>
      <c r="S851" s="18"/>
      <c r="T851" s="284"/>
      <c r="U851" s="284"/>
      <c r="V851" s="284"/>
      <c r="W851" s="18"/>
      <c r="X851" s="18"/>
      <c r="Y851" s="18"/>
      <c r="Z851" s="18"/>
    </row>
    <row r="852" spans="1:26" ht="16.5" customHeight="1" x14ac:dyDescent="0.35">
      <c r="A852" s="229">
        <v>50</v>
      </c>
      <c r="B852" s="238" t="s">
        <v>376</v>
      </c>
      <c r="C852" s="227" t="s">
        <v>231</v>
      </c>
      <c r="D852" s="218">
        <v>3</v>
      </c>
      <c r="E852" s="216">
        <v>1.5</v>
      </c>
      <c r="F852" s="218" t="s">
        <v>68</v>
      </c>
      <c r="G852" s="218" t="s">
        <v>101</v>
      </c>
      <c r="H852" s="74" t="s">
        <v>35</v>
      </c>
      <c r="I852" s="76" t="s">
        <v>232</v>
      </c>
      <c r="J852" s="76" t="s">
        <v>111</v>
      </c>
      <c r="K852" s="218" t="s">
        <v>54</v>
      </c>
      <c r="L852" s="66"/>
      <c r="M852" s="18"/>
      <c r="N852" s="18"/>
      <c r="O852" s="18"/>
      <c r="P852" s="293"/>
      <c r="Q852" s="295"/>
      <c r="R852" s="294"/>
      <c r="S852" s="18"/>
      <c r="T852" s="284"/>
      <c r="U852" s="284"/>
      <c r="V852" s="284"/>
      <c r="W852" s="18"/>
      <c r="X852" s="18"/>
      <c r="Y852" s="18"/>
      <c r="Z852" s="18"/>
    </row>
    <row r="853" spans="1:26" ht="16.5" customHeight="1" x14ac:dyDescent="0.35">
      <c r="A853" s="230"/>
      <c r="B853" s="230"/>
      <c r="C853" s="217"/>
      <c r="D853" s="217"/>
      <c r="E853" s="217"/>
      <c r="F853" s="217"/>
      <c r="G853" s="217"/>
      <c r="H853" s="74" t="s">
        <v>48</v>
      </c>
      <c r="I853" s="76" t="s">
        <v>232</v>
      </c>
      <c r="J853" s="76" t="s">
        <v>111</v>
      </c>
      <c r="K853" s="217"/>
      <c r="L853" s="66"/>
      <c r="M853" s="18"/>
      <c r="N853" s="18"/>
      <c r="O853" s="18"/>
      <c r="P853" s="284"/>
      <c r="Q853" s="284"/>
      <c r="R853" s="284"/>
      <c r="S853" s="18"/>
      <c r="T853" s="293"/>
      <c r="U853" s="295"/>
      <c r="V853" s="294"/>
      <c r="W853" s="18"/>
      <c r="X853" s="18"/>
      <c r="Y853" s="18"/>
      <c r="Z853" s="18"/>
    </row>
    <row r="854" spans="1:26" ht="16.5" customHeight="1" x14ac:dyDescent="0.35">
      <c r="A854" s="230"/>
      <c r="B854" s="230"/>
      <c r="C854" s="227" t="s">
        <v>156</v>
      </c>
      <c r="D854" s="218">
        <v>3</v>
      </c>
      <c r="E854" s="216">
        <v>1.5</v>
      </c>
      <c r="F854" s="218" t="s">
        <v>68</v>
      </c>
      <c r="G854" s="218" t="s">
        <v>64</v>
      </c>
      <c r="H854" s="74" t="s">
        <v>46</v>
      </c>
      <c r="I854" s="74" t="s">
        <v>36</v>
      </c>
      <c r="J854" s="76" t="s">
        <v>149</v>
      </c>
      <c r="K854" s="218" t="s">
        <v>38</v>
      </c>
      <c r="L854" s="66"/>
      <c r="M854" s="18"/>
      <c r="N854" s="18"/>
      <c r="O854" s="18"/>
      <c r="P854" s="293"/>
      <c r="Q854" s="295"/>
      <c r="R854" s="294"/>
      <c r="S854" s="18"/>
      <c r="T854" s="284"/>
      <c r="U854" s="284"/>
      <c r="V854" s="284"/>
      <c r="W854" s="18"/>
      <c r="X854" s="18"/>
      <c r="Y854" s="18"/>
      <c r="Z854" s="18"/>
    </row>
    <row r="855" spans="1:26" ht="16.5" customHeight="1" x14ac:dyDescent="0.35">
      <c r="A855" s="230"/>
      <c r="B855" s="230"/>
      <c r="C855" s="217"/>
      <c r="D855" s="217"/>
      <c r="E855" s="217"/>
      <c r="F855" s="217"/>
      <c r="G855" s="217"/>
      <c r="H855" s="74" t="s">
        <v>48</v>
      </c>
      <c r="I855" s="76" t="s">
        <v>36</v>
      </c>
      <c r="J855" s="76" t="s">
        <v>149</v>
      </c>
      <c r="K855" s="217"/>
      <c r="L855" s="66"/>
      <c r="M855" s="18"/>
      <c r="N855" s="18"/>
      <c r="O855" s="18"/>
      <c r="P855" s="284"/>
      <c r="Q855" s="284"/>
      <c r="R855" s="284"/>
      <c r="S855" s="18"/>
      <c r="T855" s="293"/>
      <c r="U855" s="295"/>
      <c r="V855" s="294"/>
      <c r="W855" s="18"/>
      <c r="X855" s="18"/>
      <c r="Y855" s="18"/>
      <c r="Z855" s="18"/>
    </row>
    <row r="856" spans="1:26" ht="16.5" customHeight="1" x14ac:dyDescent="0.35">
      <c r="A856" s="230"/>
      <c r="B856" s="217"/>
      <c r="C856" s="94" t="s">
        <v>191</v>
      </c>
      <c r="D856" s="74">
        <v>3</v>
      </c>
      <c r="E856" s="81">
        <v>3</v>
      </c>
      <c r="F856" s="74" t="s">
        <v>75</v>
      </c>
      <c r="G856" s="85" t="s">
        <v>378</v>
      </c>
      <c r="H856" s="74" t="s">
        <v>119</v>
      </c>
      <c r="I856" s="74" t="s">
        <v>82</v>
      </c>
      <c r="J856" s="74" t="s">
        <v>197</v>
      </c>
      <c r="K856" s="74" t="s">
        <v>93</v>
      </c>
      <c r="L856" s="66"/>
      <c r="M856" s="18"/>
      <c r="N856" s="18"/>
      <c r="O856" s="18"/>
      <c r="P856" s="18"/>
      <c r="Q856" s="18"/>
      <c r="R856" s="18"/>
      <c r="S856" s="18"/>
      <c r="T856" s="284"/>
      <c r="U856" s="284"/>
      <c r="V856" s="284"/>
      <c r="W856" s="18"/>
      <c r="X856" s="18"/>
      <c r="Y856" s="18"/>
      <c r="Z856" s="18"/>
    </row>
    <row r="857" spans="1:26" ht="16.5" customHeight="1" x14ac:dyDescent="0.35">
      <c r="A857" s="217"/>
      <c r="B857" s="228" t="s">
        <v>72</v>
      </c>
      <c r="C857" s="221"/>
      <c r="D857" s="222"/>
      <c r="E857" s="71">
        <f>SUM(E837:E856)</f>
        <v>13.5</v>
      </c>
      <c r="F857" s="220"/>
      <c r="G857" s="221"/>
      <c r="H857" s="221"/>
      <c r="I857" s="221"/>
      <c r="J857" s="221"/>
      <c r="K857" s="222"/>
      <c r="L857" s="66"/>
      <c r="M857" s="18"/>
      <c r="N857" s="18"/>
      <c r="O857" s="18"/>
      <c r="P857" s="18"/>
      <c r="Q857" s="18"/>
      <c r="R857" s="18"/>
      <c r="S857" s="18"/>
      <c r="T857" s="293"/>
      <c r="U857" s="295"/>
      <c r="V857" s="294"/>
      <c r="W857" s="18"/>
      <c r="X857" s="18"/>
      <c r="Y857" s="18"/>
      <c r="Z857" s="18"/>
    </row>
    <row r="858" spans="1:26" ht="16.5" customHeight="1" x14ac:dyDescent="0.35">
      <c r="A858" s="229">
        <v>51</v>
      </c>
      <c r="B858" s="238" t="s">
        <v>379</v>
      </c>
      <c r="C858" s="227" t="s">
        <v>112</v>
      </c>
      <c r="D858" s="218">
        <v>3</v>
      </c>
      <c r="E858" s="216">
        <v>3</v>
      </c>
      <c r="F858" s="218" t="s">
        <v>51</v>
      </c>
      <c r="G858" s="218" t="s">
        <v>101</v>
      </c>
      <c r="H858" s="74" t="s">
        <v>35</v>
      </c>
      <c r="I858" s="74" t="s">
        <v>44</v>
      </c>
      <c r="J858" s="74" t="s">
        <v>65</v>
      </c>
      <c r="K858" s="218" t="s">
        <v>38</v>
      </c>
      <c r="L858" s="66"/>
      <c r="M858" s="18"/>
      <c r="N858" s="18"/>
      <c r="O858" s="18"/>
      <c r="P858" s="293"/>
      <c r="Q858" s="295"/>
      <c r="R858" s="294"/>
      <c r="S858" s="18"/>
      <c r="T858" s="284"/>
      <c r="U858" s="284"/>
      <c r="V858" s="284"/>
      <c r="W858" s="18"/>
      <c r="X858" s="18"/>
      <c r="Y858" s="18"/>
      <c r="Z858" s="18"/>
    </row>
    <row r="859" spans="1:26" ht="16.5" customHeight="1" x14ac:dyDescent="0.35">
      <c r="A859" s="230"/>
      <c r="B859" s="230"/>
      <c r="C859" s="217"/>
      <c r="D859" s="217"/>
      <c r="E859" s="217"/>
      <c r="F859" s="217"/>
      <c r="G859" s="217"/>
      <c r="H859" s="74" t="s">
        <v>55</v>
      </c>
      <c r="I859" s="74" t="s">
        <v>36</v>
      </c>
      <c r="J859" s="74" t="s">
        <v>57</v>
      </c>
      <c r="K859" s="217"/>
      <c r="L859" s="66"/>
      <c r="M859" s="18"/>
      <c r="N859" s="18"/>
      <c r="O859" s="18"/>
      <c r="P859" s="284"/>
      <c r="Q859" s="284"/>
      <c r="R859" s="284"/>
      <c r="S859" s="18"/>
      <c r="T859" s="293"/>
      <c r="U859" s="295"/>
      <c r="V859" s="294"/>
      <c r="W859" s="18"/>
      <c r="X859" s="18"/>
      <c r="Y859" s="18"/>
      <c r="Z859" s="18"/>
    </row>
    <row r="860" spans="1:26" ht="16.5" customHeight="1" x14ac:dyDescent="0.35">
      <c r="A860" s="230"/>
      <c r="B860" s="230"/>
      <c r="C860" s="227" t="s">
        <v>377</v>
      </c>
      <c r="D860" s="218">
        <v>3</v>
      </c>
      <c r="E860" s="216">
        <v>3</v>
      </c>
      <c r="F860" s="218" t="s">
        <v>75</v>
      </c>
      <c r="G860" s="218" t="s">
        <v>103</v>
      </c>
      <c r="H860" s="74" t="s">
        <v>35</v>
      </c>
      <c r="I860" s="74" t="s">
        <v>40</v>
      </c>
      <c r="J860" s="74" t="s">
        <v>152</v>
      </c>
      <c r="K860" s="218" t="s">
        <v>38</v>
      </c>
      <c r="L860" s="66"/>
      <c r="M860" s="18"/>
      <c r="N860" s="18"/>
      <c r="O860" s="18"/>
      <c r="P860" s="293"/>
      <c r="Q860" s="295"/>
      <c r="R860" s="294"/>
      <c r="S860" s="18"/>
      <c r="T860" s="284"/>
      <c r="U860" s="284"/>
      <c r="V860" s="284"/>
      <c r="W860" s="18"/>
      <c r="X860" s="18"/>
      <c r="Y860" s="18"/>
      <c r="Z860" s="18"/>
    </row>
    <row r="861" spans="1:26" ht="16.5" customHeight="1" x14ac:dyDescent="0.35">
      <c r="A861" s="230"/>
      <c r="B861" s="230"/>
      <c r="C861" s="217"/>
      <c r="D861" s="217"/>
      <c r="E861" s="217"/>
      <c r="F861" s="217"/>
      <c r="G861" s="217"/>
      <c r="H861" s="74" t="s">
        <v>55</v>
      </c>
      <c r="I861" s="74" t="s">
        <v>91</v>
      </c>
      <c r="J861" s="74" t="s">
        <v>53</v>
      </c>
      <c r="K861" s="217"/>
      <c r="L861" s="66"/>
      <c r="M861" s="18"/>
      <c r="N861" s="18"/>
      <c r="O861" s="18"/>
      <c r="P861" s="284"/>
      <c r="Q861" s="284"/>
      <c r="R861" s="284"/>
      <c r="S861" s="18"/>
      <c r="T861" s="293"/>
      <c r="U861" s="295"/>
      <c r="V861" s="294"/>
      <c r="W861" s="18"/>
      <c r="X861" s="18"/>
      <c r="Y861" s="18"/>
      <c r="Z861" s="18"/>
    </row>
    <row r="862" spans="1:26" ht="16.5" customHeight="1" x14ac:dyDescent="0.35">
      <c r="A862" s="230"/>
      <c r="B862" s="230"/>
      <c r="C862" s="227" t="s">
        <v>377</v>
      </c>
      <c r="D862" s="218">
        <v>3</v>
      </c>
      <c r="E862" s="216">
        <v>3</v>
      </c>
      <c r="F862" s="218" t="s">
        <v>75</v>
      </c>
      <c r="G862" s="218" t="s">
        <v>104</v>
      </c>
      <c r="H862" s="74" t="s">
        <v>35</v>
      </c>
      <c r="I862" s="74" t="s">
        <v>36</v>
      </c>
      <c r="J862" s="74" t="s">
        <v>111</v>
      </c>
      <c r="K862" s="218" t="s">
        <v>38</v>
      </c>
      <c r="L862" s="66"/>
      <c r="M862" s="18"/>
      <c r="N862" s="18"/>
      <c r="O862" s="18"/>
      <c r="P862" s="293"/>
      <c r="Q862" s="295"/>
      <c r="R862" s="294"/>
      <c r="S862" s="18"/>
      <c r="T862" s="284"/>
      <c r="U862" s="284"/>
      <c r="V862" s="284"/>
      <c r="W862" s="18"/>
      <c r="X862" s="18"/>
      <c r="Y862" s="18"/>
      <c r="Z862" s="18"/>
    </row>
    <row r="863" spans="1:26" ht="16.5" customHeight="1" x14ac:dyDescent="0.35">
      <c r="A863" s="230"/>
      <c r="B863" s="230"/>
      <c r="C863" s="217"/>
      <c r="D863" s="217"/>
      <c r="E863" s="217"/>
      <c r="F863" s="217"/>
      <c r="G863" s="217"/>
      <c r="H863" s="74" t="s">
        <v>48</v>
      </c>
      <c r="I863" s="74" t="s">
        <v>40</v>
      </c>
      <c r="J863" s="74" t="s">
        <v>125</v>
      </c>
      <c r="K863" s="217"/>
      <c r="L863" s="66"/>
      <c r="M863" s="18"/>
      <c r="N863" s="18"/>
      <c r="O863" s="18"/>
      <c r="P863" s="284"/>
      <c r="Q863" s="284"/>
      <c r="R863" s="284"/>
      <c r="S863" s="18"/>
      <c r="T863" s="18"/>
      <c r="U863" s="18"/>
      <c r="V863" s="18"/>
      <c r="W863" s="18"/>
      <c r="X863" s="18"/>
      <c r="Y863" s="18"/>
      <c r="Z863" s="18"/>
    </row>
    <row r="864" spans="1:26" ht="16.5" customHeight="1" x14ac:dyDescent="0.35">
      <c r="A864" s="230"/>
      <c r="B864" s="230"/>
      <c r="C864" s="227" t="s">
        <v>377</v>
      </c>
      <c r="D864" s="218">
        <v>3</v>
      </c>
      <c r="E864" s="216">
        <v>3</v>
      </c>
      <c r="F864" s="218" t="s">
        <v>75</v>
      </c>
      <c r="G864" s="218" t="s">
        <v>153</v>
      </c>
      <c r="H864" s="74" t="s">
        <v>35</v>
      </c>
      <c r="I864" s="74" t="s">
        <v>36</v>
      </c>
      <c r="J864" s="74" t="s">
        <v>208</v>
      </c>
      <c r="K864" s="218" t="s">
        <v>54</v>
      </c>
      <c r="L864" s="66"/>
      <c r="M864" s="18"/>
      <c r="N864" s="18"/>
      <c r="O864" s="18"/>
      <c r="P864" s="293"/>
      <c r="Q864" s="295"/>
      <c r="R864" s="294"/>
      <c r="S864" s="18"/>
      <c r="T864" s="293"/>
      <c r="U864" s="295"/>
      <c r="V864" s="294"/>
      <c r="W864" s="18"/>
      <c r="X864" s="18"/>
      <c r="Y864" s="18"/>
      <c r="Z864" s="18"/>
    </row>
    <row r="865" spans="1:26" ht="16.5" customHeight="1" x14ac:dyDescent="0.35">
      <c r="A865" s="230"/>
      <c r="B865" s="230"/>
      <c r="C865" s="217"/>
      <c r="D865" s="217"/>
      <c r="E865" s="217"/>
      <c r="F865" s="217"/>
      <c r="G865" s="217"/>
      <c r="H865" s="74" t="s">
        <v>55</v>
      </c>
      <c r="I865" s="74" t="s">
        <v>44</v>
      </c>
      <c r="J865" s="74" t="s">
        <v>71</v>
      </c>
      <c r="K865" s="217"/>
      <c r="L865" s="66"/>
      <c r="M865" s="18"/>
      <c r="N865" s="18"/>
      <c r="O865" s="18"/>
      <c r="P865" s="284"/>
      <c r="Q865" s="284"/>
      <c r="R865" s="284"/>
      <c r="S865" s="18"/>
      <c r="T865" s="284"/>
      <c r="U865" s="284"/>
      <c r="V865" s="284"/>
      <c r="W865" s="18"/>
      <c r="X865" s="18"/>
      <c r="Y865" s="18"/>
      <c r="Z865" s="18"/>
    </row>
    <row r="866" spans="1:26" ht="16.5" customHeight="1" x14ac:dyDescent="0.35">
      <c r="A866" s="230"/>
      <c r="B866" s="230"/>
      <c r="C866" s="227" t="s">
        <v>74</v>
      </c>
      <c r="D866" s="218">
        <v>3</v>
      </c>
      <c r="E866" s="216">
        <v>3</v>
      </c>
      <c r="F866" s="218" t="s">
        <v>75</v>
      </c>
      <c r="G866" s="218" t="s">
        <v>247</v>
      </c>
      <c r="H866" s="74" t="s">
        <v>35</v>
      </c>
      <c r="I866" s="74" t="s">
        <v>40</v>
      </c>
      <c r="J866" s="74" t="s">
        <v>150</v>
      </c>
      <c r="K866" s="218" t="s">
        <v>54</v>
      </c>
      <c r="L866" s="66"/>
      <c r="M866" s="18"/>
      <c r="N866" s="18"/>
      <c r="O866" s="18"/>
      <c r="P866" s="293"/>
      <c r="Q866" s="295"/>
      <c r="R866" s="294"/>
      <c r="S866" s="18"/>
      <c r="T866" s="293"/>
      <c r="U866" s="295"/>
      <c r="V866" s="294"/>
      <c r="W866" s="18"/>
      <c r="X866" s="18"/>
      <c r="Y866" s="18"/>
      <c r="Z866" s="18"/>
    </row>
    <row r="867" spans="1:26" ht="16.5" customHeight="1" x14ac:dyDescent="0.35">
      <c r="A867" s="230"/>
      <c r="B867" s="217"/>
      <c r="C867" s="217"/>
      <c r="D867" s="217"/>
      <c r="E867" s="217"/>
      <c r="F867" s="217"/>
      <c r="G867" s="217"/>
      <c r="H867" s="74" t="s">
        <v>48</v>
      </c>
      <c r="I867" s="74" t="s">
        <v>36</v>
      </c>
      <c r="J867" s="74" t="s">
        <v>159</v>
      </c>
      <c r="K867" s="217"/>
      <c r="L867" s="66"/>
      <c r="M867" s="18"/>
      <c r="N867" s="18"/>
      <c r="O867" s="18"/>
      <c r="P867" s="284"/>
      <c r="Q867" s="284"/>
      <c r="R867" s="284"/>
      <c r="S867" s="18"/>
      <c r="T867" s="284"/>
      <c r="U867" s="284"/>
      <c r="V867" s="284"/>
      <c r="W867" s="18"/>
      <c r="X867" s="18"/>
      <c r="Y867" s="18"/>
      <c r="Z867" s="18"/>
    </row>
    <row r="868" spans="1:26" ht="16.5" customHeight="1" x14ac:dyDescent="0.35">
      <c r="A868" s="217"/>
      <c r="B868" s="228" t="s">
        <v>72</v>
      </c>
      <c r="C868" s="221"/>
      <c r="D868" s="222"/>
      <c r="E868" s="71">
        <f>SUM(E858:E867)</f>
        <v>15</v>
      </c>
      <c r="F868" s="220"/>
      <c r="G868" s="221"/>
      <c r="H868" s="221"/>
      <c r="I868" s="221"/>
      <c r="J868" s="221"/>
      <c r="K868" s="222"/>
      <c r="L868" s="66"/>
      <c r="M868" s="18"/>
      <c r="N868" s="18"/>
      <c r="O868" s="18"/>
      <c r="P868" s="18"/>
      <c r="Q868" s="18"/>
      <c r="R868" s="18"/>
      <c r="S868" s="18"/>
      <c r="T868" s="293"/>
      <c r="U868" s="295"/>
      <c r="V868" s="294"/>
      <c r="W868" s="18"/>
      <c r="X868" s="18"/>
      <c r="Y868" s="18"/>
      <c r="Z868" s="18"/>
    </row>
    <row r="869" spans="1:26" ht="16.5" customHeight="1" x14ac:dyDescent="0.35">
      <c r="A869" s="229">
        <v>52</v>
      </c>
      <c r="B869" s="235" t="s">
        <v>380</v>
      </c>
      <c r="C869" s="227" t="s">
        <v>381</v>
      </c>
      <c r="D869" s="218">
        <v>3</v>
      </c>
      <c r="E869" s="216">
        <v>3</v>
      </c>
      <c r="F869" s="218" t="s">
        <v>51</v>
      </c>
      <c r="G869" s="218" t="s">
        <v>136</v>
      </c>
      <c r="H869" s="74" t="s">
        <v>39</v>
      </c>
      <c r="I869" s="74" t="s">
        <v>44</v>
      </c>
      <c r="J869" s="74" t="s">
        <v>57</v>
      </c>
      <c r="K869" s="218" t="s">
        <v>38</v>
      </c>
      <c r="L869" s="66"/>
      <c r="M869" s="18"/>
      <c r="N869" s="18"/>
      <c r="O869" s="18"/>
      <c r="P869" s="293"/>
      <c r="Q869" s="295"/>
      <c r="R869" s="294"/>
      <c r="S869" s="18"/>
      <c r="T869" s="284"/>
      <c r="U869" s="284"/>
      <c r="V869" s="284"/>
      <c r="W869" s="18"/>
      <c r="X869" s="18"/>
      <c r="Y869" s="18"/>
      <c r="Z869" s="18"/>
    </row>
    <row r="870" spans="1:26" ht="16.5" customHeight="1" x14ac:dyDescent="0.35">
      <c r="A870" s="230"/>
      <c r="B870" s="236"/>
      <c r="C870" s="217"/>
      <c r="D870" s="217"/>
      <c r="E870" s="217"/>
      <c r="F870" s="217"/>
      <c r="G870" s="217"/>
      <c r="H870" s="74" t="s">
        <v>48</v>
      </c>
      <c r="I870" s="74" t="s">
        <v>36</v>
      </c>
      <c r="J870" s="74" t="s">
        <v>41</v>
      </c>
      <c r="K870" s="217"/>
      <c r="L870" s="66"/>
      <c r="M870" s="18"/>
      <c r="N870" s="18"/>
      <c r="O870" s="18"/>
      <c r="P870" s="284"/>
      <c r="Q870" s="284"/>
      <c r="R870" s="284"/>
      <c r="S870" s="18"/>
      <c r="T870" s="293"/>
      <c r="U870" s="295"/>
      <c r="V870" s="294"/>
      <c r="W870" s="18"/>
      <c r="X870" s="18"/>
      <c r="Y870" s="18"/>
      <c r="Z870" s="18"/>
    </row>
    <row r="871" spans="1:26" ht="16.5" customHeight="1" x14ac:dyDescent="0.35">
      <c r="A871" s="230"/>
      <c r="B871" s="236"/>
      <c r="C871" s="227" t="s">
        <v>381</v>
      </c>
      <c r="D871" s="218">
        <v>3</v>
      </c>
      <c r="E871" s="216">
        <v>3</v>
      </c>
      <c r="F871" s="218" t="s">
        <v>51</v>
      </c>
      <c r="G871" s="218" t="s">
        <v>76</v>
      </c>
      <c r="H871" s="74" t="s">
        <v>35</v>
      </c>
      <c r="I871" s="74" t="s">
        <v>44</v>
      </c>
      <c r="J871" s="74" t="s">
        <v>159</v>
      </c>
      <c r="K871" s="218" t="s">
        <v>38</v>
      </c>
      <c r="L871" s="97"/>
      <c r="M871" s="103"/>
      <c r="N871" s="103"/>
      <c r="O871" s="103"/>
      <c r="P871" s="293"/>
      <c r="Q871" s="295"/>
      <c r="R871" s="294"/>
      <c r="S871" s="18"/>
      <c r="T871" s="284"/>
      <c r="U871" s="284"/>
      <c r="V871" s="284"/>
      <c r="W871" s="18"/>
      <c r="X871" s="18"/>
      <c r="Y871" s="18"/>
      <c r="Z871" s="18"/>
    </row>
    <row r="872" spans="1:26" ht="16.5" customHeight="1" x14ac:dyDescent="0.35">
      <c r="A872" s="230"/>
      <c r="B872" s="236"/>
      <c r="C872" s="217"/>
      <c r="D872" s="217"/>
      <c r="E872" s="217"/>
      <c r="F872" s="217"/>
      <c r="G872" s="217"/>
      <c r="H872" s="74" t="s">
        <v>48</v>
      </c>
      <c r="I872" s="74" t="s">
        <v>44</v>
      </c>
      <c r="J872" s="74" t="s">
        <v>41</v>
      </c>
      <c r="K872" s="217"/>
      <c r="L872" s="66"/>
      <c r="M872" s="18"/>
      <c r="N872" s="18"/>
      <c r="O872" s="18"/>
      <c r="P872" s="284"/>
      <c r="Q872" s="284"/>
      <c r="R872" s="284"/>
      <c r="S872" s="18"/>
      <c r="T872" s="293"/>
      <c r="U872" s="295"/>
      <c r="V872" s="294"/>
      <c r="W872" s="18"/>
      <c r="X872" s="18"/>
      <c r="Y872" s="18"/>
      <c r="Z872" s="18"/>
    </row>
    <row r="873" spans="1:26" ht="16.5" customHeight="1" x14ac:dyDescent="0.35">
      <c r="A873" s="230"/>
      <c r="B873" s="236"/>
      <c r="C873" s="227" t="s">
        <v>381</v>
      </c>
      <c r="D873" s="218">
        <v>3</v>
      </c>
      <c r="E873" s="216">
        <v>3</v>
      </c>
      <c r="F873" s="218" t="s">
        <v>51</v>
      </c>
      <c r="G873" s="218" t="s">
        <v>79</v>
      </c>
      <c r="H873" s="74" t="s">
        <v>46</v>
      </c>
      <c r="I873" s="74" t="s">
        <v>44</v>
      </c>
      <c r="J873" s="74" t="s">
        <v>53</v>
      </c>
      <c r="K873" s="218" t="s">
        <v>54</v>
      </c>
      <c r="L873" s="66"/>
      <c r="M873" s="18"/>
      <c r="N873" s="18"/>
      <c r="O873" s="18"/>
      <c r="P873" s="293"/>
      <c r="Q873" s="295"/>
      <c r="R873" s="294"/>
      <c r="S873" s="18"/>
      <c r="T873" s="284"/>
      <c r="U873" s="284"/>
      <c r="V873" s="284"/>
      <c r="W873" s="18"/>
      <c r="X873" s="18"/>
      <c r="Y873" s="18"/>
      <c r="Z873" s="18"/>
    </row>
    <row r="874" spans="1:26" ht="16.5" customHeight="1" x14ac:dyDescent="0.35">
      <c r="A874" s="230"/>
      <c r="B874" s="236"/>
      <c r="C874" s="217"/>
      <c r="D874" s="217"/>
      <c r="E874" s="217"/>
      <c r="F874" s="217"/>
      <c r="G874" s="217"/>
      <c r="H874" s="74" t="s">
        <v>55</v>
      </c>
      <c r="I874" s="74" t="s">
        <v>36</v>
      </c>
      <c r="J874" s="74" t="s">
        <v>124</v>
      </c>
      <c r="K874" s="217"/>
      <c r="L874" s="66"/>
      <c r="M874" s="18"/>
      <c r="N874" s="18"/>
      <c r="O874" s="18"/>
      <c r="P874" s="284"/>
      <c r="Q874" s="284"/>
      <c r="R874" s="284"/>
      <c r="S874" s="18"/>
      <c r="T874" s="293"/>
      <c r="U874" s="295"/>
      <c r="V874" s="294"/>
      <c r="W874" s="18"/>
      <c r="X874" s="18"/>
      <c r="Y874" s="18"/>
      <c r="Z874" s="18"/>
    </row>
    <row r="875" spans="1:26" ht="16.5" customHeight="1" x14ac:dyDescent="0.35">
      <c r="A875" s="230"/>
      <c r="B875" s="236"/>
      <c r="C875" s="227" t="s">
        <v>382</v>
      </c>
      <c r="D875" s="218">
        <v>3</v>
      </c>
      <c r="E875" s="216">
        <v>3</v>
      </c>
      <c r="F875" s="218" t="s">
        <v>51</v>
      </c>
      <c r="G875" s="218" t="s">
        <v>90</v>
      </c>
      <c r="H875" s="74" t="s">
        <v>46</v>
      </c>
      <c r="I875" s="74" t="s">
        <v>40</v>
      </c>
      <c r="J875" s="74" t="s">
        <v>110</v>
      </c>
      <c r="K875" s="218" t="s">
        <v>54</v>
      </c>
      <c r="L875" s="66"/>
      <c r="M875" s="18"/>
      <c r="N875" s="18"/>
      <c r="O875" s="18"/>
      <c r="P875" s="293"/>
      <c r="Q875" s="295"/>
      <c r="R875" s="294"/>
      <c r="S875" s="18"/>
      <c r="T875" s="284"/>
      <c r="U875" s="284"/>
      <c r="V875" s="284"/>
      <c r="W875" s="18"/>
      <c r="X875" s="18"/>
      <c r="Y875" s="18"/>
      <c r="Z875" s="18"/>
    </row>
    <row r="876" spans="1:26" ht="16.5" customHeight="1" x14ac:dyDescent="0.35">
      <c r="A876" s="230"/>
      <c r="B876" s="236"/>
      <c r="C876" s="217"/>
      <c r="D876" s="217"/>
      <c r="E876" s="217"/>
      <c r="F876" s="217"/>
      <c r="G876" s="217"/>
      <c r="H876" s="74" t="s">
        <v>55</v>
      </c>
      <c r="I876" s="76" t="s">
        <v>44</v>
      </c>
      <c r="J876" s="74" t="s">
        <v>155</v>
      </c>
      <c r="K876" s="217"/>
      <c r="L876" s="66"/>
      <c r="M876" s="18"/>
      <c r="N876" s="18"/>
      <c r="O876" s="18"/>
      <c r="P876" s="284"/>
      <c r="Q876" s="284"/>
      <c r="R876" s="284"/>
      <c r="S876" s="18"/>
      <c r="T876" s="18"/>
      <c r="U876" s="18"/>
      <c r="V876" s="18"/>
      <c r="W876" s="18"/>
      <c r="X876" s="18"/>
      <c r="Y876" s="18"/>
      <c r="Z876" s="18"/>
    </row>
    <row r="877" spans="1:26" ht="16.5" customHeight="1" x14ac:dyDescent="0.35">
      <c r="A877" s="230"/>
      <c r="B877" s="236"/>
      <c r="C877" s="227" t="s">
        <v>224</v>
      </c>
      <c r="D877" s="218">
        <v>3</v>
      </c>
      <c r="E877" s="216">
        <v>1.5</v>
      </c>
      <c r="F877" s="218" t="s">
        <v>63</v>
      </c>
      <c r="G877" s="218" t="s">
        <v>101</v>
      </c>
      <c r="H877" s="74" t="s">
        <v>35</v>
      </c>
      <c r="I877" s="74" t="s">
        <v>40</v>
      </c>
      <c r="J877" s="74" t="s">
        <v>65</v>
      </c>
      <c r="K877" s="218" t="s">
        <v>38</v>
      </c>
      <c r="L877" s="66" t="s">
        <v>102</v>
      </c>
      <c r="M877" s="18"/>
      <c r="N877" s="18"/>
      <c r="O877" s="18"/>
      <c r="P877" s="293"/>
      <c r="Q877" s="295"/>
      <c r="R877" s="294"/>
      <c r="S877" s="18"/>
      <c r="T877" s="18"/>
      <c r="U877" s="18"/>
      <c r="V877" s="18"/>
      <c r="W877" s="18"/>
      <c r="X877" s="18"/>
      <c r="Y877" s="18"/>
      <c r="Z877" s="18"/>
    </row>
    <row r="878" spans="1:26" ht="16.5" customHeight="1" x14ac:dyDescent="0.35">
      <c r="A878" s="230"/>
      <c r="B878" s="236"/>
      <c r="C878" s="217"/>
      <c r="D878" s="217"/>
      <c r="E878" s="217"/>
      <c r="F878" s="217"/>
      <c r="G878" s="217"/>
      <c r="H878" s="74" t="s">
        <v>46</v>
      </c>
      <c r="I878" s="74" t="s">
        <v>40</v>
      </c>
      <c r="J878" s="74" t="s">
        <v>65</v>
      </c>
      <c r="K878" s="217"/>
      <c r="L878" s="66"/>
      <c r="M878" s="18"/>
      <c r="N878" s="18"/>
      <c r="O878" s="18"/>
      <c r="P878" s="284"/>
      <c r="Q878" s="284"/>
      <c r="R878" s="284"/>
      <c r="S878" s="18"/>
      <c r="T878" s="293"/>
      <c r="U878" s="295"/>
      <c r="V878" s="294"/>
      <c r="W878" s="18"/>
      <c r="X878" s="18"/>
      <c r="Y878" s="18"/>
      <c r="Z878" s="18"/>
    </row>
    <row r="879" spans="1:26" ht="16.5" customHeight="1" x14ac:dyDescent="0.35">
      <c r="A879" s="230"/>
      <c r="B879" s="236"/>
      <c r="C879" s="227" t="s">
        <v>233</v>
      </c>
      <c r="D879" s="218">
        <v>3</v>
      </c>
      <c r="E879" s="216">
        <v>1.5</v>
      </c>
      <c r="F879" s="218" t="s">
        <v>68</v>
      </c>
      <c r="G879" s="218" t="s">
        <v>69</v>
      </c>
      <c r="H879" s="74" t="s">
        <v>46</v>
      </c>
      <c r="I879" s="76" t="s">
        <v>44</v>
      </c>
      <c r="J879" s="75" t="s">
        <v>71</v>
      </c>
      <c r="K879" s="218" t="s">
        <v>38</v>
      </c>
      <c r="L879" s="66"/>
      <c r="M879" s="18"/>
      <c r="N879" s="18"/>
      <c r="O879" s="18"/>
      <c r="P879" s="293"/>
      <c r="Q879" s="295"/>
      <c r="R879" s="294"/>
      <c r="S879" s="18"/>
      <c r="T879" s="284"/>
      <c r="U879" s="284"/>
      <c r="V879" s="284"/>
      <c r="W879" s="18"/>
      <c r="X879" s="18"/>
      <c r="Y879" s="18"/>
      <c r="Z879" s="18"/>
    </row>
    <row r="880" spans="1:26" ht="16.5" customHeight="1" x14ac:dyDescent="0.35">
      <c r="A880" s="230"/>
      <c r="B880" s="236"/>
      <c r="C880" s="217"/>
      <c r="D880" s="217"/>
      <c r="E880" s="217"/>
      <c r="F880" s="217"/>
      <c r="G880" s="217"/>
      <c r="H880" s="74" t="s">
        <v>55</v>
      </c>
      <c r="I880" s="76" t="s">
        <v>44</v>
      </c>
      <c r="J880" s="77" t="s">
        <v>71</v>
      </c>
      <c r="K880" s="217"/>
      <c r="L880" s="66"/>
      <c r="M880" s="18"/>
      <c r="N880" s="18"/>
      <c r="O880" s="18"/>
      <c r="P880" s="284"/>
      <c r="Q880" s="284"/>
      <c r="R880" s="284"/>
      <c r="S880" s="18"/>
      <c r="T880" s="293"/>
      <c r="U880" s="295"/>
      <c r="V880" s="294"/>
      <c r="W880" s="18"/>
      <c r="X880" s="18"/>
      <c r="Y880" s="18"/>
      <c r="Z880" s="18"/>
    </row>
    <row r="881" spans="1:26" ht="16.5" customHeight="1" x14ac:dyDescent="0.35">
      <c r="A881" s="230"/>
      <c r="B881" s="236"/>
      <c r="C881" s="227" t="s">
        <v>67</v>
      </c>
      <c r="D881" s="218">
        <v>4</v>
      </c>
      <c r="E881" s="216">
        <v>2</v>
      </c>
      <c r="F881" s="218" t="s">
        <v>68</v>
      </c>
      <c r="G881" s="218" t="s">
        <v>64</v>
      </c>
      <c r="H881" s="74" t="s">
        <v>35</v>
      </c>
      <c r="I881" s="76" t="s">
        <v>70</v>
      </c>
      <c r="J881" s="76" t="s">
        <v>149</v>
      </c>
      <c r="K881" s="218" t="s">
        <v>54</v>
      </c>
      <c r="L881" s="66"/>
      <c r="M881" s="18"/>
      <c r="N881" s="18"/>
      <c r="O881" s="18"/>
      <c r="P881" s="293"/>
      <c r="Q881" s="295"/>
      <c r="R881" s="294"/>
      <c r="S881" s="18"/>
      <c r="T881" s="284"/>
      <c r="U881" s="284"/>
      <c r="V881" s="284"/>
      <c r="W881" s="18"/>
      <c r="X881" s="18"/>
      <c r="Y881" s="18"/>
      <c r="Z881" s="18"/>
    </row>
    <row r="882" spans="1:26" ht="16.5" customHeight="1" x14ac:dyDescent="0.35">
      <c r="A882" s="230"/>
      <c r="B882" s="240"/>
      <c r="C882" s="217"/>
      <c r="D882" s="217"/>
      <c r="E882" s="217"/>
      <c r="F882" s="217"/>
      <c r="G882" s="217"/>
      <c r="H882" s="74" t="s">
        <v>48</v>
      </c>
      <c r="I882" s="76" t="s">
        <v>70</v>
      </c>
      <c r="J882" s="76" t="s">
        <v>149</v>
      </c>
      <c r="K882" s="217"/>
      <c r="L882" s="66"/>
      <c r="M882" s="18"/>
      <c r="N882" s="18"/>
      <c r="O882" s="18"/>
      <c r="P882" s="284"/>
      <c r="Q882" s="284"/>
      <c r="R882" s="284"/>
      <c r="S882" s="18"/>
      <c r="T882" s="293"/>
      <c r="U882" s="295"/>
      <c r="V882" s="294"/>
      <c r="W882" s="18"/>
      <c r="X882" s="18"/>
      <c r="Y882" s="18"/>
      <c r="Z882" s="18"/>
    </row>
    <row r="883" spans="1:26" ht="16.5" customHeight="1" x14ac:dyDescent="0.35">
      <c r="A883" s="217"/>
      <c r="B883" s="228" t="s">
        <v>72</v>
      </c>
      <c r="C883" s="221"/>
      <c r="D883" s="222"/>
      <c r="E883" s="71">
        <f>SUM(E869:E882)</f>
        <v>17</v>
      </c>
      <c r="F883" s="220"/>
      <c r="G883" s="221"/>
      <c r="H883" s="221"/>
      <c r="I883" s="221"/>
      <c r="J883" s="221"/>
      <c r="K883" s="222"/>
      <c r="L883" s="66"/>
      <c r="M883" s="18"/>
      <c r="N883" s="18"/>
      <c r="O883" s="18"/>
      <c r="P883" s="18"/>
      <c r="Q883" s="18"/>
      <c r="R883" s="18"/>
      <c r="S883" s="18"/>
      <c r="T883" s="284"/>
      <c r="U883" s="284"/>
      <c r="V883" s="284"/>
      <c r="W883" s="18"/>
      <c r="X883" s="18"/>
      <c r="Y883" s="18"/>
      <c r="Z883" s="18"/>
    </row>
    <row r="884" spans="1:26" ht="16.5" customHeight="1" x14ac:dyDescent="0.35">
      <c r="A884" s="229">
        <v>53</v>
      </c>
      <c r="B884" s="238" t="s">
        <v>383</v>
      </c>
      <c r="C884" s="227" t="s">
        <v>276</v>
      </c>
      <c r="D884" s="218">
        <v>2</v>
      </c>
      <c r="E884" s="216">
        <v>2</v>
      </c>
      <c r="F884" s="218" t="s">
        <v>75</v>
      </c>
      <c r="G884" s="218" t="s">
        <v>272</v>
      </c>
      <c r="H884" s="74" t="s">
        <v>46</v>
      </c>
      <c r="I884" s="74" t="s">
        <v>52</v>
      </c>
      <c r="J884" s="74" t="s">
        <v>160</v>
      </c>
      <c r="K884" s="218" t="s">
        <v>54</v>
      </c>
      <c r="L884" s="66"/>
      <c r="M884" s="18"/>
      <c r="N884" s="18"/>
      <c r="O884" s="18"/>
      <c r="P884" s="293"/>
      <c r="Q884" s="295"/>
      <c r="R884" s="294"/>
      <c r="S884" s="18"/>
      <c r="T884" s="293"/>
      <c r="U884" s="295"/>
      <c r="V884" s="294"/>
      <c r="W884" s="18"/>
      <c r="X884" s="18"/>
      <c r="Y884" s="18"/>
      <c r="Z884" s="18"/>
    </row>
    <row r="885" spans="1:26" ht="16.5" customHeight="1" x14ac:dyDescent="0.35">
      <c r="A885" s="230"/>
      <c r="B885" s="230"/>
      <c r="C885" s="217"/>
      <c r="D885" s="217"/>
      <c r="E885" s="217"/>
      <c r="F885" s="217"/>
      <c r="G885" s="217"/>
      <c r="H885" s="74" t="s">
        <v>55</v>
      </c>
      <c r="I885" s="74" t="s">
        <v>52</v>
      </c>
      <c r="J885" s="74" t="s">
        <v>78</v>
      </c>
      <c r="K885" s="217"/>
      <c r="L885" s="66"/>
      <c r="M885" s="18"/>
      <c r="N885" s="18"/>
      <c r="O885" s="18"/>
      <c r="P885" s="284"/>
      <c r="Q885" s="284"/>
      <c r="R885" s="284"/>
      <c r="S885" s="18"/>
      <c r="T885" s="284"/>
      <c r="U885" s="284"/>
      <c r="V885" s="284"/>
      <c r="W885" s="18"/>
      <c r="X885" s="18"/>
      <c r="Y885" s="18"/>
      <c r="Z885" s="18"/>
    </row>
    <row r="886" spans="1:26" ht="16.5" customHeight="1" x14ac:dyDescent="0.35">
      <c r="A886" s="230"/>
      <c r="B886" s="230"/>
      <c r="C886" s="227" t="s">
        <v>384</v>
      </c>
      <c r="D886" s="218">
        <v>2</v>
      </c>
      <c r="E886" s="216">
        <v>2</v>
      </c>
      <c r="F886" s="218" t="s">
        <v>75</v>
      </c>
      <c r="G886" s="218" t="s">
        <v>247</v>
      </c>
      <c r="H886" s="74" t="s">
        <v>35</v>
      </c>
      <c r="I886" s="74" t="s">
        <v>56</v>
      </c>
      <c r="J886" s="74" t="s">
        <v>174</v>
      </c>
      <c r="K886" s="218" t="s">
        <v>38</v>
      </c>
      <c r="L886" s="66"/>
      <c r="M886" s="22"/>
      <c r="N886" s="22"/>
      <c r="O886" s="22"/>
      <c r="P886" s="293"/>
      <c r="Q886" s="295"/>
      <c r="R886" s="294"/>
      <c r="S886" s="18"/>
      <c r="T886" s="293"/>
      <c r="U886" s="295"/>
      <c r="V886" s="294"/>
      <c r="W886" s="18"/>
      <c r="X886" s="18"/>
      <c r="Y886" s="18"/>
      <c r="Z886" s="18"/>
    </row>
    <row r="887" spans="1:26" ht="16.5" customHeight="1" x14ac:dyDescent="0.35">
      <c r="A887" s="230"/>
      <c r="B887" s="230"/>
      <c r="C887" s="217"/>
      <c r="D887" s="217"/>
      <c r="E887" s="217"/>
      <c r="F887" s="217"/>
      <c r="G887" s="217"/>
      <c r="H887" s="74" t="s">
        <v>39</v>
      </c>
      <c r="I887" s="74" t="s">
        <v>56</v>
      </c>
      <c r="J887" s="74" t="s">
        <v>174</v>
      </c>
      <c r="K887" s="217"/>
      <c r="L887" s="66"/>
      <c r="M887" s="22"/>
      <c r="N887" s="22"/>
      <c r="O887" s="22"/>
      <c r="P887" s="284"/>
      <c r="Q887" s="284"/>
      <c r="R887" s="284"/>
      <c r="S887" s="18"/>
      <c r="T887" s="284"/>
      <c r="U887" s="284"/>
      <c r="V887" s="284"/>
      <c r="W887" s="18"/>
      <c r="X887" s="18"/>
      <c r="Y887" s="18"/>
      <c r="Z887" s="18"/>
    </row>
    <row r="888" spans="1:26" ht="16.5" customHeight="1" x14ac:dyDescent="0.35">
      <c r="A888" s="230"/>
      <c r="B888" s="230"/>
      <c r="C888" s="234" t="s">
        <v>58</v>
      </c>
      <c r="D888" s="232">
        <v>3</v>
      </c>
      <c r="E888" s="233">
        <v>1.5</v>
      </c>
      <c r="F888" s="232" t="s">
        <v>106</v>
      </c>
      <c r="G888" s="232" t="s">
        <v>42</v>
      </c>
      <c r="H888" s="118" t="s">
        <v>46</v>
      </c>
      <c r="I888" s="118" t="s">
        <v>385</v>
      </c>
      <c r="J888" s="118" t="s">
        <v>60</v>
      </c>
      <c r="K888" s="218" t="s">
        <v>54</v>
      </c>
      <c r="L888" s="66"/>
      <c r="M888" s="18"/>
      <c r="N888" s="18"/>
      <c r="O888" s="18"/>
      <c r="P888" s="293"/>
      <c r="Q888" s="295"/>
      <c r="R888" s="294"/>
      <c r="S888" s="18"/>
      <c r="T888" s="293"/>
      <c r="U888" s="295"/>
      <c r="V888" s="294"/>
      <c r="W888" s="18"/>
      <c r="X888" s="18"/>
      <c r="Y888" s="18"/>
      <c r="Z888" s="18"/>
    </row>
    <row r="889" spans="1:26" ht="16.5" customHeight="1" x14ac:dyDescent="0.35">
      <c r="A889" s="230"/>
      <c r="B889" s="230"/>
      <c r="C889" s="217"/>
      <c r="D889" s="217"/>
      <c r="E889" s="217"/>
      <c r="F889" s="217"/>
      <c r="G889" s="217"/>
      <c r="H889" s="118" t="s">
        <v>55</v>
      </c>
      <c r="I889" s="118" t="s">
        <v>82</v>
      </c>
      <c r="J889" s="118" t="s">
        <v>60</v>
      </c>
      <c r="K889" s="217"/>
      <c r="L889" s="66"/>
      <c r="M889" s="18"/>
      <c r="N889" s="18"/>
      <c r="O889" s="18"/>
      <c r="P889" s="284"/>
      <c r="Q889" s="284"/>
      <c r="R889" s="284"/>
      <c r="S889" s="18"/>
      <c r="T889" s="284"/>
      <c r="U889" s="284"/>
      <c r="V889" s="284"/>
      <c r="W889" s="18"/>
      <c r="X889" s="18"/>
      <c r="Y889" s="18"/>
      <c r="Z889" s="18"/>
    </row>
    <row r="890" spans="1:26" ht="16.5" customHeight="1" x14ac:dyDescent="0.35">
      <c r="A890" s="230"/>
      <c r="B890" s="230"/>
      <c r="C890" s="227" t="s">
        <v>50</v>
      </c>
      <c r="D890" s="218">
        <v>3</v>
      </c>
      <c r="E890" s="216">
        <v>1.5</v>
      </c>
      <c r="F890" s="218" t="s">
        <v>106</v>
      </c>
      <c r="G890" s="218" t="s">
        <v>45</v>
      </c>
      <c r="H890" s="74" t="s">
        <v>35</v>
      </c>
      <c r="I890" s="74" t="s">
        <v>131</v>
      </c>
      <c r="J890" s="74" t="s">
        <v>107</v>
      </c>
      <c r="K890" s="218" t="s">
        <v>38</v>
      </c>
      <c r="L890" s="66"/>
      <c r="M890" s="18"/>
      <c r="N890" s="18"/>
      <c r="O890" s="18"/>
      <c r="P890" s="293"/>
      <c r="Q890" s="295"/>
      <c r="R890" s="294"/>
      <c r="S890" s="18"/>
      <c r="T890" s="293"/>
      <c r="U890" s="295"/>
      <c r="V890" s="294"/>
      <c r="W890" s="18"/>
      <c r="X890" s="18"/>
      <c r="Y890" s="18"/>
      <c r="Z890" s="18"/>
    </row>
    <row r="891" spans="1:26" ht="16.5" customHeight="1" x14ac:dyDescent="0.35">
      <c r="A891" s="230"/>
      <c r="B891" s="230"/>
      <c r="C891" s="217"/>
      <c r="D891" s="217"/>
      <c r="E891" s="217"/>
      <c r="F891" s="217"/>
      <c r="G891" s="217"/>
      <c r="H891" s="74" t="s">
        <v>48</v>
      </c>
      <c r="I891" s="74" t="s">
        <v>59</v>
      </c>
      <c r="J891" s="74" t="s">
        <v>143</v>
      </c>
      <c r="K891" s="217"/>
      <c r="L891" s="66"/>
      <c r="M891" s="18"/>
      <c r="N891" s="18"/>
      <c r="O891" s="18"/>
      <c r="P891" s="284"/>
      <c r="Q891" s="284"/>
      <c r="R891" s="284"/>
      <c r="S891" s="18"/>
      <c r="T891" s="284"/>
      <c r="U891" s="284"/>
      <c r="V891" s="284"/>
      <c r="W891" s="18"/>
      <c r="X891" s="18"/>
      <c r="Y891" s="18"/>
      <c r="Z891" s="18"/>
    </row>
    <row r="892" spans="1:26" ht="16.5" customHeight="1" x14ac:dyDescent="0.35">
      <c r="A892" s="230"/>
      <c r="B892" s="230"/>
      <c r="C892" s="227" t="s">
        <v>58</v>
      </c>
      <c r="D892" s="218">
        <v>3</v>
      </c>
      <c r="E892" s="216">
        <v>1.5</v>
      </c>
      <c r="F892" s="218" t="s">
        <v>86</v>
      </c>
      <c r="G892" s="218" t="s">
        <v>34</v>
      </c>
      <c r="H892" s="74" t="s">
        <v>48</v>
      </c>
      <c r="I892" s="74" t="s">
        <v>82</v>
      </c>
      <c r="J892" s="74" t="s">
        <v>60</v>
      </c>
      <c r="K892" s="218" t="s">
        <v>38</v>
      </c>
      <c r="L892" s="66"/>
      <c r="M892" s="18"/>
      <c r="N892" s="18"/>
      <c r="O892" s="18"/>
      <c r="P892" s="293"/>
      <c r="Q892" s="295"/>
      <c r="R892" s="294"/>
      <c r="S892" s="18"/>
      <c r="T892" s="18"/>
      <c r="U892" s="18"/>
      <c r="V892" s="18"/>
      <c r="W892" s="18"/>
      <c r="X892" s="18"/>
      <c r="Y892" s="18"/>
      <c r="Z892" s="18"/>
    </row>
    <row r="893" spans="1:26" ht="16.5" customHeight="1" x14ac:dyDescent="0.35">
      <c r="A893" s="230"/>
      <c r="B893" s="230"/>
      <c r="C893" s="217"/>
      <c r="D893" s="217"/>
      <c r="E893" s="217"/>
      <c r="F893" s="217"/>
      <c r="G893" s="217"/>
      <c r="H893" s="74" t="s">
        <v>55</v>
      </c>
      <c r="I893" s="74" t="s">
        <v>82</v>
      </c>
      <c r="J893" s="74" t="s">
        <v>60</v>
      </c>
      <c r="K893" s="217"/>
      <c r="L893" s="66"/>
      <c r="M893" s="18"/>
      <c r="N893" s="18"/>
      <c r="O893" s="18"/>
      <c r="P893" s="284"/>
      <c r="Q893" s="284"/>
      <c r="R893" s="284"/>
      <c r="S893" s="18"/>
      <c r="T893" s="293"/>
      <c r="U893" s="295"/>
      <c r="V893" s="294"/>
      <c r="W893" s="18"/>
      <c r="X893" s="18"/>
      <c r="Y893" s="18"/>
      <c r="Z893" s="18"/>
    </row>
    <row r="894" spans="1:26" ht="16.5" customHeight="1" x14ac:dyDescent="0.35">
      <c r="A894" s="230"/>
      <c r="B894" s="230"/>
      <c r="C894" s="227" t="s">
        <v>50</v>
      </c>
      <c r="D894" s="218">
        <v>3</v>
      </c>
      <c r="E894" s="216">
        <v>1.5</v>
      </c>
      <c r="F894" s="218" t="s">
        <v>81</v>
      </c>
      <c r="G894" s="218" t="s">
        <v>42</v>
      </c>
      <c r="H894" s="84" t="s">
        <v>35</v>
      </c>
      <c r="I894" s="74" t="s">
        <v>219</v>
      </c>
      <c r="J894" s="74" t="s">
        <v>386</v>
      </c>
      <c r="K894" s="218" t="s">
        <v>38</v>
      </c>
      <c r="L894" s="66"/>
      <c r="M894" s="18"/>
      <c r="N894" s="18"/>
      <c r="O894" s="18"/>
      <c r="P894" s="293"/>
      <c r="Q894" s="295"/>
      <c r="R894" s="294"/>
      <c r="S894" s="18"/>
      <c r="T894" s="284"/>
      <c r="U894" s="284"/>
      <c r="V894" s="284"/>
      <c r="W894" s="18"/>
      <c r="X894" s="18"/>
      <c r="Y894" s="18"/>
      <c r="Z894" s="18"/>
    </row>
    <row r="895" spans="1:26" ht="16.5" customHeight="1" x14ac:dyDescent="0.35">
      <c r="A895" s="230"/>
      <c r="B895" s="230"/>
      <c r="C895" s="217"/>
      <c r="D895" s="217"/>
      <c r="E895" s="217"/>
      <c r="F895" s="217"/>
      <c r="G895" s="217"/>
      <c r="H895" s="85" t="s">
        <v>39</v>
      </c>
      <c r="I895" s="74" t="s">
        <v>84</v>
      </c>
      <c r="J895" s="74" t="s">
        <v>387</v>
      </c>
      <c r="K895" s="217"/>
      <c r="L895" s="66"/>
      <c r="M895" s="18"/>
      <c r="N895" s="18"/>
      <c r="O895" s="18"/>
      <c r="P895" s="284"/>
      <c r="Q895" s="284"/>
      <c r="R895" s="284"/>
      <c r="S895" s="18"/>
      <c r="T895" s="293"/>
      <c r="U895" s="295"/>
      <c r="V895" s="294"/>
      <c r="W895" s="18"/>
      <c r="X895" s="18"/>
      <c r="Y895" s="18"/>
      <c r="Z895" s="18"/>
    </row>
    <row r="896" spans="1:26" ht="16.5" customHeight="1" x14ac:dyDescent="0.35">
      <c r="A896" s="230"/>
      <c r="B896" s="230"/>
      <c r="C896" s="227" t="s">
        <v>58</v>
      </c>
      <c r="D896" s="218">
        <v>3</v>
      </c>
      <c r="E896" s="216">
        <v>1.5</v>
      </c>
      <c r="F896" s="218" t="s">
        <v>81</v>
      </c>
      <c r="G896" s="218" t="s">
        <v>49</v>
      </c>
      <c r="H896" s="84" t="s">
        <v>46</v>
      </c>
      <c r="I896" s="74" t="s">
        <v>219</v>
      </c>
      <c r="J896" s="74" t="s">
        <v>83</v>
      </c>
      <c r="K896" s="218" t="s">
        <v>38</v>
      </c>
      <c r="L896" s="66"/>
      <c r="M896" s="18"/>
      <c r="N896" s="18"/>
      <c r="O896" s="18"/>
      <c r="P896" s="293"/>
      <c r="Q896" s="295"/>
      <c r="R896" s="294"/>
      <c r="S896" s="18"/>
      <c r="T896" s="284"/>
      <c r="U896" s="284"/>
      <c r="V896" s="284"/>
      <c r="W896" s="18"/>
      <c r="X896" s="18"/>
      <c r="Y896" s="18"/>
      <c r="Z896" s="18"/>
    </row>
    <row r="897" spans="1:26" ht="16.5" customHeight="1" x14ac:dyDescent="0.35">
      <c r="A897" s="230"/>
      <c r="B897" s="230"/>
      <c r="C897" s="217"/>
      <c r="D897" s="217"/>
      <c r="E897" s="217"/>
      <c r="F897" s="217"/>
      <c r="G897" s="217"/>
      <c r="H897" s="85" t="s">
        <v>48</v>
      </c>
      <c r="I897" s="74" t="s">
        <v>82</v>
      </c>
      <c r="J897" s="74" t="s">
        <v>85</v>
      </c>
      <c r="K897" s="217"/>
      <c r="L897" s="66"/>
      <c r="M897" s="18"/>
      <c r="N897" s="18"/>
      <c r="O897" s="18"/>
      <c r="P897" s="284"/>
      <c r="Q897" s="284"/>
      <c r="R897" s="284"/>
      <c r="S897" s="18"/>
      <c r="T897" s="293"/>
      <c r="U897" s="295"/>
      <c r="V897" s="294"/>
      <c r="W897" s="18"/>
      <c r="X897" s="18"/>
      <c r="Y897" s="18"/>
      <c r="Z897" s="18"/>
    </row>
    <row r="898" spans="1:26" ht="16.5" customHeight="1" x14ac:dyDescent="0.35">
      <c r="A898" s="230"/>
      <c r="B898" s="217"/>
      <c r="C898" s="80" t="s">
        <v>89</v>
      </c>
      <c r="D898" s="85">
        <v>3</v>
      </c>
      <c r="E898" s="96">
        <v>3</v>
      </c>
      <c r="F898" s="85" t="s">
        <v>75</v>
      </c>
      <c r="G898" s="85" t="s">
        <v>177</v>
      </c>
      <c r="H898" s="85" t="s">
        <v>46</v>
      </c>
      <c r="I898" s="85" t="s">
        <v>91</v>
      </c>
      <c r="J898" s="85" t="s">
        <v>190</v>
      </c>
      <c r="K898" s="85" t="s">
        <v>93</v>
      </c>
      <c r="L898" s="66"/>
      <c r="M898" s="18"/>
      <c r="N898" s="18"/>
      <c r="O898" s="18"/>
      <c r="P898" s="18"/>
      <c r="Q898" s="18"/>
      <c r="R898" s="18"/>
      <c r="S898" s="18"/>
      <c r="T898" s="284"/>
      <c r="U898" s="284"/>
      <c r="V898" s="284"/>
      <c r="W898" s="18"/>
      <c r="X898" s="18"/>
      <c r="Y898" s="18"/>
      <c r="Z898" s="18"/>
    </row>
    <row r="899" spans="1:26" ht="16.5" customHeight="1" x14ac:dyDescent="0.35">
      <c r="A899" s="217"/>
      <c r="B899" s="228" t="s">
        <v>72</v>
      </c>
      <c r="C899" s="221"/>
      <c r="D899" s="222"/>
      <c r="E899" s="71">
        <f>SUM(E884:E898)</f>
        <v>14.5</v>
      </c>
      <c r="F899" s="220"/>
      <c r="G899" s="221"/>
      <c r="H899" s="221"/>
      <c r="I899" s="221"/>
      <c r="J899" s="221"/>
      <c r="K899" s="222"/>
      <c r="L899" s="66"/>
      <c r="M899" s="18"/>
      <c r="N899" s="18"/>
      <c r="O899" s="18"/>
      <c r="P899" s="18"/>
      <c r="Q899" s="18"/>
      <c r="R899" s="18"/>
      <c r="S899" s="18"/>
      <c r="T899" s="293"/>
      <c r="U899" s="295"/>
      <c r="V899" s="294"/>
      <c r="W899" s="18"/>
      <c r="X899" s="18"/>
      <c r="Y899" s="18"/>
      <c r="Z899" s="18"/>
    </row>
    <row r="900" spans="1:26" ht="16.5" customHeight="1" x14ac:dyDescent="0.35">
      <c r="A900" s="229">
        <v>54</v>
      </c>
      <c r="B900" s="235" t="s">
        <v>388</v>
      </c>
      <c r="C900" s="227" t="s">
        <v>127</v>
      </c>
      <c r="D900" s="218">
        <v>1</v>
      </c>
      <c r="E900" s="216">
        <v>1</v>
      </c>
      <c r="F900" s="218" t="s">
        <v>51</v>
      </c>
      <c r="G900" s="218" t="s">
        <v>103</v>
      </c>
      <c r="H900" s="74" t="s">
        <v>46</v>
      </c>
      <c r="I900" s="74" t="s">
        <v>56</v>
      </c>
      <c r="J900" s="74" t="s">
        <v>110</v>
      </c>
      <c r="K900" s="218" t="s">
        <v>54</v>
      </c>
      <c r="L900" s="66"/>
      <c r="M900" s="18"/>
      <c r="N900" s="18"/>
      <c r="O900" s="18"/>
      <c r="P900" s="293"/>
      <c r="Q900" s="295"/>
      <c r="R900" s="294"/>
      <c r="S900" s="18"/>
      <c r="T900" s="284"/>
      <c r="U900" s="284"/>
      <c r="V900" s="284"/>
      <c r="W900" s="18"/>
      <c r="X900" s="18"/>
      <c r="Y900" s="18"/>
      <c r="Z900" s="18"/>
    </row>
    <row r="901" spans="1:26" ht="16.5" customHeight="1" x14ac:dyDescent="0.35">
      <c r="A901" s="230"/>
      <c r="B901" s="236"/>
      <c r="C901" s="217"/>
      <c r="D901" s="217"/>
      <c r="E901" s="217"/>
      <c r="F901" s="217"/>
      <c r="G901" s="217"/>
      <c r="H901" s="74" t="s">
        <v>55</v>
      </c>
      <c r="I901" s="74" t="s">
        <v>179</v>
      </c>
      <c r="J901" s="74">
        <v>2.0099999999999998</v>
      </c>
      <c r="K901" s="217"/>
      <c r="L901" s="66"/>
      <c r="M901" s="18"/>
      <c r="N901" s="18"/>
      <c r="O901" s="18"/>
      <c r="P901" s="284"/>
      <c r="Q901" s="284"/>
      <c r="R901" s="284"/>
      <c r="S901" s="18"/>
      <c r="T901" s="293"/>
      <c r="U901" s="295"/>
      <c r="V901" s="294"/>
      <c r="W901" s="18"/>
      <c r="X901" s="18"/>
      <c r="Y901" s="18"/>
      <c r="Z901" s="18"/>
    </row>
    <row r="902" spans="1:26" ht="16.5" customHeight="1" x14ac:dyDescent="0.35">
      <c r="A902" s="230"/>
      <c r="B902" s="236"/>
      <c r="C902" s="227" t="s">
        <v>354</v>
      </c>
      <c r="D902" s="218">
        <v>3</v>
      </c>
      <c r="E902" s="216">
        <v>3</v>
      </c>
      <c r="F902" s="218" t="s">
        <v>51</v>
      </c>
      <c r="G902" s="218" t="s">
        <v>136</v>
      </c>
      <c r="H902" s="74" t="s">
        <v>35</v>
      </c>
      <c r="I902" s="74" t="s">
        <v>36</v>
      </c>
      <c r="J902" s="74" t="s">
        <v>196</v>
      </c>
      <c r="K902" s="218" t="s">
        <v>54</v>
      </c>
      <c r="L902" s="66"/>
      <c r="M902" s="18"/>
      <c r="N902" s="18"/>
      <c r="O902" s="18"/>
      <c r="P902" s="293"/>
      <c r="Q902" s="295"/>
      <c r="R902" s="294"/>
      <c r="S902" s="18"/>
      <c r="T902" s="284"/>
      <c r="U902" s="284"/>
      <c r="V902" s="284"/>
      <c r="W902" s="18"/>
      <c r="X902" s="18"/>
      <c r="Y902" s="18"/>
      <c r="Z902" s="18"/>
    </row>
    <row r="903" spans="1:26" ht="16.5" customHeight="1" x14ac:dyDescent="0.35">
      <c r="A903" s="230"/>
      <c r="B903" s="236"/>
      <c r="C903" s="217"/>
      <c r="D903" s="217"/>
      <c r="E903" s="217"/>
      <c r="F903" s="217"/>
      <c r="G903" s="217"/>
      <c r="H903" s="74" t="s">
        <v>293</v>
      </c>
      <c r="I903" s="74" t="s">
        <v>44</v>
      </c>
      <c r="J903" s="74" t="s">
        <v>114</v>
      </c>
      <c r="K903" s="217"/>
      <c r="L903" s="66"/>
      <c r="M903" s="18"/>
      <c r="N903" s="18"/>
      <c r="O903" s="18"/>
      <c r="P903" s="284"/>
      <c r="Q903" s="284"/>
      <c r="R903" s="284"/>
      <c r="S903" s="18"/>
      <c r="T903" s="18"/>
      <c r="U903" s="18"/>
      <c r="V903" s="18"/>
      <c r="W903" s="18"/>
      <c r="X903" s="18"/>
      <c r="Y903" s="18"/>
      <c r="Z903" s="18"/>
    </row>
    <row r="904" spans="1:26" ht="16.5" customHeight="1" x14ac:dyDescent="0.35">
      <c r="A904" s="230"/>
      <c r="B904" s="236"/>
      <c r="C904" s="227" t="s">
        <v>354</v>
      </c>
      <c r="D904" s="218">
        <v>3</v>
      </c>
      <c r="E904" s="216">
        <v>3</v>
      </c>
      <c r="F904" s="218" t="s">
        <v>51</v>
      </c>
      <c r="G904" s="218" t="s">
        <v>76</v>
      </c>
      <c r="H904" s="74" t="s">
        <v>46</v>
      </c>
      <c r="I904" s="74" t="s">
        <v>40</v>
      </c>
      <c r="J904" s="74" t="s">
        <v>132</v>
      </c>
      <c r="K904" s="218" t="s">
        <v>54</v>
      </c>
      <c r="L904" s="66"/>
      <c r="M904" s="18"/>
      <c r="N904" s="18"/>
      <c r="O904" s="18"/>
      <c r="P904" s="293"/>
      <c r="Q904" s="295"/>
      <c r="R904" s="294"/>
      <c r="S904" s="18"/>
      <c r="T904" s="18"/>
      <c r="U904" s="18"/>
      <c r="V904" s="18"/>
      <c r="W904" s="18"/>
      <c r="X904" s="18"/>
      <c r="Y904" s="18"/>
      <c r="Z904" s="18"/>
    </row>
    <row r="905" spans="1:26" ht="16.5" customHeight="1" x14ac:dyDescent="0.35">
      <c r="A905" s="230"/>
      <c r="B905" s="236"/>
      <c r="C905" s="217"/>
      <c r="D905" s="217"/>
      <c r="E905" s="217"/>
      <c r="F905" s="217"/>
      <c r="G905" s="217"/>
      <c r="H905" s="74" t="s">
        <v>55</v>
      </c>
      <c r="I905" s="74" t="s">
        <v>36</v>
      </c>
      <c r="J905" s="74" t="s">
        <v>196</v>
      </c>
      <c r="K905" s="217"/>
      <c r="L905" s="66"/>
      <c r="M905" s="18"/>
      <c r="N905" s="18"/>
      <c r="O905" s="18"/>
      <c r="P905" s="284"/>
      <c r="Q905" s="284"/>
      <c r="R905" s="284"/>
      <c r="S905" s="18"/>
      <c r="T905" s="293"/>
      <c r="U905" s="295"/>
      <c r="V905" s="294"/>
      <c r="W905" s="18"/>
      <c r="X905" s="18"/>
      <c r="Y905" s="18"/>
      <c r="Z905" s="18"/>
    </row>
    <row r="906" spans="1:26" ht="16.5" customHeight="1" x14ac:dyDescent="0.35">
      <c r="A906" s="230"/>
      <c r="B906" s="236"/>
      <c r="C906" s="227" t="s">
        <v>389</v>
      </c>
      <c r="D906" s="218">
        <v>3</v>
      </c>
      <c r="E906" s="216">
        <v>3</v>
      </c>
      <c r="F906" s="218" t="s">
        <v>51</v>
      </c>
      <c r="G906" s="218" t="s">
        <v>90</v>
      </c>
      <c r="H906" s="74" t="s">
        <v>35</v>
      </c>
      <c r="I906" s="74" t="s">
        <v>36</v>
      </c>
      <c r="J906" s="74" t="s">
        <v>160</v>
      </c>
      <c r="K906" s="218" t="s">
        <v>38</v>
      </c>
      <c r="L906" s="66"/>
      <c r="M906" s="18"/>
      <c r="N906" s="18"/>
      <c r="O906" s="18"/>
      <c r="P906" s="293"/>
      <c r="Q906" s="295"/>
      <c r="R906" s="294"/>
      <c r="S906" s="18"/>
      <c r="T906" s="284"/>
      <c r="U906" s="284"/>
      <c r="V906" s="284"/>
      <c r="W906" s="18"/>
      <c r="X906" s="18"/>
      <c r="Y906" s="18"/>
      <c r="Z906" s="18"/>
    </row>
    <row r="907" spans="1:26" ht="16.5" customHeight="1" x14ac:dyDescent="0.35">
      <c r="A907" s="230"/>
      <c r="B907" s="236"/>
      <c r="C907" s="217"/>
      <c r="D907" s="217"/>
      <c r="E907" s="217"/>
      <c r="F907" s="217"/>
      <c r="G907" s="217"/>
      <c r="H907" s="74" t="s">
        <v>48</v>
      </c>
      <c r="I907" s="74" t="s">
        <v>36</v>
      </c>
      <c r="J907" s="74" t="s">
        <v>160</v>
      </c>
      <c r="K907" s="217"/>
      <c r="L907" s="66" t="s">
        <v>102</v>
      </c>
      <c r="M907" s="18"/>
      <c r="N907" s="18"/>
      <c r="O907" s="18"/>
      <c r="P907" s="284"/>
      <c r="Q907" s="284"/>
      <c r="R907" s="284"/>
      <c r="S907" s="18"/>
      <c r="T907" s="293"/>
      <c r="U907" s="295"/>
      <c r="V907" s="294"/>
      <c r="W907" s="18"/>
      <c r="X907" s="18"/>
      <c r="Y907" s="18"/>
      <c r="Z907" s="18"/>
    </row>
    <row r="908" spans="1:26" ht="16.5" customHeight="1" x14ac:dyDescent="0.35">
      <c r="A908" s="230"/>
      <c r="B908" s="236"/>
      <c r="C908" s="227" t="s">
        <v>224</v>
      </c>
      <c r="D908" s="218">
        <v>3</v>
      </c>
      <c r="E908" s="216">
        <v>1.5</v>
      </c>
      <c r="F908" s="218" t="s">
        <v>63</v>
      </c>
      <c r="G908" s="218" t="s">
        <v>101</v>
      </c>
      <c r="H908" s="74" t="s">
        <v>35</v>
      </c>
      <c r="I908" s="74" t="s">
        <v>40</v>
      </c>
      <c r="J908" s="74" t="s">
        <v>65</v>
      </c>
      <c r="K908" s="218" t="s">
        <v>38</v>
      </c>
      <c r="L908" s="66"/>
      <c r="M908" s="18"/>
      <c r="N908" s="18"/>
      <c r="O908" s="18"/>
      <c r="P908" s="293"/>
      <c r="Q908" s="295"/>
      <c r="R908" s="294"/>
      <c r="S908" s="18"/>
      <c r="T908" s="284"/>
      <c r="U908" s="284"/>
      <c r="V908" s="284"/>
      <c r="W908" s="18"/>
      <c r="X908" s="18"/>
      <c r="Y908" s="18"/>
      <c r="Z908" s="18"/>
    </row>
    <row r="909" spans="1:26" ht="16.5" customHeight="1" x14ac:dyDescent="0.35">
      <c r="A909" s="230"/>
      <c r="B909" s="236"/>
      <c r="C909" s="217"/>
      <c r="D909" s="217"/>
      <c r="E909" s="217"/>
      <c r="F909" s="217"/>
      <c r="G909" s="217"/>
      <c r="H909" s="74" t="s">
        <v>46</v>
      </c>
      <c r="I909" s="74" t="s">
        <v>40</v>
      </c>
      <c r="J909" s="74" t="s">
        <v>65</v>
      </c>
      <c r="K909" s="217"/>
      <c r="L909" s="66"/>
      <c r="M909" s="18"/>
      <c r="N909" s="18"/>
      <c r="O909" s="18"/>
      <c r="P909" s="284"/>
      <c r="Q909" s="284"/>
      <c r="R909" s="284"/>
      <c r="S909" s="18"/>
      <c r="T909" s="293"/>
      <c r="U909" s="295"/>
      <c r="V909" s="294"/>
      <c r="W909" s="18"/>
      <c r="X909" s="18"/>
      <c r="Y909" s="18"/>
      <c r="Z909" s="18"/>
    </row>
    <row r="910" spans="1:26" ht="16.5" customHeight="1" x14ac:dyDescent="0.35">
      <c r="A910" s="230"/>
      <c r="B910" s="236"/>
      <c r="C910" s="227" t="s">
        <v>145</v>
      </c>
      <c r="D910" s="218">
        <v>3</v>
      </c>
      <c r="E910" s="216">
        <v>1.5</v>
      </c>
      <c r="F910" s="218" t="s">
        <v>68</v>
      </c>
      <c r="G910" s="218" t="s">
        <v>69</v>
      </c>
      <c r="H910" s="74" t="s">
        <v>35</v>
      </c>
      <c r="I910" s="76" t="s">
        <v>232</v>
      </c>
      <c r="J910" s="76" t="s">
        <v>71</v>
      </c>
      <c r="K910" s="218" t="s">
        <v>54</v>
      </c>
      <c r="L910" s="66"/>
      <c r="M910" s="18"/>
      <c r="N910" s="18"/>
      <c r="O910" s="18"/>
      <c r="P910" s="293"/>
      <c r="Q910" s="295"/>
      <c r="R910" s="294"/>
      <c r="S910" s="18"/>
      <c r="T910" s="284"/>
      <c r="U910" s="284"/>
      <c r="V910" s="284"/>
      <c r="W910" s="18"/>
      <c r="X910" s="18"/>
      <c r="Y910" s="18"/>
      <c r="Z910" s="18"/>
    </row>
    <row r="911" spans="1:26" ht="16.5" customHeight="1" x14ac:dyDescent="0.35">
      <c r="A911" s="230"/>
      <c r="B911" s="240"/>
      <c r="C911" s="217"/>
      <c r="D911" s="217"/>
      <c r="E911" s="217"/>
      <c r="F911" s="217"/>
      <c r="G911" s="217"/>
      <c r="H911" s="74" t="s">
        <v>48</v>
      </c>
      <c r="I911" s="76" t="s">
        <v>232</v>
      </c>
      <c r="J911" s="76" t="s">
        <v>71</v>
      </c>
      <c r="K911" s="217"/>
      <c r="L911" s="66"/>
      <c r="M911" s="18"/>
      <c r="N911" s="18"/>
      <c r="O911" s="18"/>
      <c r="P911" s="284"/>
      <c r="Q911" s="284"/>
      <c r="R911" s="284"/>
      <c r="S911" s="18"/>
      <c r="T911" s="293"/>
      <c r="U911" s="295"/>
      <c r="V911" s="294"/>
      <c r="W911" s="18"/>
      <c r="X911" s="18"/>
      <c r="Y911" s="18"/>
      <c r="Z911" s="18"/>
    </row>
    <row r="912" spans="1:26" ht="16.5" customHeight="1" x14ac:dyDescent="0.35">
      <c r="A912" s="217"/>
      <c r="B912" s="228" t="s">
        <v>72</v>
      </c>
      <c r="C912" s="221"/>
      <c r="D912" s="222"/>
      <c r="E912" s="71">
        <f>SUM(E900:E911)</f>
        <v>13</v>
      </c>
      <c r="F912" s="220"/>
      <c r="G912" s="221"/>
      <c r="H912" s="221"/>
      <c r="I912" s="221"/>
      <c r="J912" s="221"/>
      <c r="K912" s="222"/>
      <c r="L912" s="66"/>
      <c r="M912" s="18"/>
      <c r="N912" s="18"/>
      <c r="O912" s="18"/>
      <c r="P912" s="18"/>
      <c r="Q912" s="18"/>
      <c r="R912" s="18"/>
      <c r="S912" s="18"/>
      <c r="T912" s="284"/>
      <c r="U912" s="284"/>
      <c r="V912" s="284"/>
      <c r="W912" s="18"/>
      <c r="X912" s="18"/>
      <c r="Y912" s="18"/>
      <c r="Z912" s="18"/>
    </row>
    <row r="913" spans="1:26" ht="16.5" customHeight="1" x14ac:dyDescent="0.35">
      <c r="A913" s="229">
        <v>55</v>
      </c>
      <c r="B913" s="238" t="s">
        <v>390</v>
      </c>
      <c r="C913" s="227" t="s">
        <v>50</v>
      </c>
      <c r="D913" s="218">
        <v>3</v>
      </c>
      <c r="E913" s="216">
        <v>1.5</v>
      </c>
      <c r="F913" s="218" t="s">
        <v>120</v>
      </c>
      <c r="G913" s="218" t="s">
        <v>34</v>
      </c>
      <c r="H913" s="74" t="s">
        <v>39</v>
      </c>
      <c r="I913" s="74" t="s">
        <v>219</v>
      </c>
      <c r="J913" s="74" t="s">
        <v>324</v>
      </c>
      <c r="K913" s="218" t="s">
        <v>38</v>
      </c>
      <c r="L913" s="66"/>
      <c r="M913" s="18"/>
      <c r="N913" s="18"/>
      <c r="O913" s="18"/>
      <c r="P913" s="293"/>
      <c r="Q913" s="295"/>
      <c r="R913" s="294"/>
      <c r="S913" s="18"/>
      <c r="T913" s="293"/>
      <c r="U913" s="295"/>
      <c r="V913" s="294"/>
      <c r="W913" s="18"/>
      <c r="X913" s="18"/>
      <c r="Y913" s="18"/>
      <c r="Z913" s="18"/>
    </row>
    <row r="914" spans="1:26" ht="16.5" customHeight="1" x14ac:dyDescent="0.35">
      <c r="A914" s="230"/>
      <c r="B914" s="230"/>
      <c r="C914" s="217"/>
      <c r="D914" s="217"/>
      <c r="E914" s="217"/>
      <c r="F914" s="217"/>
      <c r="G914" s="217"/>
      <c r="H914" s="74" t="s">
        <v>119</v>
      </c>
      <c r="I914" s="74" t="s">
        <v>123</v>
      </c>
      <c r="J914" s="74" t="s">
        <v>391</v>
      </c>
      <c r="K914" s="217"/>
      <c r="L914" s="66"/>
      <c r="M914" s="18"/>
      <c r="N914" s="18"/>
      <c r="O914" s="18"/>
      <c r="P914" s="284"/>
      <c r="Q914" s="284"/>
      <c r="R914" s="284"/>
      <c r="S914" s="18"/>
      <c r="T914" s="284"/>
      <c r="U914" s="284"/>
      <c r="V914" s="284"/>
      <c r="W914" s="18"/>
      <c r="X914" s="18"/>
      <c r="Y914" s="18"/>
      <c r="Z914" s="18"/>
    </row>
    <row r="915" spans="1:26" ht="16.5" customHeight="1" x14ac:dyDescent="0.35">
      <c r="A915" s="230"/>
      <c r="B915" s="230"/>
      <c r="C915" s="227" t="s">
        <v>50</v>
      </c>
      <c r="D915" s="218">
        <v>3</v>
      </c>
      <c r="E915" s="216">
        <v>1.5</v>
      </c>
      <c r="F915" s="218" t="s">
        <v>120</v>
      </c>
      <c r="G915" s="218" t="s">
        <v>42</v>
      </c>
      <c r="H915" s="74" t="s">
        <v>39</v>
      </c>
      <c r="I915" s="74" t="s">
        <v>219</v>
      </c>
      <c r="J915" s="74" t="s">
        <v>392</v>
      </c>
      <c r="K915" s="218" t="s">
        <v>38</v>
      </c>
      <c r="L915" s="66"/>
      <c r="M915" s="18"/>
      <c r="N915" s="18"/>
      <c r="O915" s="18"/>
      <c r="P915" s="293"/>
      <c r="Q915" s="295"/>
      <c r="R915" s="294"/>
      <c r="S915" s="18"/>
      <c r="T915" s="18"/>
      <c r="U915" s="18"/>
      <c r="V915" s="18"/>
      <c r="W915" s="18"/>
      <c r="X915" s="18"/>
      <c r="Y915" s="18"/>
      <c r="Z915" s="18"/>
    </row>
    <row r="916" spans="1:26" ht="16.5" customHeight="1" x14ac:dyDescent="0.35">
      <c r="A916" s="230"/>
      <c r="B916" s="230"/>
      <c r="C916" s="217"/>
      <c r="D916" s="217"/>
      <c r="E916" s="217"/>
      <c r="F916" s="217"/>
      <c r="G916" s="217"/>
      <c r="H916" s="74" t="s">
        <v>119</v>
      </c>
      <c r="I916" s="74" t="s">
        <v>123</v>
      </c>
      <c r="J916" s="74" t="s">
        <v>386</v>
      </c>
      <c r="K916" s="217"/>
      <c r="L916" s="66"/>
      <c r="M916" s="18"/>
      <c r="N916" s="18"/>
      <c r="O916" s="18"/>
      <c r="P916" s="284"/>
      <c r="Q916" s="284"/>
      <c r="R916" s="284"/>
      <c r="S916" s="18"/>
      <c r="T916" s="18"/>
      <c r="U916" s="18"/>
      <c r="V916" s="18"/>
      <c r="W916" s="18"/>
      <c r="X916" s="18"/>
      <c r="Y916" s="18"/>
      <c r="Z916" s="18"/>
    </row>
    <row r="917" spans="1:26" ht="16.5" customHeight="1" x14ac:dyDescent="0.35">
      <c r="A917" s="230"/>
      <c r="B917" s="230"/>
      <c r="C917" s="227" t="s">
        <v>58</v>
      </c>
      <c r="D917" s="218">
        <v>3</v>
      </c>
      <c r="E917" s="216">
        <v>1.5</v>
      </c>
      <c r="F917" s="218" t="s">
        <v>120</v>
      </c>
      <c r="G917" s="218" t="s">
        <v>45</v>
      </c>
      <c r="H917" s="74" t="s">
        <v>46</v>
      </c>
      <c r="I917" s="74" t="s">
        <v>82</v>
      </c>
      <c r="J917" s="74" t="s">
        <v>60</v>
      </c>
      <c r="K917" s="218" t="s">
        <v>38</v>
      </c>
      <c r="L917" s="66"/>
      <c r="M917" s="18"/>
      <c r="N917" s="18"/>
      <c r="O917" s="18"/>
      <c r="P917" s="293"/>
      <c r="Q917" s="295"/>
      <c r="R917" s="294"/>
      <c r="S917" s="18"/>
      <c r="T917" s="18"/>
      <c r="U917" s="18"/>
      <c r="V917" s="18"/>
      <c r="W917" s="18"/>
      <c r="X917" s="18"/>
      <c r="Y917" s="18"/>
      <c r="Z917" s="18"/>
    </row>
    <row r="918" spans="1:26" ht="16.5" customHeight="1" x14ac:dyDescent="0.35">
      <c r="A918" s="230"/>
      <c r="B918" s="230"/>
      <c r="C918" s="217"/>
      <c r="D918" s="217"/>
      <c r="E918" s="217"/>
      <c r="F918" s="217"/>
      <c r="G918" s="217"/>
      <c r="H918" s="74" t="s">
        <v>48</v>
      </c>
      <c r="I918" s="74" t="s">
        <v>219</v>
      </c>
      <c r="J918" s="74" t="s">
        <v>60</v>
      </c>
      <c r="K918" s="217"/>
      <c r="L918" s="66"/>
      <c r="M918" s="18"/>
      <c r="N918" s="18"/>
      <c r="O918" s="18"/>
      <c r="P918" s="284"/>
      <c r="Q918" s="284"/>
      <c r="R918" s="284"/>
      <c r="S918" s="18"/>
      <c r="T918" s="293"/>
      <c r="U918" s="295"/>
      <c r="V918" s="294"/>
      <c r="W918" s="18"/>
      <c r="X918" s="18"/>
      <c r="Y918" s="18"/>
      <c r="Z918" s="18"/>
    </row>
    <row r="919" spans="1:26" ht="16.5" customHeight="1" x14ac:dyDescent="0.35">
      <c r="A919" s="230"/>
      <c r="B919" s="230"/>
      <c r="C919" s="227" t="s">
        <v>50</v>
      </c>
      <c r="D919" s="218">
        <v>3</v>
      </c>
      <c r="E919" s="216">
        <v>1.5</v>
      </c>
      <c r="F919" s="218" t="s">
        <v>120</v>
      </c>
      <c r="G919" s="218" t="s">
        <v>49</v>
      </c>
      <c r="H919" s="74" t="s">
        <v>46</v>
      </c>
      <c r="I919" s="74" t="s">
        <v>59</v>
      </c>
      <c r="J919" s="74" t="s">
        <v>324</v>
      </c>
      <c r="K919" s="218" t="s">
        <v>38</v>
      </c>
      <c r="L919" s="66"/>
      <c r="M919" s="18"/>
      <c r="N919" s="18"/>
      <c r="O919" s="18"/>
      <c r="P919" s="293"/>
      <c r="Q919" s="295"/>
      <c r="R919" s="294"/>
      <c r="S919" s="18"/>
      <c r="T919" s="284"/>
      <c r="U919" s="284"/>
      <c r="V919" s="284"/>
      <c r="W919" s="18"/>
      <c r="X919" s="18"/>
      <c r="Y919" s="18"/>
      <c r="Z919" s="18"/>
    </row>
    <row r="920" spans="1:26" ht="16.5" customHeight="1" x14ac:dyDescent="0.35">
      <c r="A920" s="217"/>
      <c r="B920" s="217"/>
      <c r="C920" s="219"/>
      <c r="D920" s="219"/>
      <c r="E920" s="219"/>
      <c r="F920" s="219"/>
      <c r="G920" s="219"/>
      <c r="H920" s="84" t="s">
        <v>39</v>
      </c>
      <c r="I920" s="84" t="s">
        <v>61</v>
      </c>
      <c r="J920" s="84" t="s">
        <v>322</v>
      </c>
      <c r="K920" s="219"/>
      <c r="L920" s="66"/>
      <c r="M920" s="18"/>
      <c r="N920" s="18"/>
      <c r="O920" s="18"/>
      <c r="P920" s="284"/>
      <c r="Q920" s="284"/>
      <c r="R920" s="284"/>
      <c r="S920" s="18"/>
      <c r="T920" s="293"/>
      <c r="U920" s="295"/>
      <c r="V920" s="294"/>
      <c r="W920" s="18"/>
      <c r="X920" s="18"/>
      <c r="Y920" s="18"/>
      <c r="Z920" s="18"/>
    </row>
    <row r="921" spans="1:26" ht="16.5" customHeight="1" x14ac:dyDescent="0.35">
      <c r="A921" s="59"/>
      <c r="B921" s="59"/>
      <c r="C921" s="60"/>
      <c r="D921" s="61"/>
      <c r="E921" s="62"/>
      <c r="F921" s="61"/>
      <c r="G921" s="61"/>
      <c r="H921" s="61"/>
      <c r="I921" s="61"/>
      <c r="J921" s="61"/>
      <c r="K921" s="61"/>
      <c r="L921" s="66"/>
      <c r="M921" s="18"/>
      <c r="N921" s="18"/>
      <c r="O921" s="18"/>
      <c r="P921" s="7"/>
      <c r="Q921" s="7"/>
      <c r="R921" s="7"/>
      <c r="S921" s="18"/>
      <c r="T921" s="284"/>
      <c r="U921" s="284"/>
      <c r="V921" s="284"/>
      <c r="W921" s="18"/>
      <c r="X921" s="18"/>
      <c r="Y921" s="18"/>
      <c r="Z921" s="18"/>
    </row>
    <row r="922" spans="1:26" ht="16.5" customHeight="1" x14ac:dyDescent="0.35">
      <c r="A922" s="65"/>
      <c r="B922" s="65"/>
      <c r="C922" s="66"/>
      <c r="D922" s="67"/>
      <c r="E922" s="68"/>
      <c r="F922" s="67"/>
      <c r="G922" s="67"/>
      <c r="H922" s="67"/>
      <c r="I922" s="67"/>
      <c r="J922" s="67"/>
      <c r="K922" s="67"/>
      <c r="L922" s="66"/>
      <c r="M922" s="18"/>
      <c r="N922" s="18"/>
      <c r="O922" s="18"/>
      <c r="P922" s="7"/>
      <c r="Q922" s="7"/>
      <c r="R922" s="7"/>
      <c r="S922" s="18"/>
      <c r="T922" s="284"/>
      <c r="U922" s="284"/>
      <c r="V922" s="284"/>
      <c r="W922" s="18"/>
      <c r="X922" s="18"/>
      <c r="Y922" s="18"/>
      <c r="Z922" s="18"/>
    </row>
    <row r="923" spans="1:26" ht="16.5" customHeight="1" x14ac:dyDescent="0.35">
      <c r="A923" s="65"/>
      <c r="B923" s="65"/>
      <c r="C923" s="66"/>
      <c r="D923" s="67"/>
      <c r="E923" s="68"/>
      <c r="F923" s="67"/>
      <c r="G923" s="67"/>
      <c r="H923" s="67"/>
      <c r="I923" s="67"/>
      <c r="J923" s="67"/>
      <c r="K923" s="67"/>
      <c r="L923" s="66"/>
      <c r="M923" s="18"/>
      <c r="N923" s="18"/>
      <c r="O923" s="18"/>
      <c r="P923" s="7"/>
      <c r="Q923" s="7"/>
      <c r="R923" s="7"/>
      <c r="S923" s="18"/>
      <c r="T923" s="284"/>
      <c r="U923" s="284"/>
      <c r="V923" s="284"/>
      <c r="W923" s="18"/>
      <c r="X923" s="18"/>
      <c r="Y923" s="18"/>
      <c r="Z923" s="18"/>
    </row>
    <row r="924" spans="1:26" ht="16.5" customHeight="1" x14ac:dyDescent="0.35">
      <c r="A924" s="65"/>
      <c r="B924" s="65"/>
      <c r="C924" s="66"/>
      <c r="D924" s="67"/>
      <c r="E924" s="68"/>
      <c r="F924" s="67"/>
      <c r="G924" s="67"/>
      <c r="H924" s="67"/>
      <c r="I924" s="67"/>
      <c r="J924" s="67"/>
      <c r="K924" s="67"/>
      <c r="L924" s="66"/>
      <c r="M924" s="18"/>
      <c r="N924" s="18"/>
      <c r="O924" s="18"/>
      <c r="P924" s="7"/>
      <c r="Q924" s="7"/>
      <c r="R924" s="7"/>
      <c r="S924" s="18"/>
      <c r="T924" s="284"/>
      <c r="U924" s="284"/>
      <c r="V924" s="284"/>
      <c r="W924" s="18"/>
      <c r="X924" s="18"/>
      <c r="Y924" s="18"/>
      <c r="Z924" s="18"/>
    </row>
    <row r="925" spans="1:26" ht="16.5" customHeight="1" x14ac:dyDescent="0.35">
      <c r="A925" s="65"/>
      <c r="B925" s="65"/>
      <c r="C925" s="66"/>
      <c r="D925" s="67"/>
      <c r="E925" s="68"/>
      <c r="F925" s="67"/>
      <c r="G925" s="67"/>
      <c r="H925" s="67"/>
      <c r="I925" s="67"/>
      <c r="J925" s="67"/>
      <c r="K925" s="67"/>
      <c r="L925" s="66"/>
      <c r="M925" s="18"/>
      <c r="N925" s="18"/>
      <c r="O925" s="18"/>
      <c r="P925" s="7"/>
      <c r="Q925" s="7"/>
      <c r="R925" s="7"/>
      <c r="S925" s="18"/>
      <c r="T925" s="284"/>
      <c r="U925" s="284"/>
      <c r="V925" s="284"/>
      <c r="W925" s="18"/>
      <c r="X925" s="18"/>
      <c r="Y925" s="18"/>
      <c r="Z925" s="18"/>
    </row>
    <row r="926" spans="1:26" ht="16.5" customHeight="1" x14ac:dyDescent="0.35">
      <c r="A926" s="223" t="s">
        <v>7</v>
      </c>
      <c r="B926" s="223" t="s">
        <v>8</v>
      </c>
      <c r="C926" s="223" t="s">
        <v>9</v>
      </c>
      <c r="D926" s="220" t="s">
        <v>10</v>
      </c>
      <c r="E926" s="222"/>
      <c r="F926" s="223" t="s">
        <v>11</v>
      </c>
      <c r="G926" s="223" t="s">
        <v>12</v>
      </c>
      <c r="H926" s="226" t="s">
        <v>13</v>
      </c>
      <c r="I926" s="221"/>
      <c r="J926" s="221"/>
      <c r="K926" s="222"/>
      <c r="L926" s="66"/>
      <c r="M926" s="18"/>
      <c r="N926" s="18"/>
      <c r="O926" s="18"/>
      <c r="P926" s="7"/>
      <c r="Q926" s="7"/>
      <c r="R926" s="7"/>
      <c r="S926" s="18"/>
      <c r="T926" s="284"/>
      <c r="U926" s="284"/>
      <c r="V926" s="284"/>
      <c r="W926" s="18"/>
      <c r="X926" s="18"/>
      <c r="Y926" s="18"/>
      <c r="Z926" s="18"/>
    </row>
    <row r="927" spans="1:26" ht="16.5" customHeight="1" x14ac:dyDescent="0.35">
      <c r="A927" s="217"/>
      <c r="B927" s="217"/>
      <c r="C927" s="217"/>
      <c r="D927" s="70" t="s">
        <v>14</v>
      </c>
      <c r="E927" s="71" t="s">
        <v>15</v>
      </c>
      <c r="F927" s="217"/>
      <c r="G927" s="217"/>
      <c r="H927" s="70" t="s">
        <v>16</v>
      </c>
      <c r="I927" s="70" t="s">
        <v>17</v>
      </c>
      <c r="J927" s="70" t="s">
        <v>18</v>
      </c>
      <c r="K927" s="70" t="s">
        <v>19</v>
      </c>
      <c r="L927" s="66"/>
      <c r="M927" s="18"/>
      <c r="N927" s="18"/>
      <c r="O927" s="18"/>
      <c r="P927" s="7"/>
      <c r="Q927" s="7"/>
      <c r="R927" s="7"/>
      <c r="S927" s="18"/>
      <c r="T927" s="284"/>
      <c r="U927" s="284"/>
      <c r="V927" s="284"/>
      <c r="W927" s="18"/>
      <c r="X927" s="18"/>
      <c r="Y927" s="18"/>
      <c r="Z927" s="18"/>
    </row>
    <row r="928" spans="1:26" ht="16.5" customHeight="1" x14ac:dyDescent="0.35">
      <c r="A928" s="72" t="s">
        <v>20</v>
      </c>
      <c r="B928" s="73" t="s">
        <v>21</v>
      </c>
      <c r="C928" s="73" t="s">
        <v>22</v>
      </c>
      <c r="D928" s="70" t="s">
        <v>23</v>
      </c>
      <c r="E928" s="71" t="s">
        <v>24</v>
      </c>
      <c r="F928" s="70" t="s">
        <v>25</v>
      </c>
      <c r="G928" s="70" t="s">
        <v>26</v>
      </c>
      <c r="H928" s="70" t="s">
        <v>27</v>
      </c>
      <c r="I928" s="70" t="s">
        <v>28</v>
      </c>
      <c r="J928" s="70" t="s">
        <v>29</v>
      </c>
      <c r="K928" s="70" t="s">
        <v>30</v>
      </c>
      <c r="L928" s="66"/>
      <c r="M928" s="18"/>
      <c r="N928" s="18"/>
      <c r="O928" s="18"/>
      <c r="P928" s="7"/>
      <c r="Q928" s="7"/>
      <c r="R928" s="7"/>
      <c r="S928" s="18"/>
      <c r="T928" s="284"/>
      <c r="U928" s="284"/>
      <c r="V928" s="284"/>
      <c r="W928" s="18"/>
      <c r="X928" s="18"/>
      <c r="Y928" s="18"/>
      <c r="Z928" s="18"/>
    </row>
    <row r="929" spans="1:26" ht="16.5" customHeight="1" x14ac:dyDescent="0.35">
      <c r="A929" s="229">
        <v>55</v>
      </c>
      <c r="B929" s="238" t="s">
        <v>390</v>
      </c>
      <c r="C929" s="227" t="s">
        <v>58</v>
      </c>
      <c r="D929" s="218">
        <v>3</v>
      </c>
      <c r="E929" s="216">
        <v>1.5</v>
      </c>
      <c r="F929" s="218" t="s">
        <v>346</v>
      </c>
      <c r="G929" s="218" t="s">
        <v>34</v>
      </c>
      <c r="H929" s="74" t="s">
        <v>39</v>
      </c>
      <c r="I929" s="74" t="s">
        <v>84</v>
      </c>
      <c r="J929" s="74" t="s">
        <v>60</v>
      </c>
      <c r="K929" s="218" t="s">
        <v>38</v>
      </c>
      <c r="L929" s="66"/>
      <c r="M929" s="18"/>
      <c r="N929" s="18"/>
      <c r="O929" s="18"/>
      <c r="P929" s="293"/>
      <c r="Q929" s="295"/>
      <c r="R929" s="294"/>
      <c r="S929" s="18"/>
      <c r="T929" s="284"/>
      <c r="U929" s="284"/>
      <c r="V929" s="284"/>
      <c r="W929" s="18"/>
      <c r="X929" s="18"/>
      <c r="Y929" s="18"/>
      <c r="Z929" s="18"/>
    </row>
    <row r="930" spans="1:26" ht="16.5" customHeight="1" x14ac:dyDescent="0.35">
      <c r="A930" s="230"/>
      <c r="B930" s="230"/>
      <c r="C930" s="217"/>
      <c r="D930" s="217"/>
      <c r="E930" s="217"/>
      <c r="F930" s="217"/>
      <c r="G930" s="217"/>
      <c r="H930" s="74" t="s">
        <v>55</v>
      </c>
      <c r="I930" s="74" t="s">
        <v>61</v>
      </c>
      <c r="J930" s="74" t="s">
        <v>60</v>
      </c>
      <c r="K930" s="217"/>
      <c r="L930" s="66"/>
      <c r="M930" s="18"/>
      <c r="N930" s="18"/>
      <c r="O930" s="18"/>
      <c r="P930" s="284"/>
      <c r="Q930" s="284"/>
      <c r="R930" s="284"/>
      <c r="S930" s="18"/>
      <c r="T930" s="293"/>
      <c r="U930" s="295"/>
      <c r="V930" s="294"/>
      <c r="W930" s="18"/>
      <c r="X930" s="18"/>
      <c r="Y930" s="18"/>
      <c r="Z930" s="18"/>
    </row>
    <row r="931" spans="1:26" ht="16.5" customHeight="1" x14ac:dyDescent="0.35">
      <c r="A931" s="230"/>
      <c r="B931" s="230"/>
      <c r="C931" s="227" t="s">
        <v>50</v>
      </c>
      <c r="D931" s="218">
        <v>3</v>
      </c>
      <c r="E931" s="216">
        <v>1.5</v>
      </c>
      <c r="F931" s="218" t="s">
        <v>33</v>
      </c>
      <c r="G931" s="218" t="s">
        <v>42</v>
      </c>
      <c r="H931" s="74" t="s">
        <v>39</v>
      </c>
      <c r="I931" s="74" t="s">
        <v>61</v>
      </c>
      <c r="J931" s="74" t="s">
        <v>208</v>
      </c>
      <c r="K931" s="218" t="s">
        <v>54</v>
      </c>
      <c r="L931" s="121"/>
      <c r="M931" s="122"/>
      <c r="N931" s="122"/>
      <c r="O931" s="122"/>
      <c r="P931" s="293"/>
      <c r="Q931" s="295"/>
      <c r="R931" s="294"/>
      <c r="S931" s="18"/>
      <c r="T931" s="284"/>
      <c r="U931" s="284"/>
      <c r="V931" s="284"/>
      <c r="W931" s="18"/>
      <c r="X931" s="18"/>
      <c r="Y931" s="18"/>
      <c r="Z931" s="18"/>
    </row>
    <row r="932" spans="1:26" ht="16.5" customHeight="1" x14ac:dyDescent="0.35">
      <c r="A932" s="230"/>
      <c r="B932" s="230"/>
      <c r="C932" s="217"/>
      <c r="D932" s="217"/>
      <c r="E932" s="217"/>
      <c r="F932" s="217"/>
      <c r="G932" s="217"/>
      <c r="H932" s="74" t="s">
        <v>55</v>
      </c>
      <c r="I932" s="74" t="s">
        <v>61</v>
      </c>
      <c r="J932" s="74" t="s">
        <v>143</v>
      </c>
      <c r="K932" s="217"/>
      <c r="L932" s="121"/>
      <c r="M932" s="122"/>
      <c r="N932" s="122"/>
      <c r="O932" s="122"/>
      <c r="P932" s="284"/>
      <c r="Q932" s="284"/>
      <c r="R932" s="284"/>
      <c r="S932" s="18"/>
      <c r="T932" s="293"/>
      <c r="U932" s="295"/>
      <c r="V932" s="294"/>
      <c r="W932" s="18"/>
      <c r="X932" s="18"/>
      <c r="Y932" s="18"/>
      <c r="Z932" s="18"/>
    </row>
    <row r="933" spans="1:26" ht="16.5" customHeight="1" x14ac:dyDescent="0.35">
      <c r="A933" s="230"/>
      <c r="B933" s="230"/>
      <c r="C933" s="227" t="s">
        <v>58</v>
      </c>
      <c r="D933" s="218">
        <v>3</v>
      </c>
      <c r="E933" s="216">
        <v>1.5</v>
      </c>
      <c r="F933" s="218" t="s">
        <v>33</v>
      </c>
      <c r="G933" s="218" t="s">
        <v>34</v>
      </c>
      <c r="H933" s="74" t="s">
        <v>48</v>
      </c>
      <c r="I933" s="74" t="s">
        <v>61</v>
      </c>
      <c r="J933" s="74" t="s">
        <v>60</v>
      </c>
      <c r="K933" s="218" t="s">
        <v>54</v>
      </c>
      <c r="L933" s="121"/>
      <c r="M933" s="122"/>
      <c r="N933" s="122"/>
      <c r="O933" s="122"/>
      <c r="P933" s="25"/>
      <c r="Q933" s="26"/>
      <c r="R933" s="27"/>
      <c r="S933" s="18"/>
      <c r="T933" s="284"/>
      <c r="U933" s="284"/>
      <c r="V933" s="284"/>
      <c r="W933" s="18"/>
      <c r="X933" s="18"/>
      <c r="Y933" s="18"/>
      <c r="Z933" s="18"/>
    </row>
    <row r="934" spans="1:26" ht="16.5" customHeight="1" x14ac:dyDescent="0.35">
      <c r="A934" s="230"/>
      <c r="B934" s="217"/>
      <c r="C934" s="217"/>
      <c r="D934" s="217"/>
      <c r="E934" s="217"/>
      <c r="F934" s="217"/>
      <c r="G934" s="217"/>
      <c r="H934" s="74" t="s">
        <v>35</v>
      </c>
      <c r="I934" s="74" t="s">
        <v>61</v>
      </c>
      <c r="J934" s="74" t="s">
        <v>60</v>
      </c>
      <c r="K934" s="217"/>
      <c r="L934" s="121"/>
      <c r="M934" s="122"/>
      <c r="N934" s="122"/>
      <c r="O934" s="122"/>
      <c r="P934" s="25"/>
      <c r="Q934" s="26"/>
      <c r="R934" s="27"/>
      <c r="S934" s="18"/>
      <c r="T934" s="284"/>
      <c r="U934" s="284"/>
      <c r="V934" s="284"/>
      <c r="W934" s="18"/>
      <c r="X934" s="18"/>
      <c r="Y934" s="18"/>
      <c r="Z934" s="18"/>
    </row>
    <row r="935" spans="1:26" ht="16.5" customHeight="1" x14ac:dyDescent="0.35">
      <c r="A935" s="217"/>
      <c r="B935" s="228" t="s">
        <v>72</v>
      </c>
      <c r="C935" s="221"/>
      <c r="D935" s="222"/>
      <c r="E935" s="71">
        <f>SUM(E913:E932)</f>
        <v>9</v>
      </c>
      <c r="F935" s="220"/>
      <c r="G935" s="221"/>
      <c r="H935" s="221"/>
      <c r="I935" s="221"/>
      <c r="J935" s="221"/>
      <c r="K935" s="222"/>
      <c r="L935" s="66"/>
      <c r="M935" s="18"/>
      <c r="N935" s="18"/>
      <c r="O935" s="18"/>
      <c r="P935" s="18"/>
      <c r="Q935" s="18"/>
      <c r="R935" s="18"/>
      <c r="S935" s="18"/>
      <c r="T935" s="284"/>
      <c r="U935" s="284"/>
      <c r="V935" s="284"/>
      <c r="W935" s="18"/>
      <c r="X935" s="18"/>
      <c r="Y935" s="18"/>
      <c r="Z935" s="18"/>
    </row>
    <row r="936" spans="1:26" ht="16.5" customHeight="1" x14ac:dyDescent="0.35">
      <c r="A936" s="229">
        <v>56</v>
      </c>
      <c r="B936" s="238" t="s">
        <v>393</v>
      </c>
      <c r="C936" s="227" t="s">
        <v>122</v>
      </c>
      <c r="D936" s="218">
        <v>2</v>
      </c>
      <c r="E936" s="216">
        <v>2</v>
      </c>
      <c r="F936" s="218" t="s">
        <v>75</v>
      </c>
      <c r="G936" s="218" t="s">
        <v>34</v>
      </c>
      <c r="H936" s="67" t="s">
        <v>46</v>
      </c>
      <c r="I936" s="74" t="s">
        <v>52</v>
      </c>
      <c r="J936" s="74" t="s">
        <v>133</v>
      </c>
      <c r="K936" s="218" t="s">
        <v>54</v>
      </c>
      <c r="L936" s="66"/>
      <c r="M936" s="18"/>
      <c r="N936" s="18"/>
      <c r="O936" s="18"/>
      <c r="P936" s="293"/>
      <c r="Q936" s="295"/>
      <c r="R936" s="294"/>
      <c r="S936" s="18"/>
      <c r="T936" s="293"/>
      <c r="U936" s="295"/>
      <c r="V936" s="294"/>
      <c r="W936" s="18"/>
      <c r="X936" s="18"/>
      <c r="Y936" s="18"/>
      <c r="Z936" s="18"/>
    </row>
    <row r="937" spans="1:26" ht="16.5" customHeight="1" x14ac:dyDescent="0.35">
      <c r="A937" s="230"/>
      <c r="B937" s="230"/>
      <c r="C937" s="217"/>
      <c r="D937" s="217"/>
      <c r="E937" s="217"/>
      <c r="F937" s="217"/>
      <c r="G937" s="217"/>
      <c r="H937" s="74" t="s">
        <v>48</v>
      </c>
      <c r="I937" s="74" t="s">
        <v>56</v>
      </c>
      <c r="J937" s="74" t="s">
        <v>160</v>
      </c>
      <c r="K937" s="217"/>
      <c r="L937" s="66"/>
      <c r="M937" s="18"/>
      <c r="N937" s="18"/>
      <c r="O937" s="18"/>
      <c r="P937" s="284"/>
      <c r="Q937" s="284"/>
      <c r="R937" s="284"/>
      <c r="S937" s="18"/>
      <c r="T937" s="284"/>
      <c r="U937" s="284"/>
      <c r="V937" s="284"/>
      <c r="W937" s="18"/>
      <c r="X937" s="18"/>
      <c r="Y937" s="18"/>
      <c r="Z937" s="18"/>
    </row>
    <row r="938" spans="1:26" ht="16.5" customHeight="1" x14ac:dyDescent="0.35">
      <c r="A938" s="230"/>
      <c r="B938" s="230"/>
      <c r="C938" s="227" t="s">
        <v>122</v>
      </c>
      <c r="D938" s="218">
        <v>2</v>
      </c>
      <c r="E938" s="216">
        <v>2</v>
      </c>
      <c r="F938" s="218" t="s">
        <v>75</v>
      </c>
      <c r="G938" s="218" t="s">
        <v>289</v>
      </c>
      <c r="H938" s="74" t="s">
        <v>46</v>
      </c>
      <c r="I938" s="74" t="s">
        <v>219</v>
      </c>
      <c r="J938" s="74" t="s">
        <v>78</v>
      </c>
      <c r="K938" s="218" t="s">
        <v>54</v>
      </c>
      <c r="L938" s="66"/>
      <c r="M938" s="18"/>
      <c r="N938" s="18"/>
      <c r="O938" s="18"/>
      <c r="P938" s="293"/>
      <c r="Q938" s="295"/>
      <c r="R938" s="294"/>
      <c r="S938" s="18"/>
      <c r="T938" s="293"/>
      <c r="U938" s="295"/>
      <c r="V938" s="294"/>
      <c r="W938" s="18"/>
      <c r="X938" s="18"/>
      <c r="Y938" s="18"/>
      <c r="Z938" s="18"/>
    </row>
    <row r="939" spans="1:26" ht="16.5" customHeight="1" x14ac:dyDescent="0.35">
      <c r="A939" s="230"/>
      <c r="B939" s="230"/>
      <c r="C939" s="217"/>
      <c r="D939" s="217"/>
      <c r="E939" s="217"/>
      <c r="F939" s="217"/>
      <c r="G939" s="217"/>
      <c r="H939" s="74" t="s">
        <v>48</v>
      </c>
      <c r="I939" s="74" t="s">
        <v>52</v>
      </c>
      <c r="J939" s="74" t="s">
        <v>155</v>
      </c>
      <c r="K939" s="217"/>
      <c r="L939" s="66"/>
      <c r="M939" s="18"/>
      <c r="N939" s="18"/>
      <c r="O939" s="18"/>
      <c r="P939" s="284"/>
      <c r="Q939" s="284"/>
      <c r="R939" s="284"/>
      <c r="S939" s="18"/>
      <c r="T939" s="284"/>
      <c r="U939" s="284"/>
      <c r="V939" s="284"/>
      <c r="W939" s="18"/>
      <c r="X939" s="18"/>
      <c r="Y939" s="18"/>
      <c r="Z939" s="18"/>
    </row>
    <row r="940" spans="1:26" ht="16.5" customHeight="1" x14ac:dyDescent="0.35">
      <c r="A940" s="230"/>
      <c r="B940" s="230"/>
      <c r="C940" s="227" t="s">
        <v>185</v>
      </c>
      <c r="D940" s="218">
        <v>3</v>
      </c>
      <c r="E940" s="216">
        <v>3</v>
      </c>
      <c r="F940" s="218" t="s">
        <v>158</v>
      </c>
      <c r="G940" s="218" t="s">
        <v>101</v>
      </c>
      <c r="H940" s="74" t="s">
        <v>35</v>
      </c>
      <c r="I940" s="74" t="s">
        <v>44</v>
      </c>
      <c r="J940" s="74" t="s">
        <v>114</v>
      </c>
      <c r="K940" s="218" t="s">
        <v>54</v>
      </c>
      <c r="L940" s="66"/>
      <c r="M940" s="18"/>
      <c r="N940" s="18"/>
      <c r="O940" s="18"/>
      <c r="P940" s="293"/>
      <c r="Q940" s="295"/>
      <c r="R940" s="294"/>
      <c r="S940" s="18"/>
      <c r="T940" s="18"/>
      <c r="U940" s="18"/>
      <c r="V940" s="18"/>
      <c r="W940" s="18"/>
      <c r="X940" s="18"/>
      <c r="Y940" s="18"/>
      <c r="Z940" s="18"/>
    </row>
    <row r="941" spans="1:26" ht="16.5" customHeight="1" x14ac:dyDescent="0.35">
      <c r="A941" s="230"/>
      <c r="B941" s="230"/>
      <c r="C941" s="217"/>
      <c r="D941" s="217"/>
      <c r="E941" s="217"/>
      <c r="F941" s="217"/>
      <c r="G941" s="217"/>
      <c r="H941" s="74" t="s">
        <v>55</v>
      </c>
      <c r="I941" s="74" t="s">
        <v>36</v>
      </c>
      <c r="J941" s="74" t="s">
        <v>206</v>
      </c>
      <c r="K941" s="217"/>
      <c r="L941" s="66"/>
      <c r="M941" s="18"/>
      <c r="N941" s="18"/>
      <c r="O941" s="18"/>
      <c r="P941" s="284"/>
      <c r="Q941" s="284"/>
      <c r="R941" s="284"/>
      <c r="S941" s="18"/>
      <c r="T941" s="293"/>
      <c r="U941" s="295"/>
      <c r="V941" s="294"/>
      <c r="W941" s="18"/>
      <c r="X941" s="18"/>
      <c r="Y941" s="18"/>
      <c r="Z941" s="18"/>
    </row>
    <row r="942" spans="1:26" ht="16.5" customHeight="1" x14ac:dyDescent="0.35">
      <c r="A942" s="230"/>
      <c r="B942" s="230"/>
      <c r="C942" s="227" t="s">
        <v>185</v>
      </c>
      <c r="D942" s="218">
        <v>3</v>
      </c>
      <c r="E942" s="216">
        <v>3</v>
      </c>
      <c r="F942" s="218" t="s">
        <v>75</v>
      </c>
      <c r="G942" s="218" t="s">
        <v>101</v>
      </c>
      <c r="H942" s="74" t="s">
        <v>35</v>
      </c>
      <c r="I942" s="74" t="s">
        <v>40</v>
      </c>
      <c r="J942" s="74" t="s">
        <v>208</v>
      </c>
      <c r="K942" s="218" t="s">
        <v>54</v>
      </c>
      <c r="L942" s="66"/>
      <c r="M942" s="18"/>
      <c r="N942" s="18"/>
      <c r="O942" s="18"/>
      <c r="P942" s="293"/>
      <c r="Q942" s="295"/>
      <c r="R942" s="294"/>
      <c r="S942" s="18"/>
      <c r="T942" s="284"/>
      <c r="U942" s="284"/>
      <c r="V942" s="284"/>
      <c r="W942" s="18"/>
      <c r="X942" s="18"/>
      <c r="Y942" s="18"/>
      <c r="Z942" s="18"/>
    </row>
    <row r="943" spans="1:26" ht="16.5" customHeight="1" x14ac:dyDescent="0.35">
      <c r="A943" s="230"/>
      <c r="B943" s="230"/>
      <c r="C943" s="217"/>
      <c r="D943" s="217"/>
      <c r="E943" s="217"/>
      <c r="F943" s="217"/>
      <c r="G943" s="217"/>
      <c r="H943" s="74" t="s">
        <v>55</v>
      </c>
      <c r="I943" s="74" t="s">
        <v>44</v>
      </c>
      <c r="J943" s="74" t="s">
        <v>126</v>
      </c>
      <c r="K943" s="217"/>
      <c r="L943" s="66"/>
      <c r="M943" s="22"/>
      <c r="N943" s="22"/>
      <c r="O943" s="22"/>
      <c r="P943" s="284"/>
      <c r="Q943" s="284"/>
      <c r="R943" s="284"/>
      <c r="S943" s="18"/>
      <c r="T943" s="293"/>
      <c r="U943" s="295"/>
      <c r="V943" s="294"/>
      <c r="W943" s="18"/>
      <c r="X943" s="18"/>
      <c r="Y943" s="18"/>
      <c r="Z943" s="18"/>
    </row>
    <row r="944" spans="1:26" ht="16.5" customHeight="1" x14ac:dyDescent="0.35">
      <c r="A944" s="230"/>
      <c r="B944" s="230"/>
      <c r="C944" s="227" t="s">
        <v>335</v>
      </c>
      <c r="D944" s="218">
        <v>2</v>
      </c>
      <c r="E944" s="216">
        <v>2</v>
      </c>
      <c r="F944" s="218" t="s">
        <v>158</v>
      </c>
      <c r="G944" s="218" t="s">
        <v>101</v>
      </c>
      <c r="H944" s="74" t="s">
        <v>35</v>
      </c>
      <c r="I944" s="74" t="s">
        <v>56</v>
      </c>
      <c r="J944" s="74" t="s">
        <v>206</v>
      </c>
      <c r="K944" s="218" t="s">
        <v>54</v>
      </c>
      <c r="L944" s="66"/>
      <c r="M944" s="18"/>
      <c r="N944" s="18"/>
      <c r="O944" s="18"/>
      <c r="P944" s="293"/>
      <c r="Q944" s="295"/>
      <c r="R944" s="294"/>
      <c r="S944" s="18"/>
      <c r="T944" s="284"/>
      <c r="U944" s="284"/>
      <c r="V944" s="284"/>
      <c r="W944" s="18"/>
      <c r="X944" s="18"/>
      <c r="Y944" s="18"/>
      <c r="Z944" s="18"/>
    </row>
    <row r="945" spans="1:26" ht="16.5" customHeight="1" x14ac:dyDescent="0.35">
      <c r="A945" s="230"/>
      <c r="B945" s="230"/>
      <c r="C945" s="217"/>
      <c r="D945" s="217"/>
      <c r="E945" s="217"/>
      <c r="F945" s="217"/>
      <c r="G945" s="217"/>
      <c r="H945" s="74" t="s">
        <v>48</v>
      </c>
      <c r="I945" s="74" t="s">
        <v>123</v>
      </c>
      <c r="J945" s="74" t="s">
        <v>159</v>
      </c>
      <c r="K945" s="219"/>
      <c r="L945" s="66"/>
      <c r="M945" s="18"/>
      <c r="N945" s="18"/>
      <c r="O945" s="18"/>
      <c r="P945" s="284"/>
      <c r="Q945" s="284"/>
      <c r="R945" s="284"/>
      <c r="S945" s="18"/>
      <c r="T945" s="293"/>
      <c r="U945" s="295"/>
      <c r="V945" s="294"/>
      <c r="W945" s="18"/>
      <c r="X945" s="18"/>
      <c r="Y945" s="18"/>
      <c r="Z945" s="18"/>
    </row>
    <row r="946" spans="1:26" ht="16.5" customHeight="1" x14ac:dyDescent="0.35">
      <c r="A946" s="230"/>
      <c r="B946" s="217"/>
      <c r="C946" s="123" t="s">
        <v>89</v>
      </c>
      <c r="D946" s="84">
        <v>3</v>
      </c>
      <c r="E946" s="124">
        <v>3</v>
      </c>
      <c r="F946" s="84" t="s">
        <v>75</v>
      </c>
      <c r="G946" s="84" t="s">
        <v>178</v>
      </c>
      <c r="H946" s="74" t="s">
        <v>46</v>
      </c>
      <c r="I946" s="74" t="s">
        <v>91</v>
      </c>
      <c r="J946" s="74" t="s">
        <v>163</v>
      </c>
      <c r="K946" s="85" t="s">
        <v>93</v>
      </c>
      <c r="L946" s="66"/>
      <c r="M946" s="18"/>
      <c r="N946" s="18"/>
      <c r="O946" s="18"/>
      <c r="P946" s="18"/>
      <c r="Q946" s="18"/>
      <c r="R946" s="18"/>
      <c r="S946" s="18"/>
      <c r="T946" s="284"/>
      <c r="U946" s="284"/>
      <c r="V946" s="284"/>
      <c r="W946" s="18"/>
      <c r="X946" s="18"/>
      <c r="Y946" s="18"/>
      <c r="Z946" s="18"/>
    </row>
    <row r="947" spans="1:26" ht="16.5" customHeight="1" x14ac:dyDescent="0.35">
      <c r="A947" s="217"/>
      <c r="B947" s="228" t="s">
        <v>72</v>
      </c>
      <c r="C947" s="221"/>
      <c r="D947" s="222"/>
      <c r="E947" s="71">
        <f>SUM(E936:E946)</f>
        <v>15</v>
      </c>
      <c r="F947" s="220"/>
      <c r="G947" s="221"/>
      <c r="H947" s="221"/>
      <c r="I947" s="221"/>
      <c r="J947" s="221"/>
      <c r="K947" s="222"/>
      <c r="L947" s="66"/>
      <c r="M947" s="18"/>
      <c r="N947" s="18"/>
      <c r="O947" s="18"/>
      <c r="P947" s="18"/>
      <c r="Q947" s="18"/>
      <c r="R947" s="18"/>
      <c r="S947" s="18"/>
      <c r="T947" s="293"/>
      <c r="U947" s="295"/>
      <c r="V947" s="294"/>
      <c r="W947" s="18"/>
      <c r="X947" s="18"/>
      <c r="Y947" s="18"/>
      <c r="Z947" s="18"/>
    </row>
    <row r="948" spans="1:26" ht="16.5" customHeight="1" x14ac:dyDescent="0.35">
      <c r="A948" s="229">
        <v>57</v>
      </c>
      <c r="B948" s="238" t="s">
        <v>394</v>
      </c>
      <c r="C948" s="227" t="s">
        <v>58</v>
      </c>
      <c r="D948" s="218">
        <v>3</v>
      </c>
      <c r="E948" s="216">
        <v>1.5</v>
      </c>
      <c r="F948" s="218" t="s">
        <v>75</v>
      </c>
      <c r="G948" s="218" t="s">
        <v>34</v>
      </c>
      <c r="H948" s="109" t="s">
        <v>39</v>
      </c>
      <c r="I948" s="109" t="s">
        <v>61</v>
      </c>
      <c r="J948" s="110" t="s">
        <v>60</v>
      </c>
      <c r="K948" s="218" t="s">
        <v>38</v>
      </c>
      <c r="L948" s="66"/>
      <c r="M948" s="18"/>
      <c r="N948" s="18"/>
      <c r="O948" s="18"/>
      <c r="P948" s="293"/>
      <c r="Q948" s="295"/>
      <c r="R948" s="294"/>
      <c r="S948" s="18"/>
      <c r="T948" s="284"/>
      <c r="U948" s="284"/>
      <c r="V948" s="284"/>
      <c r="W948" s="18"/>
      <c r="X948" s="18"/>
      <c r="Y948" s="18"/>
      <c r="Z948" s="18"/>
    </row>
    <row r="949" spans="1:26" ht="16.5" customHeight="1" x14ac:dyDescent="0.35">
      <c r="A949" s="230"/>
      <c r="B949" s="230"/>
      <c r="C949" s="217"/>
      <c r="D949" s="217"/>
      <c r="E949" s="217"/>
      <c r="F949" s="217"/>
      <c r="G949" s="217"/>
      <c r="H949" s="109" t="s">
        <v>55</v>
      </c>
      <c r="I949" s="109" t="s">
        <v>61</v>
      </c>
      <c r="J949" s="110" t="s">
        <v>60</v>
      </c>
      <c r="K949" s="217"/>
      <c r="L949" s="66"/>
      <c r="M949" s="18"/>
      <c r="N949" s="18"/>
      <c r="O949" s="18"/>
      <c r="P949" s="284"/>
      <c r="Q949" s="284"/>
      <c r="R949" s="284"/>
      <c r="S949" s="18"/>
      <c r="T949" s="293"/>
      <c r="U949" s="295"/>
      <c r="V949" s="294"/>
      <c r="W949" s="18"/>
      <c r="X949" s="18"/>
      <c r="Y949" s="18"/>
      <c r="Z949" s="18"/>
    </row>
    <row r="950" spans="1:26" ht="16.5" customHeight="1" x14ac:dyDescent="0.35">
      <c r="A950" s="230"/>
      <c r="B950" s="230"/>
      <c r="C950" s="227" t="s">
        <v>58</v>
      </c>
      <c r="D950" s="218">
        <v>3</v>
      </c>
      <c r="E950" s="216">
        <v>1.5</v>
      </c>
      <c r="F950" s="218" t="s">
        <v>75</v>
      </c>
      <c r="G950" s="218" t="s">
        <v>42</v>
      </c>
      <c r="H950" s="74" t="s">
        <v>46</v>
      </c>
      <c r="I950" s="109" t="s">
        <v>61</v>
      </c>
      <c r="J950" s="110" t="s">
        <v>60</v>
      </c>
      <c r="K950" s="218" t="s">
        <v>38</v>
      </c>
      <c r="L950" s="66"/>
      <c r="M950" s="18"/>
      <c r="N950" s="18"/>
      <c r="O950" s="18"/>
      <c r="P950" s="293"/>
      <c r="Q950" s="295"/>
      <c r="R950" s="294"/>
      <c r="S950" s="18"/>
      <c r="T950" s="284"/>
      <c r="U950" s="284"/>
      <c r="V950" s="284"/>
      <c r="W950" s="18"/>
      <c r="X950" s="18"/>
      <c r="Y950" s="18"/>
      <c r="Z950" s="18"/>
    </row>
    <row r="951" spans="1:26" ht="16.5" customHeight="1" x14ac:dyDescent="0.35">
      <c r="A951" s="230"/>
      <c r="B951" s="230"/>
      <c r="C951" s="217"/>
      <c r="D951" s="217"/>
      <c r="E951" s="217"/>
      <c r="F951" s="217"/>
      <c r="G951" s="217"/>
      <c r="H951" s="74" t="s">
        <v>48</v>
      </c>
      <c r="I951" s="109" t="s">
        <v>61</v>
      </c>
      <c r="J951" s="110" t="s">
        <v>60</v>
      </c>
      <c r="K951" s="217"/>
      <c r="L951" s="66"/>
      <c r="M951" s="18"/>
      <c r="N951" s="18"/>
      <c r="O951" s="18"/>
      <c r="P951" s="284"/>
      <c r="Q951" s="284"/>
      <c r="R951" s="284"/>
      <c r="S951" s="18"/>
      <c r="T951" s="293"/>
      <c r="U951" s="295"/>
      <c r="V951" s="294"/>
      <c r="W951" s="18"/>
      <c r="X951" s="18"/>
      <c r="Y951" s="18"/>
      <c r="Z951" s="18"/>
    </row>
    <row r="952" spans="1:26" ht="16.5" customHeight="1" x14ac:dyDescent="0.35">
      <c r="A952" s="230"/>
      <c r="B952" s="230"/>
      <c r="C952" s="243" t="s">
        <v>58</v>
      </c>
      <c r="D952" s="242">
        <v>3</v>
      </c>
      <c r="E952" s="244">
        <v>1.5</v>
      </c>
      <c r="F952" s="242" t="s">
        <v>75</v>
      </c>
      <c r="G952" s="242" t="s">
        <v>45</v>
      </c>
      <c r="H952" s="109" t="s">
        <v>39</v>
      </c>
      <c r="I952" s="109" t="s">
        <v>56</v>
      </c>
      <c r="J952" s="109" t="s">
        <v>60</v>
      </c>
      <c r="K952" s="242" t="s">
        <v>38</v>
      </c>
      <c r="L952" s="119"/>
      <c r="M952" s="18"/>
      <c r="N952" s="18"/>
      <c r="O952" s="18"/>
      <c r="P952" s="293"/>
      <c r="Q952" s="295"/>
      <c r="R952" s="294"/>
      <c r="S952" s="18"/>
      <c r="T952" s="284"/>
      <c r="U952" s="284"/>
      <c r="V952" s="284"/>
      <c r="W952" s="18"/>
      <c r="X952" s="18"/>
      <c r="Y952" s="18"/>
      <c r="Z952" s="18"/>
    </row>
    <row r="953" spans="1:26" ht="16.5" customHeight="1" x14ac:dyDescent="0.35">
      <c r="A953" s="230"/>
      <c r="B953" s="230"/>
      <c r="C953" s="217"/>
      <c r="D953" s="217"/>
      <c r="E953" s="217"/>
      <c r="F953" s="217"/>
      <c r="G953" s="217"/>
      <c r="H953" s="109" t="s">
        <v>55</v>
      </c>
      <c r="I953" s="109" t="s">
        <v>52</v>
      </c>
      <c r="J953" s="109" t="s">
        <v>60</v>
      </c>
      <c r="K953" s="217"/>
      <c r="L953" s="119"/>
      <c r="M953" s="18"/>
      <c r="N953" s="18"/>
      <c r="O953" s="18"/>
      <c r="P953" s="284"/>
      <c r="Q953" s="284"/>
      <c r="R953" s="284"/>
      <c r="S953" s="18"/>
      <c r="T953" s="293"/>
      <c r="U953" s="295"/>
      <c r="V953" s="294"/>
      <c r="W953" s="18"/>
      <c r="X953" s="18"/>
      <c r="Y953" s="18"/>
      <c r="Z953" s="18"/>
    </row>
    <row r="954" spans="1:26" ht="16.5" customHeight="1" x14ac:dyDescent="0.35">
      <c r="A954" s="230"/>
      <c r="B954" s="230"/>
      <c r="C954" s="243" t="s">
        <v>50</v>
      </c>
      <c r="D954" s="242">
        <v>3</v>
      </c>
      <c r="E954" s="244">
        <v>1.5</v>
      </c>
      <c r="F954" s="242" t="s">
        <v>75</v>
      </c>
      <c r="G954" s="242" t="s">
        <v>49</v>
      </c>
      <c r="H954" s="109" t="s">
        <v>35</v>
      </c>
      <c r="I954" s="109" t="s">
        <v>61</v>
      </c>
      <c r="J954" s="109" t="s">
        <v>395</v>
      </c>
      <c r="K954" s="242" t="s">
        <v>38</v>
      </c>
      <c r="L954" s="119"/>
      <c r="M954" s="18"/>
      <c r="N954" s="18"/>
      <c r="O954" s="18"/>
      <c r="P954" s="293"/>
      <c r="Q954" s="295"/>
      <c r="R954" s="294"/>
      <c r="S954" s="18"/>
      <c r="T954" s="284"/>
      <c r="U954" s="284"/>
      <c r="V954" s="284"/>
      <c r="W954" s="18"/>
      <c r="X954" s="18"/>
      <c r="Y954" s="18"/>
      <c r="Z954" s="18"/>
    </row>
    <row r="955" spans="1:26" ht="16.5" customHeight="1" x14ac:dyDescent="0.35">
      <c r="A955" s="230"/>
      <c r="B955" s="230"/>
      <c r="C955" s="217"/>
      <c r="D955" s="217"/>
      <c r="E955" s="217"/>
      <c r="F955" s="217"/>
      <c r="G955" s="217"/>
      <c r="H955" s="109" t="s">
        <v>39</v>
      </c>
      <c r="I955" s="109" t="s">
        <v>61</v>
      </c>
      <c r="J955" s="109" t="s">
        <v>169</v>
      </c>
      <c r="K955" s="217"/>
      <c r="L955" s="119"/>
      <c r="M955" s="18"/>
      <c r="N955" s="18"/>
      <c r="O955" s="18"/>
      <c r="P955" s="284"/>
      <c r="Q955" s="284"/>
      <c r="R955" s="284"/>
      <c r="S955" s="18"/>
      <c r="T955" s="18"/>
      <c r="U955" s="18"/>
      <c r="V955" s="18"/>
      <c r="W955" s="18"/>
      <c r="X955" s="18"/>
      <c r="Y955" s="18"/>
      <c r="Z955" s="18"/>
    </row>
    <row r="956" spans="1:26" ht="16.5" customHeight="1" x14ac:dyDescent="0.35">
      <c r="A956" s="230"/>
      <c r="B956" s="230"/>
      <c r="C956" s="243" t="s">
        <v>50</v>
      </c>
      <c r="D956" s="242">
        <v>3</v>
      </c>
      <c r="E956" s="244">
        <v>1.5</v>
      </c>
      <c r="F956" s="242" t="s">
        <v>75</v>
      </c>
      <c r="G956" s="242" t="s">
        <v>289</v>
      </c>
      <c r="H956" s="109" t="s">
        <v>46</v>
      </c>
      <c r="I956" s="109" t="s">
        <v>123</v>
      </c>
      <c r="J956" s="109" t="s">
        <v>396</v>
      </c>
      <c r="K956" s="242" t="s">
        <v>38</v>
      </c>
      <c r="L956" s="119"/>
      <c r="M956" s="18"/>
      <c r="N956" s="18"/>
      <c r="O956" s="18"/>
      <c r="P956" s="293"/>
      <c r="Q956" s="295"/>
      <c r="R956" s="294"/>
      <c r="S956" s="18"/>
      <c r="T956" s="293"/>
      <c r="U956" s="295"/>
      <c r="V956" s="294"/>
      <c r="W956" s="18"/>
      <c r="X956" s="18"/>
      <c r="Y956" s="18"/>
      <c r="Z956" s="18"/>
    </row>
    <row r="957" spans="1:26" ht="16.5" customHeight="1" x14ac:dyDescent="0.35">
      <c r="A957" s="230"/>
      <c r="B957" s="230"/>
      <c r="C957" s="217"/>
      <c r="D957" s="217"/>
      <c r="E957" s="217"/>
      <c r="F957" s="217"/>
      <c r="G957" s="217"/>
      <c r="H957" s="109" t="s">
        <v>55</v>
      </c>
      <c r="I957" s="109" t="s">
        <v>56</v>
      </c>
      <c r="J957" s="109" t="s">
        <v>113</v>
      </c>
      <c r="K957" s="217"/>
      <c r="L957" s="119"/>
      <c r="M957" s="18"/>
      <c r="N957" s="18"/>
      <c r="O957" s="18"/>
      <c r="P957" s="284"/>
      <c r="Q957" s="284"/>
      <c r="R957" s="284"/>
      <c r="S957" s="18"/>
      <c r="T957" s="284"/>
      <c r="U957" s="284"/>
      <c r="V957" s="284"/>
      <c r="W957" s="18"/>
      <c r="X957" s="18"/>
      <c r="Y957" s="18"/>
      <c r="Z957" s="18"/>
    </row>
    <row r="958" spans="1:26" ht="16.5" customHeight="1" x14ac:dyDescent="0.35">
      <c r="A958" s="230"/>
      <c r="B958" s="230"/>
      <c r="C958" s="243" t="s">
        <v>50</v>
      </c>
      <c r="D958" s="242">
        <v>3</v>
      </c>
      <c r="E958" s="244">
        <v>1.5</v>
      </c>
      <c r="F958" s="242" t="s">
        <v>75</v>
      </c>
      <c r="G958" s="242" t="s">
        <v>272</v>
      </c>
      <c r="H958" s="125" t="s">
        <v>35</v>
      </c>
      <c r="I958" s="109" t="s">
        <v>56</v>
      </c>
      <c r="J958" s="109" t="s">
        <v>133</v>
      </c>
      <c r="K958" s="242" t="s">
        <v>54</v>
      </c>
      <c r="L958" s="119"/>
      <c r="M958" s="18"/>
      <c r="N958" s="18"/>
      <c r="O958" s="18"/>
      <c r="P958" s="293"/>
      <c r="Q958" s="295"/>
      <c r="R958" s="294"/>
      <c r="S958" s="18"/>
      <c r="T958" s="299"/>
      <c r="U958" s="18"/>
      <c r="V958" s="300"/>
      <c r="W958" s="18"/>
      <c r="X958" s="18"/>
      <c r="Y958" s="18"/>
      <c r="Z958" s="18"/>
    </row>
    <row r="959" spans="1:26" ht="16.5" customHeight="1" x14ac:dyDescent="0.35">
      <c r="A959" s="230"/>
      <c r="B959" s="230"/>
      <c r="C959" s="217"/>
      <c r="D959" s="217"/>
      <c r="E959" s="217"/>
      <c r="F959" s="217"/>
      <c r="G959" s="217"/>
      <c r="H959" s="126" t="s">
        <v>55</v>
      </c>
      <c r="I959" s="109" t="s">
        <v>123</v>
      </c>
      <c r="J959" s="109" t="s">
        <v>124</v>
      </c>
      <c r="K959" s="217"/>
      <c r="L959" s="119"/>
      <c r="M959" s="18"/>
      <c r="N959" s="18"/>
      <c r="O959" s="18"/>
      <c r="P959" s="284"/>
      <c r="Q959" s="284"/>
      <c r="R959" s="284"/>
      <c r="S959" s="18"/>
      <c r="T959" s="289"/>
      <c r="U959" s="18"/>
      <c r="V959" s="289"/>
      <c r="W959" s="18"/>
      <c r="X959" s="18"/>
      <c r="Y959" s="18"/>
      <c r="Z959" s="18"/>
    </row>
    <row r="960" spans="1:26" ht="16.5" customHeight="1" x14ac:dyDescent="0.35">
      <c r="A960" s="230"/>
      <c r="B960" s="230"/>
      <c r="C960" s="227" t="s">
        <v>32</v>
      </c>
      <c r="D960" s="218">
        <v>3</v>
      </c>
      <c r="E960" s="216">
        <v>3</v>
      </c>
      <c r="F960" s="218" t="s">
        <v>75</v>
      </c>
      <c r="G960" s="218" t="s">
        <v>49</v>
      </c>
      <c r="H960" s="74" t="s">
        <v>35</v>
      </c>
      <c r="I960" s="74" t="s">
        <v>40</v>
      </c>
      <c r="J960" s="74" t="s">
        <v>395</v>
      </c>
      <c r="K960" s="218" t="s">
        <v>38</v>
      </c>
      <c r="L960" s="66"/>
      <c r="M960" s="18"/>
      <c r="N960" s="18"/>
      <c r="O960" s="18"/>
      <c r="P960" s="293"/>
      <c r="Q960" s="295"/>
      <c r="R960" s="294"/>
      <c r="S960" s="18"/>
      <c r="T960" s="293"/>
      <c r="U960" s="295"/>
      <c r="V960" s="294"/>
      <c r="W960" s="18"/>
      <c r="X960" s="18"/>
      <c r="Y960" s="18"/>
      <c r="Z960" s="18"/>
    </row>
    <row r="961" spans="1:26" ht="16.5" customHeight="1" x14ac:dyDescent="0.35">
      <c r="A961" s="230"/>
      <c r="B961" s="230"/>
      <c r="C961" s="217"/>
      <c r="D961" s="217"/>
      <c r="E961" s="217"/>
      <c r="F961" s="217"/>
      <c r="G961" s="217"/>
      <c r="H961" s="74" t="s">
        <v>55</v>
      </c>
      <c r="I961" s="74" t="s">
        <v>44</v>
      </c>
      <c r="J961" s="74" t="s">
        <v>206</v>
      </c>
      <c r="K961" s="217"/>
      <c r="L961" s="66"/>
      <c r="M961" s="18"/>
      <c r="N961" s="18"/>
      <c r="O961" s="18"/>
      <c r="P961" s="284"/>
      <c r="Q961" s="284"/>
      <c r="R961" s="284"/>
      <c r="S961" s="18"/>
      <c r="T961" s="284"/>
      <c r="U961" s="284"/>
      <c r="V961" s="284"/>
      <c r="W961" s="18"/>
      <c r="X961" s="18"/>
      <c r="Y961" s="18"/>
      <c r="Z961" s="18"/>
    </row>
    <row r="962" spans="1:26" ht="16.5" customHeight="1" x14ac:dyDescent="0.35">
      <c r="A962" s="230"/>
      <c r="B962" s="217"/>
      <c r="C962" s="94" t="s">
        <v>191</v>
      </c>
      <c r="D962" s="74">
        <v>3</v>
      </c>
      <c r="E962" s="81">
        <v>3</v>
      </c>
      <c r="F962" s="74" t="s">
        <v>75</v>
      </c>
      <c r="G962" s="74" t="s">
        <v>397</v>
      </c>
      <c r="H962" s="74" t="s">
        <v>119</v>
      </c>
      <c r="I962" s="74" t="s">
        <v>82</v>
      </c>
      <c r="J962" s="74" t="s">
        <v>196</v>
      </c>
      <c r="K962" s="74" t="s">
        <v>93</v>
      </c>
      <c r="L962" s="66"/>
      <c r="M962" s="18"/>
      <c r="N962" s="18"/>
      <c r="O962" s="18"/>
      <c r="P962" s="18"/>
      <c r="Q962" s="18"/>
      <c r="R962" s="18"/>
      <c r="S962" s="18"/>
      <c r="T962" s="293"/>
      <c r="U962" s="295"/>
      <c r="V962" s="294"/>
      <c r="W962" s="18"/>
      <c r="X962" s="18"/>
      <c r="Y962" s="18"/>
      <c r="Z962" s="18"/>
    </row>
    <row r="963" spans="1:26" ht="16.5" customHeight="1" x14ac:dyDescent="0.35">
      <c r="A963" s="217"/>
      <c r="B963" s="228" t="s">
        <v>72</v>
      </c>
      <c r="C963" s="221"/>
      <c r="D963" s="222"/>
      <c r="E963" s="100">
        <f>SUM(E948:E962)</f>
        <v>15</v>
      </c>
      <c r="F963" s="220"/>
      <c r="G963" s="221"/>
      <c r="H963" s="221"/>
      <c r="I963" s="221"/>
      <c r="J963" s="221"/>
      <c r="K963" s="222"/>
      <c r="L963" s="66"/>
      <c r="M963" s="18"/>
      <c r="N963" s="18"/>
      <c r="O963" s="18"/>
      <c r="P963" s="18"/>
      <c r="Q963" s="18"/>
      <c r="R963" s="18"/>
      <c r="S963" s="18"/>
      <c r="T963" s="284"/>
      <c r="U963" s="284"/>
      <c r="V963" s="284"/>
      <c r="W963" s="18"/>
      <c r="X963" s="18"/>
      <c r="Y963" s="18"/>
      <c r="Z963" s="18"/>
    </row>
    <row r="964" spans="1:26" ht="16.5" customHeight="1" x14ac:dyDescent="0.35">
      <c r="A964" s="229">
        <v>58</v>
      </c>
      <c r="B964" s="238" t="s">
        <v>398</v>
      </c>
      <c r="C964" s="227" t="s">
        <v>399</v>
      </c>
      <c r="D964" s="218">
        <v>3</v>
      </c>
      <c r="E964" s="216">
        <v>3</v>
      </c>
      <c r="F964" s="218" t="s">
        <v>106</v>
      </c>
      <c r="G964" s="218" t="s">
        <v>76</v>
      </c>
      <c r="H964" s="74" t="s">
        <v>46</v>
      </c>
      <c r="I964" s="74" t="s">
        <v>108</v>
      </c>
      <c r="J964" s="74" t="s">
        <v>143</v>
      </c>
      <c r="K964" s="218" t="s">
        <v>54</v>
      </c>
      <c r="L964" s="66"/>
      <c r="M964" s="18"/>
      <c r="N964" s="18"/>
      <c r="O964" s="18"/>
      <c r="P964" s="293"/>
      <c r="Q964" s="295"/>
      <c r="R964" s="294"/>
      <c r="S964" s="18"/>
      <c r="T964" s="293"/>
      <c r="U964" s="295"/>
      <c r="V964" s="294"/>
      <c r="W964" s="18"/>
      <c r="X964" s="18"/>
      <c r="Y964" s="18"/>
      <c r="Z964" s="18"/>
    </row>
    <row r="965" spans="1:26" ht="16.5" customHeight="1" x14ac:dyDescent="0.35">
      <c r="A965" s="230"/>
      <c r="B965" s="230"/>
      <c r="C965" s="217"/>
      <c r="D965" s="217"/>
      <c r="E965" s="217"/>
      <c r="F965" s="217"/>
      <c r="G965" s="217"/>
      <c r="H965" s="74" t="s">
        <v>48</v>
      </c>
      <c r="I965" s="74" t="s">
        <v>40</v>
      </c>
      <c r="J965" s="74" t="s">
        <v>107</v>
      </c>
      <c r="K965" s="217"/>
      <c r="L965" s="66"/>
      <c r="M965" s="18"/>
      <c r="N965" s="18"/>
      <c r="O965" s="18"/>
      <c r="P965" s="284"/>
      <c r="Q965" s="284"/>
      <c r="R965" s="284"/>
      <c r="S965" s="18"/>
      <c r="T965" s="284"/>
      <c r="U965" s="284"/>
      <c r="V965" s="284"/>
      <c r="W965" s="18"/>
      <c r="X965" s="18"/>
      <c r="Y965" s="18"/>
      <c r="Z965" s="18"/>
    </row>
    <row r="966" spans="1:26" ht="16.5" customHeight="1" x14ac:dyDescent="0.35">
      <c r="A966" s="230"/>
      <c r="B966" s="230"/>
      <c r="C966" s="227" t="s">
        <v>32</v>
      </c>
      <c r="D966" s="218">
        <v>3</v>
      </c>
      <c r="E966" s="216">
        <v>3</v>
      </c>
      <c r="F966" s="218" t="s">
        <v>106</v>
      </c>
      <c r="G966" s="218" t="s">
        <v>42</v>
      </c>
      <c r="H966" s="74" t="s">
        <v>46</v>
      </c>
      <c r="I966" s="74" t="s">
        <v>44</v>
      </c>
      <c r="J966" s="74" t="s">
        <v>400</v>
      </c>
      <c r="K966" s="218" t="s">
        <v>38</v>
      </c>
      <c r="L966" s="66"/>
      <c r="M966" s="18"/>
      <c r="N966" s="18"/>
      <c r="O966" s="18"/>
      <c r="P966" s="293"/>
      <c r="Q966" s="295"/>
      <c r="R966" s="294"/>
      <c r="S966" s="18"/>
      <c r="T966" s="293"/>
      <c r="U966" s="295"/>
      <c r="V966" s="294"/>
      <c r="W966" s="18"/>
      <c r="X966" s="18"/>
      <c r="Y966" s="18"/>
      <c r="Z966" s="18"/>
    </row>
    <row r="967" spans="1:26" ht="16.5" customHeight="1" x14ac:dyDescent="0.35">
      <c r="A967" s="230"/>
      <c r="B967" s="230"/>
      <c r="C967" s="217"/>
      <c r="D967" s="217"/>
      <c r="E967" s="217"/>
      <c r="F967" s="217"/>
      <c r="G967" s="217"/>
      <c r="H967" s="74" t="s">
        <v>55</v>
      </c>
      <c r="I967" s="74" t="s">
        <v>66</v>
      </c>
      <c r="J967" s="74" t="s">
        <v>114</v>
      </c>
      <c r="K967" s="217"/>
      <c r="L967" s="66"/>
      <c r="M967" s="18"/>
      <c r="N967" s="18"/>
      <c r="O967" s="18"/>
      <c r="P967" s="284"/>
      <c r="Q967" s="284"/>
      <c r="R967" s="284"/>
      <c r="S967" s="18"/>
      <c r="T967" s="284"/>
      <c r="U967" s="284"/>
      <c r="V967" s="284"/>
      <c r="W967" s="18"/>
      <c r="X967" s="18"/>
      <c r="Y967" s="18"/>
      <c r="Z967" s="18"/>
    </row>
    <row r="968" spans="1:26" ht="16.5" customHeight="1" x14ac:dyDescent="0.35">
      <c r="A968" s="230"/>
      <c r="B968" s="230"/>
      <c r="C968" s="227" t="s">
        <v>401</v>
      </c>
      <c r="D968" s="218">
        <v>3</v>
      </c>
      <c r="E968" s="216">
        <v>3</v>
      </c>
      <c r="F968" s="218" t="s">
        <v>106</v>
      </c>
      <c r="G968" s="218" t="s">
        <v>136</v>
      </c>
      <c r="H968" s="74" t="s">
        <v>39</v>
      </c>
      <c r="I968" s="74" t="s">
        <v>36</v>
      </c>
      <c r="J968" s="74" t="s">
        <v>98</v>
      </c>
      <c r="K968" s="218" t="s">
        <v>38</v>
      </c>
      <c r="L968" s="66"/>
      <c r="M968" s="18"/>
      <c r="N968" s="18"/>
      <c r="O968" s="18"/>
      <c r="P968" s="293"/>
      <c r="Q968" s="295"/>
      <c r="R968" s="294"/>
      <c r="S968" s="18"/>
      <c r="T968" s="293"/>
      <c r="U968" s="295"/>
      <c r="V968" s="294"/>
      <c r="W968" s="18"/>
      <c r="X968" s="18"/>
      <c r="Y968" s="18"/>
      <c r="Z968" s="18"/>
    </row>
    <row r="969" spans="1:26" ht="16.5" customHeight="1" x14ac:dyDescent="0.35">
      <c r="A969" s="230"/>
      <c r="B969" s="230"/>
      <c r="C969" s="217"/>
      <c r="D969" s="217"/>
      <c r="E969" s="217"/>
      <c r="F969" s="217"/>
      <c r="G969" s="217"/>
      <c r="H969" s="74" t="s">
        <v>55</v>
      </c>
      <c r="I969" s="74" t="s">
        <v>44</v>
      </c>
      <c r="J969" s="74" t="s">
        <v>98</v>
      </c>
      <c r="K969" s="217"/>
      <c r="L969" s="66"/>
      <c r="M969" s="18"/>
      <c r="N969" s="18"/>
      <c r="O969" s="18"/>
      <c r="P969" s="284"/>
      <c r="Q969" s="284"/>
      <c r="R969" s="284"/>
      <c r="S969" s="18"/>
      <c r="T969" s="284"/>
      <c r="U969" s="284"/>
      <c r="V969" s="284"/>
      <c r="W969" s="18"/>
      <c r="X969" s="18"/>
      <c r="Y969" s="18"/>
      <c r="Z969" s="18"/>
    </row>
    <row r="970" spans="1:26" ht="16.5" customHeight="1" x14ac:dyDescent="0.35">
      <c r="A970" s="230"/>
      <c r="B970" s="230"/>
      <c r="C970" s="227" t="s">
        <v>402</v>
      </c>
      <c r="D970" s="218">
        <v>3</v>
      </c>
      <c r="E970" s="216">
        <v>3</v>
      </c>
      <c r="F970" s="218" t="s">
        <v>51</v>
      </c>
      <c r="G970" s="218" t="s">
        <v>173</v>
      </c>
      <c r="H970" s="74" t="s">
        <v>46</v>
      </c>
      <c r="I970" s="74" t="s">
        <v>36</v>
      </c>
      <c r="J970" s="74" t="s">
        <v>221</v>
      </c>
      <c r="K970" s="218" t="s">
        <v>38</v>
      </c>
      <c r="L970" s="66"/>
      <c r="M970" s="18"/>
      <c r="N970" s="18"/>
      <c r="O970" s="18"/>
      <c r="P970" s="293"/>
      <c r="Q970" s="295"/>
      <c r="R970" s="294"/>
      <c r="S970" s="18"/>
      <c r="T970" s="293"/>
      <c r="U970" s="295"/>
      <c r="V970" s="294"/>
      <c r="W970" s="18"/>
      <c r="X970" s="18"/>
      <c r="Y970" s="18"/>
      <c r="Z970" s="18"/>
    </row>
    <row r="971" spans="1:26" ht="16.5" customHeight="1" x14ac:dyDescent="0.35">
      <c r="A971" s="230"/>
      <c r="B971" s="217"/>
      <c r="C971" s="217"/>
      <c r="D971" s="217"/>
      <c r="E971" s="217"/>
      <c r="F971" s="217"/>
      <c r="G971" s="217"/>
      <c r="H971" s="74" t="s">
        <v>48</v>
      </c>
      <c r="I971" s="74" t="s">
        <v>36</v>
      </c>
      <c r="J971" s="74" t="s">
        <v>221</v>
      </c>
      <c r="K971" s="217"/>
      <c r="L971" s="66"/>
      <c r="M971" s="18"/>
      <c r="N971" s="18"/>
      <c r="O971" s="18"/>
      <c r="P971" s="284"/>
      <c r="Q971" s="284"/>
      <c r="R971" s="284"/>
      <c r="S971" s="18"/>
      <c r="T971" s="284"/>
      <c r="U971" s="284"/>
      <c r="V971" s="284"/>
      <c r="W971" s="18"/>
      <c r="X971" s="18"/>
      <c r="Y971" s="18"/>
      <c r="Z971" s="18"/>
    </row>
    <row r="972" spans="1:26" ht="16.5" customHeight="1" x14ac:dyDescent="0.35">
      <c r="A972" s="217"/>
      <c r="B972" s="228" t="s">
        <v>72</v>
      </c>
      <c r="C972" s="221"/>
      <c r="D972" s="222"/>
      <c r="E972" s="71">
        <f>SUM(E964:E971)</f>
        <v>12</v>
      </c>
      <c r="F972" s="220"/>
      <c r="G972" s="221"/>
      <c r="H972" s="221"/>
      <c r="I972" s="221"/>
      <c r="J972" s="221"/>
      <c r="K972" s="222"/>
      <c r="L972" s="66"/>
      <c r="M972" s="18"/>
      <c r="N972" s="18"/>
      <c r="O972" s="18"/>
      <c r="P972" s="18"/>
      <c r="Q972" s="18"/>
      <c r="R972" s="18"/>
      <c r="S972" s="18"/>
      <c r="T972" s="293"/>
      <c r="U972" s="295"/>
      <c r="V972" s="294"/>
      <c r="W972" s="18"/>
      <c r="X972" s="18"/>
      <c r="Y972" s="18"/>
      <c r="Z972" s="18"/>
    </row>
    <row r="973" spans="1:26" ht="16.5" customHeight="1" x14ac:dyDescent="0.35">
      <c r="A973" s="229">
        <v>59</v>
      </c>
      <c r="B973" s="238" t="s">
        <v>403</v>
      </c>
      <c r="C973" s="227" t="s">
        <v>303</v>
      </c>
      <c r="D973" s="218">
        <v>3</v>
      </c>
      <c r="E973" s="216">
        <v>1.5</v>
      </c>
      <c r="F973" s="218" t="s">
        <v>51</v>
      </c>
      <c r="G973" s="218" t="s">
        <v>101</v>
      </c>
      <c r="H973" s="74" t="s">
        <v>35</v>
      </c>
      <c r="I973" s="74" t="s">
        <v>40</v>
      </c>
      <c r="J973" s="74" t="s">
        <v>132</v>
      </c>
      <c r="K973" s="218" t="s">
        <v>54</v>
      </c>
      <c r="L973" s="66"/>
      <c r="M973" s="18"/>
      <c r="N973" s="18"/>
      <c r="O973" s="18"/>
      <c r="P973" s="293"/>
      <c r="Q973" s="295"/>
      <c r="R973" s="294"/>
      <c r="S973" s="18"/>
      <c r="T973" s="284"/>
      <c r="U973" s="284"/>
      <c r="V973" s="284"/>
      <c r="W973" s="18"/>
      <c r="X973" s="18"/>
      <c r="Y973" s="18"/>
      <c r="Z973" s="18"/>
    </row>
    <row r="974" spans="1:26" ht="16.5" customHeight="1" x14ac:dyDescent="0.35">
      <c r="A974" s="230"/>
      <c r="B974" s="230"/>
      <c r="C974" s="217"/>
      <c r="D974" s="217"/>
      <c r="E974" s="217"/>
      <c r="F974" s="217"/>
      <c r="G974" s="217"/>
      <c r="H974" s="74" t="s">
        <v>39</v>
      </c>
      <c r="I974" s="74" t="s">
        <v>108</v>
      </c>
      <c r="J974" s="74" t="s">
        <v>150</v>
      </c>
      <c r="K974" s="217"/>
      <c r="L974" s="66"/>
      <c r="M974" s="18"/>
      <c r="N974" s="18"/>
      <c r="O974" s="18"/>
      <c r="P974" s="284"/>
      <c r="Q974" s="284"/>
      <c r="R974" s="284"/>
      <c r="S974" s="18"/>
      <c r="T974" s="293"/>
      <c r="U974" s="295"/>
      <c r="V974" s="294"/>
      <c r="W974" s="18"/>
      <c r="X974" s="18"/>
      <c r="Y974" s="18"/>
      <c r="Z974" s="18"/>
    </row>
    <row r="975" spans="1:26" ht="16.5" customHeight="1" x14ac:dyDescent="0.35">
      <c r="A975" s="230"/>
      <c r="B975" s="230"/>
      <c r="C975" s="227" t="s">
        <v>303</v>
      </c>
      <c r="D975" s="218">
        <v>3</v>
      </c>
      <c r="E975" s="216">
        <v>1.5</v>
      </c>
      <c r="F975" s="218" t="s">
        <v>51</v>
      </c>
      <c r="G975" s="218" t="s">
        <v>64</v>
      </c>
      <c r="H975" s="74" t="s">
        <v>46</v>
      </c>
      <c r="I975" s="74" t="s">
        <v>40</v>
      </c>
      <c r="J975" s="74" t="s">
        <v>404</v>
      </c>
      <c r="K975" s="218" t="s">
        <v>54</v>
      </c>
      <c r="L975" s="66"/>
      <c r="M975" s="18"/>
      <c r="N975" s="18"/>
      <c r="O975" s="18"/>
      <c r="P975" s="293"/>
      <c r="Q975" s="295"/>
      <c r="R975" s="294"/>
      <c r="S975" s="18"/>
      <c r="T975" s="284"/>
      <c r="U975" s="284"/>
      <c r="V975" s="284"/>
      <c r="W975" s="18"/>
      <c r="X975" s="18"/>
      <c r="Y975" s="18"/>
      <c r="Z975" s="18"/>
    </row>
    <row r="976" spans="1:26" ht="16.5" customHeight="1" x14ac:dyDescent="0.35">
      <c r="A976" s="230"/>
      <c r="B976" s="230"/>
      <c r="C976" s="217"/>
      <c r="D976" s="217"/>
      <c r="E976" s="217"/>
      <c r="F976" s="217"/>
      <c r="G976" s="217"/>
      <c r="H976" s="74" t="s">
        <v>39</v>
      </c>
      <c r="I976" s="74" t="s">
        <v>91</v>
      </c>
      <c r="J976" s="74" t="s">
        <v>133</v>
      </c>
      <c r="K976" s="217"/>
      <c r="L976" s="66"/>
      <c r="M976" s="18"/>
      <c r="N976" s="18"/>
      <c r="O976" s="18"/>
      <c r="P976" s="284"/>
      <c r="Q976" s="284"/>
      <c r="R976" s="284"/>
      <c r="S976" s="18"/>
      <c r="T976" s="18"/>
      <c r="U976" s="18"/>
      <c r="V976" s="18"/>
      <c r="W976" s="18"/>
      <c r="X976" s="18"/>
      <c r="Y976" s="18"/>
      <c r="Z976" s="18"/>
    </row>
    <row r="977" spans="1:26" ht="16.5" customHeight="1" x14ac:dyDescent="0.35">
      <c r="A977" s="230"/>
      <c r="B977" s="230"/>
      <c r="C977" s="227" t="s">
        <v>224</v>
      </c>
      <c r="D977" s="218">
        <v>3</v>
      </c>
      <c r="E977" s="216">
        <v>1.5</v>
      </c>
      <c r="F977" s="218" t="s">
        <v>51</v>
      </c>
      <c r="G977" s="218" t="s">
        <v>64</v>
      </c>
      <c r="H977" s="74" t="s">
        <v>46</v>
      </c>
      <c r="I977" s="74" t="s">
        <v>44</v>
      </c>
      <c r="J977" s="74" t="s">
        <v>133</v>
      </c>
      <c r="K977" s="218" t="s">
        <v>54</v>
      </c>
      <c r="L977" s="66"/>
      <c r="M977" s="18"/>
      <c r="N977" s="18"/>
      <c r="O977" s="18"/>
      <c r="P977" s="293"/>
      <c r="Q977" s="295"/>
      <c r="R977" s="294"/>
      <c r="S977" s="18"/>
      <c r="T977" s="293"/>
      <c r="U977" s="295"/>
      <c r="V977" s="294"/>
      <c r="W977" s="18"/>
      <c r="X977" s="18"/>
      <c r="Y977" s="18"/>
      <c r="Z977" s="18"/>
    </row>
    <row r="978" spans="1:26" ht="16.5" customHeight="1" x14ac:dyDescent="0.35">
      <c r="A978" s="230"/>
      <c r="B978" s="230"/>
      <c r="C978" s="217"/>
      <c r="D978" s="217"/>
      <c r="E978" s="217"/>
      <c r="F978" s="217"/>
      <c r="G978" s="217"/>
      <c r="H978" s="74" t="s">
        <v>55</v>
      </c>
      <c r="I978" s="74" t="s">
        <v>36</v>
      </c>
      <c r="J978" s="74" t="s">
        <v>133</v>
      </c>
      <c r="K978" s="217"/>
      <c r="L978" s="66"/>
      <c r="M978" s="18"/>
      <c r="N978" s="18"/>
      <c r="O978" s="18"/>
      <c r="P978" s="284"/>
      <c r="Q978" s="284"/>
      <c r="R978" s="284"/>
      <c r="S978" s="18"/>
      <c r="T978" s="284"/>
      <c r="U978" s="284"/>
      <c r="V978" s="284"/>
      <c r="W978" s="18"/>
      <c r="X978" s="18"/>
      <c r="Y978" s="18"/>
      <c r="Z978" s="18"/>
    </row>
    <row r="979" spans="1:26" ht="16.5" customHeight="1" x14ac:dyDescent="0.35">
      <c r="A979" s="230"/>
      <c r="B979" s="230"/>
      <c r="C979" s="227" t="s">
        <v>225</v>
      </c>
      <c r="D979" s="218">
        <v>3</v>
      </c>
      <c r="E979" s="216">
        <v>1.5</v>
      </c>
      <c r="F979" s="218" t="s">
        <v>51</v>
      </c>
      <c r="G979" s="218" t="s">
        <v>76</v>
      </c>
      <c r="H979" s="74" t="s">
        <v>46</v>
      </c>
      <c r="I979" s="74" t="s">
        <v>40</v>
      </c>
      <c r="J979" s="74" t="s">
        <v>405</v>
      </c>
      <c r="K979" s="218" t="s">
        <v>38</v>
      </c>
      <c r="L979" s="66"/>
      <c r="M979" s="37"/>
      <c r="N979" s="37"/>
      <c r="O979" s="37"/>
      <c r="P979" s="293"/>
      <c r="Q979" s="295"/>
      <c r="R979" s="294"/>
      <c r="S979" s="18"/>
      <c r="T979" s="293"/>
      <c r="U979" s="295"/>
      <c r="V979" s="294"/>
      <c r="W979" s="18"/>
      <c r="X979" s="18"/>
      <c r="Y979" s="18"/>
      <c r="Z979" s="18"/>
    </row>
    <row r="980" spans="1:26" ht="16.5" customHeight="1" x14ac:dyDescent="0.35">
      <c r="A980" s="230"/>
      <c r="B980" s="230"/>
      <c r="C980" s="217"/>
      <c r="D980" s="217"/>
      <c r="E980" s="217"/>
      <c r="F980" s="217"/>
      <c r="G980" s="217"/>
      <c r="H980" s="74" t="s">
        <v>48</v>
      </c>
      <c r="I980" s="74" t="s">
        <v>40</v>
      </c>
      <c r="J980" s="74" t="s">
        <v>406</v>
      </c>
      <c r="K980" s="217"/>
      <c r="L980" s="66"/>
      <c r="M980" s="18"/>
      <c r="N980" s="18"/>
      <c r="O980" s="18"/>
      <c r="P980" s="284"/>
      <c r="Q980" s="284"/>
      <c r="R980" s="284"/>
      <c r="S980" s="18"/>
      <c r="T980" s="284"/>
      <c r="U980" s="284"/>
      <c r="V980" s="284"/>
      <c r="W980" s="18"/>
      <c r="X980" s="18"/>
      <c r="Y980" s="18"/>
      <c r="Z980" s="18"/>
    </row>
    <row r="981" spans="1:26" ht="16.5" customHeight="1" x14ac:dyDescent="0.35">
      <c r="A981" s="230"/>
      <c r="B981" s="230"/>
      <c r="C981" s="227" t="s">
        <v>225</v>
      </c>
      <c r="D981" s="218">
        <v>3</v>
      </c>
      <c r="E981" s="216">
        <v>1.5</v>
      </c>
      <c r="F981" s="218" t="s">
        <v>51</v>
      </c>
      <c r="G981" s="218" t="s">
        <v>79</v>
      </c>
      <c r="H981" s="74" t="s">
        <v>35</v>
      </c>
      <c r="I981" s="74" t="s">
        <v>44</v>
      </c>
      <c r="J981" s="74" t="s">
        <v>407</v>
      </c>
      <c r="K981" s="218" t="s">
        <v>54</v>
      </c>
      <c r="L981" s="97"/>
      <c r="M981" s="18"/>
      <c r="N981" s="18"/>
      <c r="O981" s="18"/>
      <c r="P981" s="25"/>
      <c r="Q981" s="26"/>
      <c r="R981" s="27"/>
      <c r="S981" s="18"/>
      <c r="T981" s="25"/>
      <c r="U981" s="26"/>
      <c r="V981" s="27"/>
      <c r="W981" s="18"/>
      <c r="X981" s="18"/>
      <c r="Y981" s="18"/>
      <c r="Z981" s="18"/>
    </row>
    <row r="982" spans="1:26" ht="16.5" customHeight="1" x14ac:dyDescent="0.35">
      <c r="A982" s="230"/>
      <c r="B982" s="230"/>
      <c r="C982" s="217"/>
      <c r="D982" s="217"/>
      <c r="E982" s="217"/>
      <c r="F982" s="217"/>
      <c r="G982" s="217"/>
      <c r="H982" s="74" t="s">
        <v>48</v>
      </c>
      <c r="I982" s="74" t="s">
        <v>40</v>
      </c>
      <c r="J982" s="74" t="s">
        <v>406</v>
      </c>
      <c r="K982" s="217"/>
      <c r="L982" s="66"/>
      <c r="M982" s="18"/>
      <c r="N982" s="18"/>
      <c r="O982" s="18"/>
      <c r="P982" s="25"/>
      <c r="Q982" s="26"/>
      <c r="R982" s="27"/>
      <c r="S982" s="18"/>
      <c r="T982" s="25"/>
      <c r="U982" s="26"/>
      <c r="V982" s="27"/>
      <c r="W982" s="18"/>
      <c r="X982" s="18"/>
      <c r="Y982" s="18"/>
      <c r="Z982" s="18"/>
    </row>
    <row r="983" spans="1:26" ht="16.5" customHeight="1" x14ac:dyDescent="0.35">
      <c r="A983" s="230"/>
      <c r="B983" s="230"/>
      <c r="C983" s="234" t="s">
        <v>345</v>
      </c>
      <c r="D983" s="232">
        <v>3</v>
      </c>
      <c r="E983" s="233">
        <v>1.5</v>
      </c>
      <c r="F983" s="232" t="s">
        <v>106</v>
      </c>
      <c r="G983" s="232" t="s">
        <v>34</v>
      </c>
      <c r="H983" s="118" t="s">
        <v>46</v>
      </c>
      <c r="I983" s="118" t="s">
        <v>61</v>
      </c>
      <c r="J983" s="127" t="s">
        <v>60</v>
      </c>
      <c r="K983" s="218" t="s">
        <v>54</v>
      </c>
      <c r="L983" s="66"/>
      <c r="M983" s="18"/>
      <c r="N983" s="18"/>
      <c r="O983" s="18"/>
      <c r="P983" s="293"/>
      <c r="Q983" s="295"/>
      <c r="R983" s="294"/>
      <c r="S983" s="18"/>
      <c r="T983" s="293"/>
      <c r="U983" s="295"/>
      <c r="V983" s="294"/>
      <c r="W983" s="18"/>
      <c r="X983" s="18"/>
      <c r="Y983" s="18"/>
      <c r="Z983" s="18"/>
    </row>
    <row r="984" spans="1:26" ht="16.5" customHeight="1" x14ac:dyDescent="0.35">
      <c r="A984" s="230"/>
      <c r="B984" s="230"/>
      <c r="C984" s="217"/>
      <c r="D984" s="217"/>
      <c r="E984" s="217"/>
      <c r="F984" s="217"/>
      <c r="G984" s="217"/>
      <c r="H984" s="118" t="s">
        <v>48</v>
      </c>
      <c r="I984" s="118" t="s">
        <v>131</v>
      </c>
      <c r="J984" s="127" t="s">
        <v>60</v>
      </c>
      <c r="K984" s="217"/>
      <c r="L984" s="66"/>
      <c r="M984" s="18"/>
      <c r="N984" s="18"/>
      <c r="O984" s="18"/>
      <c r="P984" s="284"/>
      <c r="Q984" s="284"/>
      <c r="R984" s="284"/>
      <c r="S984" s="18"/>
      <c r="T984" s="284"/>
      <c r="U984" s="284"/>
      <c r="V984" s="284"/>
      <c r="W984" s="18"/>
      <c r="X984" s="18"/>
      <c r="Y984" s="18"/>
      <c r="Z984" s="18"/>
    </row>
    <row r="985" spans="1:26" ht="16.5" customHeight="1" x14ac:dyDescent="0.35">
      <c r="A985" s="230"/>
      <c r="B985" s="230"/>
      <c r="C985" s="227" t="s">
        <v>50</v>
      </c>
      <c r="D985" s="218">
        <v>3</v>
      </c>
      <c r="E985" s="216">
        <v>1.5</v>
      </c>
      <c r="F985" s="218" t="s">
        <v>346</v>
      </c>
      <c r="G985" s="218" t="s">
        <v>34</v>
      </c>
      <c r="H985" s="74" t="s">
        <v>35</v>
      </c>
      <c r="I985" s="74" t="s">
        <v>82</v>
      </c>
      <c r="J985" s="74" t="s">
        <v>408</v>
      </c>
      <c r="K985" s="218" t="s">
        <v>38</v>
      </c>
      <c r="L985" s="66"/>
      <c r="M985" s="18"/>
      <c r="N985" s="18"/>
      <c r="O985" s="18"/>
      <c r="P985" s="293"/>
      <c r="Q985" s="295"/>
      <c r="R985" s="294"/>
      <c r="S985" s="18"/>
      <c r="T985" s="293"/>
      <c r="U985" s="295"/>
      <c r="V985" s="294"/>
      <c r="W985" s="18"/>
      <c r="X985" s="18"/>
      <c r="Y985" s="18"/>
      <c r="Z985" s="18"/>
    </row>
    <row r="986" spans="1:26" ht="16.5" customHeight="1" x14ac:dyDescent="0.35">
      <c r="A986" s="230"/>
      <c r="B986" s="230"/>
      <c r="C986" s="217"/>
      <c r="D986" s="217"/>
      <c r="E986" s="217"/>
      <c r="F986" s="217"/>
      <c r="G986" s="217"/>
      <c r="H986" s="74" t="s">
        <v>48</v>
      </c>
      <c r="I986" s="74" t="s">
        <v>84</v>
      </c>
      <c r="J986" s="74" t="s">
        <v>391</v>
      </c>
      <c r="K986" s="217"/>
      <c r="L986" s="66"/>
      <c r="M986" s="18"/>
      <c r="N986" s="18"/>
      <c r="O986" s="18"/>
      <c r="P986" s="284"/>
      <c r="Q986" s="284"/>
      <c r="R986" s="284"/>
      <c r="S986" s="18"/>
      <c r="T986" s="284"/>
      <c r="U986" s="284"/>
      <c r="V986" s="284"/>
      <c r="W986" s="18"/>
      <c r="X986" s="18"/>
      <c r="Y986" s="18"/>
      <c r="Z986" s="18"/>
    </row>
    <row r="987" spans="1:26" ht="16.5" customHeight="1" x14ac:dyDescent="0.35">
      <c r="A987" s="230"/>
      <c r="B987" s="230"/>
      <c r="C987" s="227" t="s">
        <v>58</v>
      </c>
      <c r="D987" s="218">
        <v>3</v>
      </c>
      <c r="E987" s="216">
        <v>1.5</v>
      </c>
      <c r="F987" s="218" t="s">
        <v>346</v>
      </c>
      <c r="G987" s="218" t="s">
        <v>42</v>
      </c>
      <c r="H987" s="74" t="s">
        <v>48</v>
      </c>
      <c r="I987" s="74" t="s">
        <v>82</v>
      </c>
      <c r="J987" s="74" t="s">
        <v>60</v>
      </c>
      <c r="K987" s="218" t="s">
        <v>38</v>
      </c>
      <c r="L987" s="66" t="s">
        <v>102</v>
      </c>
      <c r="M987" s="18"/>
      <c r="N987" s="18"/>
      <c r="O987" s="18"/>
      <c r="P987" s="293"/>
      <c r="Q987" s="295"/>
      <c r="R987" s="294"/>
      <c r="S987" s="18"/>
      <c r="T987" s="293"/>
      <c r="U987" s="295"/>
      <c r="V987" s="294"/>
      <c r="W987" s="18"/>
      <c r="X987" s="18"/>
      <c r="Y987" s="18"/>
      <c r="Z987" s="18"/>
    </row>
    <row r="988" spans="1:26" ht="16.5" customHeight="1" x14ac:dyDescent="0.35">
      <c r="A988" s="230"/>
      <c r="B988" s="217"/>
      <c r="C988" s="217"/>
      <c r="D988" s="217"/>
      <c r="E988" s="217"/>
      <c r="F988" s="217"/>
      <c r="G988" s="217"/>
      <c r="H988" s="74" t="s">
        <v>55</v>
      </c>
      <c r="I988" s="74" t="s">
        <v>82</v>
      </c>
      <c r="J988" s="74" t="s">
        <v>60</v>
      </c>
      <c r="K988" s="217"/>
      <c r="L988" s="66"/>
      <c r="M988" s="18"/>
      <c r="N988" s="18"/>
      <c r="O988" s="18"/>
      <c r="P988" s="284"/>
      <c r="Q988" s="284"/>
      <c r="R988" s="284"/>
      <c r="S988" s="18"/>
      <c r="T988" s="284"/>
      <c r="U988" s="284"/>
      <c r="V988" s="284"/>
      <c r="W988" s="18"/>
      <c r="X988" s="18"/>
      <c r="Y988" s="18"/>
      <c r="Z988" s="18"/>
    </row>
    <row r="989" spans="1:26" ht="16.5" customHeight="1" x14ac:dyDescent="0.35">
      <c r="A989" s="217"/>
      <c r="B989" s="228" t="s">
        <v>72</v>
      </c>
      <c r="C989" s="221"/>
      <c r="D989" s="222"/>
      <c r="E989" s="71">
        <f>SUM(E973:E988)</f>
        <v>12</v>
      </c>
      <c r="F989" s="220"/>
      <c r="G989" s="221"/>
      <c r="H989" s="221"/>
      <c r="I989" s="221"/>
      <c r="J989" s="221"/>
      <c r="K989" s="222"/>
      <c r="L989" s="66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6.5" customHeight="1" x14ac:dyDescent="0.35">
      <c r="A990" s="248">
        <v>60</v>
      </c>
      <c r="B990" s="238" t="s">
        <v>409</v>
      </c>
      <c r="C990" s="227" t="s">
        <v>410</v>
      </c>
      <c r="D990" s="218">
        <v>3</v>
      </c>
      <c r="E990" s="216">
        <v>3</v>
      </c>
      <c r="F990" s="218" t="s">
        <v>51</v>
      </c>
      <c r="G990" s="218" t="s">
        <v>103</v>
      </c>
      <c r="H990" s="74" t="s">
        <v>35</v>
      </c>
      <c r="I990" s="74" t="s">
        <v>44</v>
      </c>
      <c r="J990" s="74" t="s">
        <v>124</v>
      </c>
      <c r="K990" s="218" t="s">
        <v>38</v>
      </c>
      <c r="L990" s="66"/>
      <c r="M990" s="18"/>
      <c r="N990" s="18"/>
      <c r="O990" s="18"/>
      <c r="P990" s="293"/>
      <c r="Q990" s="295"/>
      <c r="R990" s="294"/>
      <c r="S990" s="18"/>
      <c r="T990" s="18"/>
      <c r="U990" s="18"/>
      <c r="V990" s="18"/>
      <c r="W990" s="18"/>
      <c r="X990" s="18"/>
      <c r="Y990" s="18"/>
      <c r="Z990" s="18"/>
    </row>
    <row r="991" spans="1:26" ht="16.5" customHeight="1" x14ac:dyDescent="0.35">
      <c r="A991" s="230"/>
      <c r="B991" s="230"/>
      <c r="C991" s="217"/>
      <c r="D991" s="217"/>
      <c r="E991" s="217"/>
      <c r="F991" s="217"/>
      <c r="G991" s="217"/>
      <c r="H991" s="74" t="s">
        <v>55</v>
      </c>
      <c r="I991" s="74" t="s">
        <v>44</v>
      </c>
      <c r="J991" s="74" t="s">
        <v>107</v>
      </c>
      <c r="K991" s="217"/>
      <c r="L991" s="66"/>
      <c r="M991" s="18"/>
      <c r="N991" s="18"/>
      <c r="O991" s="18"/>
      <c r="P991" s="284"/>
      <c r="Q991" s="284"/>
      <c r="R991" s="284"/>
      <c r="S991" s="18"/>
      <c r="T991" s="293"/>
      <c r="U991" s="295"/>
      <c r="V991" s="294"/>
      <c r="W991" s="18"/>
      <c r="X991" s="18"/>
      <c r="Y991" s="18"/>
      <c r="Z991" s="18"/>
    </row>
    <row r="992" spans="1:26" ht="16.5" customHeight="1" x14ac:dyDescent="0.35">
      <c r="A992" s="230"/>
      <c r="B992" s="230"/>
      <c r="C992" s="227" t="s">
        <v>32</v>
      </c>
      <c r="D992" s="218">
        <v>3</v>
      </c>
      <c r="E992" s="216">
        <v>3</v>
      </c>
      <c r="F992" s="218" t="s">
        <v>51</v>
      </c>
      <c r="G992" s="218" t="s">
        <v>34</v>
      </c>
      <c r="H992" s="74" t="s">
        <v>46</v>
      </c>
      <c r="I992" s="74" t="s">
        <v>44</v>
      </c>
      <c r="J992" s="74" t="s">
        <v>159</v>
      </c>
      <c r="K992" s="218" t="s">
        <v>38</v>
      </c>
      <c r="L992" s="66"/>
      <c r="M992" s="18"/>
      <c r="N992" s="18"/>
      <c r="O992" s="18"/>
      <c r="P992" s="293"/>
      <c r="Q992" s="295"/>
      <c r="R992" s="294"/>
      <c r="S992" s="18"/>
      <c r="T992" s="284"/>
      <c r="U992" s="284"/>
      <c r="V992" s="284"/>
      <c r="W992" s="18"/>
      <c r="X992" s="18"/>
      <c r="Y992" s="18"/>
      <c r="Z992" s="18"/>
    </row>
    <row r="993" spans="1:26" ht="16.5" customHeight="1" x14ac:dyDescent="0.35">
      <c r="A993" s="230"/>
      <c r="B993" s="230"/>
      <c r="C993" s="217"/>
      <c r="D993" s="217"/>
      <c r="E993" s="217"/>
      <c r="F993" s="217"/>
      <c r="G993" s="217"/>
      <c r="H993" s="74" t="s">
        <v>48</v>
      </c>
      <c r="I993" s="74" t="s">
        <v>36</v>
      </c>
      <c r="J993" s="74" t="s">
        <v>125</v>
      </c>
      <c r="K993" s="217"/>
      <c r="L993" s="66"/>
      <c r="M993" s="18"/>
      <c r="N993" s="18"/>
      <c r="O993" s="18"/>
      <c r="P993" s="284"/>
      <c r="Q993" s="284"/>
      <c r="R993" s="284"/>
      <c r="S993" s="18"/>
      <c r="T993" s="293"/>
      <c r="U993" s="295"/>
      <c r="V993" s="294"/>
      <c r="W993" s="18"/>
      <c r="X993" s="18"/>
      <c r="Y993" s="18"/>
      <c r="Z993" s="18"/>
    </row>
    <row r="994" spans="1:26" ht="16.5" customHeight="1" x14ac:dyDescent="0.35">
      <c r="A994" s="230"/>
      <c r="B994" s="230"/>
      <c r="C994" s="227" t="s">
        <v>32</v>
      </c>
      <c r="D994" s="218">
        <v>3</v>
      </c>
      <c r="E994" s="216">
        <v>3</v>
      </c>
      <c r="F994" s="218" t="s">
        <v>51</v>
      </c>
      <c r="G994" s="218" t="s">
        <v>42</v>
      </c>
      <c r="H994" s="74" t="s">
        <v>46</v>
      </c>
      <c r="I994" s="74" t="s">
        <v>40</v>
      </c>
      <c r="J994" s="74" t="s">
        <v>411</v>
      </c>
      <c r="K994" s="218" t="s">
        <v>38</v>
      </c>
      <c r="L994" s="66"/>
      <c r="M994" s="18"/>
      <c r="N994" s="18"/>
      <c r="O994" s="18"/>
      <c r="P994" s="293"/>
      <c r="Q994" s="295"/>
      <c r="R994" s="294"/>
      <c r="S994" s="18"/>
      <c r="T994" s="284"/>
      <c r="U994" s="284"/>
      <c r="V994" s="284"/>
      <c r="W994" s="18"/>
      <c r="X994" s="18"/>
      <c r="Y994" s="18"/>
      <c r="Z994" s="18"/>
    </row>
    <row r="995" spans="1:26" ht="16.5" customHeight="1" x14ac:dyDescent="0.35">
      <c r="A995" s="230"/>
      <c r="B995" s="230"/>
      <c r="C995" s="217"/>
      <c r="D995" s="217"/>
      <c r="E995" s="217"/>
      <c r="F995" s="217"/>
      <c r="G995" s="217"/>
      <c r="H995" s="74" t="s">
        <v>48</v>
      </c>
      <c r="I995" s="74" t="s">
        <v>44</v>
      </c>
      <c r="J995" s="74" t="s">
        <v>124</v>
      </c>
      <c r="K995" s="217"/>
      <c r="L995" s="66"/>
      <c r="M995" s="18"/>
      <c r="N995" s="18"/>
      <c r="O995" s="18"/>
      <c r="P995" s="284"/>
      <c r="Q995" s="284"/>
      <c r="R995" s="284"/>
      <c r="S995" s="18"/>
      <c r="T995" s="293"/>
      <c r="U995" s="295"/>
      <c r="V995" s="294"/>
      <c r="W995" s="18"/>
      <c r="X995" s="18"/>
      <c r="Y995" s="18"/>
      <c r="Z995" s="18"/>
    </row>
    <row r="996" spans="1:26" ht="16.5" customHeight="1" x14ac:dyDescent="0.35">
      <c r="A996" s="230"/>
      <c r="B996" s="230"/>
      <c r="C996" s="227" t="s">
        <v>32</v>
      </c>
      <c r="D996" s="218">
        <v>3</v>
      </c>
      <c r="E996" s="216">
        <v>3</v>
      </c>
      <c r="F996" s="218" t="s">
        <v>51</v>
      </c>
      <c r="G996" s="218" t="s">
        <v>45</v>
      </c>
      <c r="H996" s="67" t="s">
        <v>46</v>
      </c>
      <c r="I996" s="74" t="s">
        <v>40</v>
      </c>
      <c r="J996" s="74" t="s">
        <v>126</v>
      </c>
      <c r="K996" s="218" t="s">
        <v>54</v>
      </c>
      <c r="L996" s="66"/>
      <c r="M996" s="17"/>
      <c r="N996" s="17"/>
      <c r="O996" s="17"/>
      <c r="P996" s="293"/>
      <c r="Q996" s="295"/>
      <c r="R996" s="294"/>
      <c r="S996" s="18"/>
      <c r="T996" s="284"/>
      <c r="U996" s="284"/>
      <c r="V996" s="284"/>
      <c r="W996" s="18"/>
      <c r="X996" s="18"/>
      <c r="Y996" s="18"/>
      <c r="Z996" s="18"/>
    </row>
    <row r="997" spans="1:26" ht="16.5" customHeight="1" x14ac:dyDescent="0.35">
      <c r="A997" s="230"/>
      <c r="B997" s="230"/>
      <c r="C997" s="217"/>
      <c r="D997" s="217"/>
      <c r="E997" s="217"/>
      <c r="F997" s="217"/>
      <c r="G997" s="217"/>
      <c r="H997" s="67" t="s">
        <v>48</v>
      </c>
      <c r="I997" s="74" t="s">
        <v>36</v>
      </c>
      <c r="J997" s="67" t="s">
        <v>412</v>
      </c>
      <c r="K997" s="217"/>
      <c r="L997" s="66"/>
      <c r="M997" s="18"/>
      <c r="N997" s="18"/>
      <c r="O997" s="18"/>
      <c r="P997" s="284"/>
      <c r="Q997" s="284"/>
      <c r="R997" s="284"/>
      <c r="S997" s="18"/>
      <c r="T997" s="293"/>
      <c r="U997" s="295"/>
      <c r="V997" s="294"/>
      <c r="W997" s="18"/>
      <c r="X997" s="18"/>
      <c r="Y997" s="18"/>
      <c r="Z997" s="18"/>
    </row>
    <row r="998" spans="1:26" ht="16.5" customHeight="1" x14ac:dyDescent="0.35">
      <c r="A998" s="230"/>
      <c r="B998" s="230"/>
      <c r="C998" s="227" t="s">
        <v>413</v>
      </c>
      <c r="D998" s="218">
        <v>3</v>
      </c>
      <c r="E998" s="216">
        <v>1.5</v>
      </c>
      <c r="F998" s="218" t="s">
        <v>63</v>
      </c>
      <c r="G998" s="218" t="s">
        <v>414</v>
      </c>
      <c r="H998" s="85" t="s">
        <v>35</v>
      </c>
      <c r="I998" s="85" t="s">
        <v>36</v>
      </c>
      <c r="J998" s="85" t="s">
        <v>65</v>
      </c>
      <c r="K998" s="218" t="s">
        <v>54</v>
      </c>
      <c r="L998" s="66"/>
      <c r="M998" s="18"/>
      <c r="N998" s="18"/>
      <c r="O998" s="18"/>
      <c r="P998" s="293"/>
      <c r="Q998" s="295"/>
      <c r="R998" s="294"/>
      <c r="S998" s="18"/>
      <c r="T998" s="284"/>
      <c r="U998" s="284"/>
      <c r="V998" s="284"/>
      <c r="W998" s="18"/>
      <c r="X998" s="18"/>
      <c r="Y998" s="18"/>
      <c r="Z998" s="18"/>
    </row>
    <row r="999" spans="1:26" ht="16.5" customHeight="1" x14ac:dyDescent="0.35">
      <c r="A999" s="217"/>
      <c r="B999" s="217"/>
      <c r="C999" s="219"/>
      <c r="D999" s="219"/>
      <c r="E999" s="219"/>
      <c r="F999" s="219"/>
      <c r="G999" s="219"/>
      <c r="H999" s="84" t="s">
        <v>46</v>
      </c>
      <c r="I999" s="128" t="s">
        <v>36</v>
      </c>
      <c r="J999" s="128" t="s">
        <v>111</v>
      </c>
      <c r="K999" s="219"/>
      <c r="L999" s="66"/>
      <c r="M999" s="18"/>
      <c r="N999" s="18"/>
      <c r="O999" s="18"/>
      <c r="P999" s="284"/>
      <c r="Q999" s="284"/>
      <c r="R999" s="284"/>
      <c r="S999" s="18"/>
      <c r="T999" s="293"/>
      <c r="U999" s="295"/>
      <c r="V999" s="294"/>
      <c r="W999" s="18"/>
      <c r="X999" s="18"/>
      <c r="Y999" s="18"/>
      <c r="Z999" s="18"/>
    </row>
    <row r="1000" spans="1:26" ht="16.5" customHeight="1" x14ac:dyDescent="0.35">
      <c r="A1000" s="59"/>
      <c r="B1000" s="59"/>
      <c r="C1000" s="60"/>
      <c r="D1000" s="61"/>
      <c r="E1000" s="62"/>
      <c r="F1000" s="61"/>
      <c r="G1000" s="61"/>
      <c r="H1000" s="61"/>
      <c r="I1000" s="61"/>
      <c r="J1000" s="61"/>
      <c r="K1000" s="61"/>
      <c r="L1000" s="66"/>
      <c r="M1000" s="18"/>
      <c r="N1000" s="18"/>
      <c r="O1000" s="18"/>
      <c r="P1000" s="7"/>
      <c r="Q1000" s="7"/>
      <c r="R1000" s="7"/>
      <c r="S1000" s="18"/>
      <c r="T1000" s="284"/>
      <c r="U1000" s="284"/>
      <c r="V1000" s="284"/>
      <c r="W1000" s="18"/>
      <c r="X1000" s="18"/>
      <c r="Y1000" s="18"/>
      <c r="Z1000" s="18"/>
    </row>
    <row r="1001" spans="1:26" ht="16.5" customHeight="1" x14ac:dyDescent="0.35">
      <c r="A1001" s="65"/>
      <c r="B1001" s="65"/>
      <c r="C1001" s="66"/>
      <c r="D1001" s="67"/>
      <c r="E1001" s="68"/>
      <c r="F1001" s="67"/>
      <c r="G1001" s="67"/>
      <c r="H1001" s="67"/>
      <c r="I1001" s="67"/>
      <c r="J1001" s="67"/>
      <c r="K1001" s="67"/>
      <c r="L1001" s="66"/>
      <c r="M1001" s="18"/>
      <c r="N1001" s="18"/>
      <c r="O1001" s="18"/>
      <c r="P1001" s="7"/>
      <c r="Q1001" s="7"/>
      <c r="R1001" s="7"/>
      <c r="S1001" s="18"/>
      <c r="T1001" s="284"/>
      <c r="U1001" s="284"/>
      <c r="V1001" s="284"/>
      <c r="W1001" s="18"/>
      <c r="X1001" s="18"/>
      <c r="Y1001" s="18"/>
      <c r="Z1001" s="18"/>
    </row>
    <row r="1002" spans="1:26" ht="16.5" customHeight="1" x14ac:dyDescent="0.35">
      <c r="A1002" s="65"/>
      <c r="B1002" s="65"/>
      <c r="C1002" s="66"/>
      <c r="D1002" s="67"/>
      <c r="E1002" s="68"/>
      <c r="F1002" s="67"/>
      <c r="G1002" s="67"/>
      <c r="H1002" s="67"/>
      <c r="I1002" s="67"/>
      <c r="J1002" s="67"/>
      <c r="K1002" s="67"/>
      <c r="L1002" s="66"/>
      <c r="M1002" s="18"/>
      <c r="N1002" s="18"/>
      <c r="O1002" s="18"/>
      <c r="P1002" s="7"/>
      <c r="Q1002" s="7"/>
      <c r="R1002" s="7"/>
      <c r="S1002" s="18"/>
      <c r="T1002" s="284"/>
      <c r="U1002" s="284"/>
      <c r="V1002" s="284"/>
      <c r="W1002" s="18"/>
      <c r="X1002" s="18"/>
      <c r="Y1002" s="18"/>
      <c r="Z1002" s="18"/>
    </row>
    <row r="1003" spans="1:26" ht="16.5" customHeight="1" x14ac:dyDescent="0.35">
      <c r="A1003" s="65"/>
      <c r="B1003" s="65"/>
      <c r="C1003" s="66"/>
      <c r="D1003" s="67"/>
      <c r="E1003" s="68"/>
      <c r="F1003" s="67"/>
      <c r="G1003" s="67"/>
      <c r="H1003" s="67"/>
      <c r="I1003" s="67"/>
      <c r="J1003" s="67"/>
      <c r="K1003" s="67"/>
      <c r="L1003" s="66"/>
      <c r="M1003" s="18"/>
      <c r="N1003" s="18"/>
      <c r="O1003" s="18"/>
      <c r="P1003" s="7"/>
      <c r="Q1003" s="7"/>
      <c r="R1003" s="7"/>
      <c r="S1003" s="18"/>
      <c r="T1003" s="284"/>
      <c r="U1003" s="284"/>
      <c r="V1003" s="284"/>
      <c r="W1003" s="18"/>
      <c r="X1003" s="18"/>
      <c r="Y1003" s="18"/>
      <c r="Z1003" s="18"/>
    </row>
    <row r="1004" spans="1:26" ht="16.5" customHeight="1" x14ac:dyDescent="0.35">
      <c r="A1004" s="65"/>
      <c r="B1004" s="65"/>
      <c r="C1004" s="66"/>
      <c r="D1004" s="67"/>
      <c r="E1004" s="68"/>
      <c r="F1004" s="67"/>
      <c r="G1004" s="67"/>
      <c r="H1004" s="67"/>
      <c r="I1004" s="67"/>
      <c r="J1004" s="67"/>
      <c r="K1004" s="67"/>
      <c r="L1004" s="66"/>
      <c r="M1004" s="18"/>
      <c r="N1004" s="18"/>
      <c r="O1004" s="18"/>
      <c r="P1004" s="7"/>
      <c r="Q1004" s="7"/>
      <c r="R1004" s="7"/>
      <c r="S1004" s="18"/>
      <c r="T1004" s="284"/>
      <c r="U1004" s="284"/>
      <c r="V1004" s="284"/>
      <c r="W1004" s="18"/>
      <c r="X1004" s="18"/>
      <c r="Y1004" s="18"/>
      <c r="Z1004" s="18"/>
    </row>
    <row r="1005" spans="1:26" ht="16.5" customHeight="1" x14ac:dyDescent="0.35">
      <c r="A1005" s="223" t="s">
        <v>7</v>
      </c>
      <c r="B1005" s="223" t="s">
        <v>8</v>
      </c>
      <c r="C1005" s="223" t="s">
        <v>9</v>
      </c>
      <c r="D1005" s="220" t="s">
        <v>10</v>
      </c>
      <c r="E1005" s="222"/>
      <c r="F1005" s="223" t="s">
        <v>11</v>
      </c>
      <c r="G1005" s="223" t="s">
        <v>12</v>
      </c>
      <c r="H1005" s="226" t="s">
        <v>13</v>
      </c>
      <c r="I1005" s="221"/>
      <c r="J1005" s="221"/>
      <c r="K1005" s="222"/>
      <c r="L1005" s="66"/>
      <c r="M1005" s="18"/>
      <c r="N1005" s="18"/>
      <c r="O1005" s="18"/>
      <c r="P1005" s="7"/>
      <c r="Q1005" s="7"/>
      <c r="R1005" s="7"/>
      <c r="S1005" s="18"/>
      <c r="T1005" s="284"/>
      <c r="U1005" s="284"/>
      <c r="V1005" s="284"/>
      <c r="W1005" s="18"/>
      <c r="X1005" s="18"/>
      <c r="Y1005" s="18"/>
      <c r="Z1005" s="18"/>
    </row>
    <row r="1006" spans="1:26" ht="16.5" customHeight="1" x14ac:dyDescent="0.35">
      <c r="A1006" s="217"/>
      <c r="B1006" s="217"/>
      <c r="C1006" s="217"/>
      <c r="D1006" s="70" t="s">
        <v>14</v>
      </c>
      <c r="E1006" s="71" t="s">
        <v>15</v>
      </c>
      <c r="F1006" s="217"/>
      <c r="G1006" s="217"/>
      <c r="H1006" s="70" t="s">
        <v>16</v>
      </c>
      <c r="I1006" s="70" t="s">
        <v>17</v>
      </c>
      <c r="J1006" s="70" t="s">
        <v>18</v>
      </c>
      <c r="K1006" s="70" t="s">
        <v>19</v>
      </c>
      <c r="L1006" s="66"/>
      <c r="M1006" s="18"/>
      <c r="N1006" s="18"/>
      <c r="O1006" s="18"/>
      <c r="P1006" s="7"/>
      <c r="Q1006" s="7"/>
      <c r="R1006" s="7"/>
      <c r="S1006" s="18"/>
      <c r="T1006" s="284"/>
      <c r="U1006" s="284"/>
      <c r="V1006" s="284"/>
      <c r="W1006" s="18"/>
      <c r="X1006" s="18"/>
      <c r="Y1006" s="18"/>
      <c r="Z1006" s="18"/>
    </row>
    <row r="1007" spans="1:26" ht="16.5" customHeight="1" x14ac:dyDescent="0.35">
      <c r="A1007" s="72" t="s">
        <v>20</v>
      </c>
      <c r="B1007" s="73" t="s">
        <v>21</v>
      </c>
      <c r="C1007" s="73" t="s">
        <v>22</v>
      </c>
      <c r="D1007" s="70" t="s">
        <v>23</v>
      </c>
      <c r="E1007" s="71" t="s">
        <v>24</v>
      </c>
      <c r="F1007" s="70" t="s">
        <v>25</v>
      </c>
      <c r="G1007" s="70" t="s">
        <v>26</v>
      </c>
      <c r="H1007" s="70" t="s">
        <v>27</v>
      </c>
      <c r="I1007" s="70" t="s">
        <v>28</v>
      </c>
      <c r="J1007" s="70" t="s">
        <v>29</v>
      </c>
      <c r="K1007" s="70" t="s">
        <v>30</v>
      </c>
      <c r="L1007" s="66"/>
      <c r="M1007" s="18"/>
      <c r="N1007" s="18"/>
      <c r="O1007" s="18"/>
      <c r="P1007" s="7"/>
      <c r="Q1007" s="7"/>
      <c r="R1007" s="7"/>
      <c r="S1007" s="18"/>
      <c r="T1007" s="284"/>
      <c r="U1007" s="284"/>
      <c r="V1007" s="284"/>
      <c r="W1007" s="18"/>
      <c r="X1007" s="18"/>
      <c r="Y1007" s="18"/>
      <c r="Z1007" s="18"/>
    </row>
    <row r="1008" spans="1:26" ht="16.5" customHeight="1" x14ac:dyDescent="0.35">
      <c r="A1008" s="248">
        <v>60</v>
      </c>
      <c r="B1008" s="238" t="s">
        <v>409</v>
      </c>
      <c r="C1008" s="227" t="s">
        <v>231</v>
      </c>
      <c r="D1008" s="218">
        <v>3</v>
      </c>
      <c r="E1008" s="216">
        <v>1.5</v>
      </c>
      <c r="F1008" s="218" t="s">
        <v>68</v>
      </c>
      <c r="G1008" s="218" t="s">
        <v>101</v>
      </c>
      <c r="H1008" s="85" t="s">
        <v>35</v>
      </c>
      <c r="I1008" s="76" t="s">
        <v>232</v>
      </c>
      <c r="J1008" s="76" t="s">
        <v>111</v>
      </c>
      <c r="K1008" s="218" t="s">
        <v>54</v>
      </c>
      <c r="L1008" s="66"/>
      <c r="M1008" s="18"/>
      <c r="N1008" s="18"/>
      <c r="O1008" s="18"/>
      <c r="P1008" s="293"/>
      <c r="Q1008" s="295"/>
      <c r="R1008" s="294"/>
      <c r="S1008" s="18"/>
      <c r="T1008" s="284"/>
      <c r="U1008" s="284"/>
      <c r="V1008" s="284"/>
      <c r="W1008" s="18"/>
      <c r="X1008" s="18"/>
      <c r="Y1008" s="18"/>
      <c r="Z1008" s="18"/>
    </row>
    <row r="1009" spans="1:26" ht="16.5" customHeight="1" x14ac:dyDescent="0.35">
      <c r="A1009" s="230"/>
      <c r="B1009" s="230"/>
      <c r="C1009" s="217"/>
      <c r="D1009" s="217"/>
      <c r="E1009" s="217"/>
      <c r="F1009" s="217"/>
      <c r="G1009" s="217"/>
      <c r="H1009" s="74" t="s">
        <v>48</v>
      </c>
      <c r="I1009" s="76" t="s">
        <v>232</v>
      </c>
      <c r="J1009" s="76" t="s">
        <v>111</v>
      </c>
      <c r="K1009" s="217"/>
      <c r="L1009" s="66"/>
      <c r="M1009" s="18"/>
      <c r="N1009" s="18"/>
      <c r="O1009" s="18"/>
      <c r="P1009" s="284"/>
      <c r="Q1009" s="284"/>
      <c r="R1009" s="284"/>
      <c r="S1009" s="18"/>
      <c r="T1009" s="293"/>
      <c r="U1009" s="295"/>
      <c r="V1009" s="294"/>
      <c r="W1009" s="18"/>
      <c r="X1009" s="18"/>
      <c r="Y1009" s="18"/>
      <c r="Z1009" s="18"/>
    </row>
    <row r="1010" spans="1:26" ht="16.5" customHeight="1" x14ac:dyDescent="0.35">
      <c r="A1010" s="230"/>
      <c r="B1010" s="230"/>
      <c r="C1010" s="227" t="s">
        <v>415</v>
      </c>
      <c r="D1010" s="218">
        <v>3</v>
      </c>
      <c r="E1010" s="216">
        <v>1.5</v>
      </c>
      <c r="F1010" s="218" t="s">
        <v>68</v>
      </c>
      <c r="G1010" s="218" t="s">
        <v>69</v>
      </c>
      <c r="H1010" s="67" t="s">
        <v>46</v>
      </c>
      <c r="I1010" s="76" t="s">
        <v>36</v>
      </c>
      <c r="J1010" s="76" t="s">
        <v>71</v>
      </c>
      <c r="K1010" s="218" t="s">
        <v>38</v>
      </c>
      <c r="L1010" s="66"/>
      <c r="M1010" s="18"/>
      <c r="N1010" s="18"/>
      <c r="O1010" s="18"/>
      <c r="P1010" s="293"/>
      <c r="Q1010" s="295"/>
      <c r="R1010" s="294"/>
      <c r="S1010" s="18"/>
      <c r="T1010" s="284"/>
      <c r="U1010" s="284"/>
      <c r="V1010" s="284"/>
      <c r="W1010" s="18"/>
      <c r="X1010" s="18"/>
      <c r="Y1010" s="18"/>
      <c r="Z1010" s="18"/>
    </row>
    <row r="1011" spans="1:26" ht="16.5" customHeight="1" x14ac:dyDescent="0.35">
      <c r="A1011" s="230"/>
      <c r="B1011" s="217"/>
      <c r="C1011" s="217"/>
      <c r="D1011" s="217"/>
      <c r="E1011" s="217"/>
      <c r="F1011" s="217"/>
      <c r="G1011" s="217"/>
      <c r="H1011" s="74" t="s">
        <v>55</v>
      </c>
      <c r="I1011" s="76" t="s">
        <v>36</v>
      </c>
      <c r="J1011" s="76" t="s">
        <v>71</v>
      </c>
      <c r="K1011" s="217"/>
      <c r="L1011" s="66"/>
      <c r="M1011" s="18"/>
      <c r="N1011" s="18"/>
      <c r="O1011" s="18"/>
      <c r="P1011" s="284"/>
      <c r="Q1011" s="284"/>
      <c r="R1011" s="284"/>
      <c r="S1011" s="18"/>
      <c r="T1011" s="293"/>
      <c r="U1011" s="295"/>
      <c r="V1011" s="294"/>
      <c r="W1011" s="18"/>
      <c r="X1011" s="18"/>
      <c r="Y1011" s="18"/>
      <c r="Z1011" s="18"/>
    </row>
    <row r="1012" spans="1:26" ht="16.5" customHeight="1" x14ac:dyDescent="0.35">
      <c r="A1012" s="217"/>
      <c r="B1012" s="228" t="s">
        <v>72</v>
      </c>
      <c r="C1012" s="221"/>
      <c r="D1012" s="222"/>
      <c r="E1012" s="71">
        <f>SUM(E990:E1011)</f>
        <v>16.5</v>
      </c>
      <c r="F1012" s="220"/>
      <c r="G1012" s="221"/>
      <c r="H1012" s="221"/>
      <c r="I1012" s="221"/>
      <c r="J1012" s="221"/>
      <c r="K1012" s="222"/>
      <c r="L1012" s="66"/>
      <c r="M1012" s="18"/>
      <c r="N1012" s="18"/>
      <c r="O1012" s="18"/>
      <c r="P1012" s="18"/>
      <c r="Q1012" s="18"/>
      <c r="R1012" s="18"/>
      <c r="S1012" s="18"/>
      <c r="T1012" s="284"/>
      <c r="U1012" s="284"/>
      <c r="V1012" s="284"/>
      <c r="W1012" s="18"/>
      <c r="X1012" s="18"/>
      <c r="Y1012" s="18"/>
      <c r="Z1012" s="18"/>
    </row>
    <row r="1013" spans="1:26" ht="16.5" customHeight="1" x14ac:dyDescent="0.35">
      <c r="A1013" s="229">
        <v>61</v>
      </c>
      <c r="B1013" s="238" t="s">
        <v>416</v>
      </c>
      <c r="C1013" s="227" t="s">
        <v>276</v>
      </c>
      <c r="D1013" s="218">
        <v>2</v>
      </c>
      <c r="E1013" s="216">
        <v>2</v>
      </c>
      <c r="F1013" s="218" t="s">
        <v>75</v>
      </c>
      <c r="G1013" s="218" t="s">
        <v>289</v>
      </c>
      <c r="H1013" s="85" t="s">
        <v>35</v>
      </c>
      <c r="I1013" s="74" t="s">
        <v>56</v>
      </c>
      <c r="J1013" s="74" t="s">
        <v>208</v>
      </c>
      <c r="K1013" s="218" t="s">
        <v>38</v>
      </c>
      <c r="L1013" s="66"/>
      <c r="M1013" s="18"/>
      <c r="N1013" s="18"/>
      <c r="O1013" s="18"/>
      <c r="P1013" s="293"/>
      <c r="Q1013" s="295"/>
      <c r="R1013" s="294"/>
      <c r="S1013" s="18"/>
      <c r="T1013" s="299"/>
      <c r="U1013" s="18"/>
      <c r="V1013" s="300"/>
      <c r="W1013" s="18"/>
      <c r="X1013" s="18"/>
      <c r="Y1013" s="18"/>
      <c r="Z1013" s="18"/>
    </row>
    <row r="1014" spans="1:26" ht="16.5" customHeight="1" x14ac:dyDescent="0.35">
      <c r="A1014" s="230"/>
      <c r="B1014" s="230"/>
      <c r="C1014" s="217"/>
      <c r="D1014" s="217"/>
      <c r="E1014" s="217"/>
      <c r="F1014" s="217"/>
      <c r="G1014" s="217"/>
      <c r="H1014" s="85" t="s">
        <v>48</v>
      </c>
      <c r="I1014" s="74" t="s">
        <v>52</v>
      </c>
      <c r="J1014" s="74" t="s">
        <v>159</v>
      </c>
      <c r="K1014" s="217"/>
      <c r="L1014" s="66"/>
      <c r="M1014" s="18"/>
      <c r="N1014" s="18"/>
      <c r="O1014" s="18"/>
      <c r="P1014" s="284"/>
      <c r="Q1014" s="284"/>
      <c r="R1014" s="284"/>
      <c r="S1014" s="18"/>
      <c r="T1014" s="289"/>
      <c r="U1014" s="18"/>
      <c r="V1014" s="289"/>
      <c r="W1014" s="18"/>
      <c r="X1014" s="18"/>
      <c r="Y1014" s="18"/>
      <c r="Z1014" s="18"/>
    </row>
    <row r="1015" spans="1:26" ht="16.5" customHeight="1" x14ac:dyDescent="0.35">
      <c r="A1015" s="230"/>
      <c r="B1015" s="230"/>
      <c r="C1015" s="227" t="s">
        <v>186</v>
      </c>
      <c r="D1015" s="218">
        <v>3</v>
      </c>
      <c r="E1015" s="216">
        <v>3</v>
      </c>
      <c r="F1015" s="218" t="s">
        <v>75</v>
      </c>
      <c r="G1015" s="218" t="s">
        <v>79</v>
      </c>
      <c r="H1015" s="74" t="s">
        <v>35</v>
      </c>
      <c r="I1015" s="74" t="s">
        <v>108</v>
      </c>
      <c r="J1015" s="74" t="s">
        <v>417</v>
      </c>
      <c r="K1015" s="218" t="s">
        <v>54</v>
      </c>
      <c r="L1015" s="66"/>
      <c r="M1015" s="18"/>
      <c r="N1015" s="18"/>
      <c r="O1015" s="18"/>
      <c r="P1015" s="293"/>
      <c r="Q1015" s="295"/>
      <c r="R1015" s="294"/>
      <c r="S1015" s="18"/>
      <c r="T1015" s="293"/>
      <c r="U1015" s="295"/>
      <c r="V1015" s="294"/>
      <c r="W1015" s="18"/>
      <c r="X1015" s="18"/>
      <c r="Y1015" s="18"/>
      <c r="Z1015" s="18"/>
    </row>
    <row r="1016" spans="1:26" ht="16.5" customHeight="1" x14ac:dyDescent="0.35">
      <c r="A1016" s="230"/>
      <c r="B1016" s="230"/>
      <c r="C1016" s="217"/>
      <c r="D1016" s="217"/>
      <c r="E1016" s="217"/>
      <c r="F1016" s="217"/>
      <c r="G1016" s="217"/>
      <c r="H1016" s="74" t="s">
        <v>39</v>
      </c>
      <c r="I1016" s="74" t="s">
        <v>40</v>
      </c>
      <c r="J1016" s="74" t="s">
        <v>172</v>
      </c>
      <c r="K1016" s="217"/>
      <c r="L1016" s="66"/>
      <c r="M1016" s="17"/>
      <c r="N1016" s="17"/>
      <c r="O1016" s="17"/>
      <c r="P1016" s="284"/>
      <c r="Q1016" s="284"/>
      <c r="R1016" s="284"/>
      <c r="S1016" s="18"/>
      <c r="T1016" s="284"/>
      <c r="U1016" s="284"/>
      <c r="V1016" s="284"/>
      <c r="W1016" s="18"/>
      <c r="X1016" s="18"/>
      <c r="Y1016" s="18"/>
      <c r="Z1016" s="18"/>
    </row>
    <row r="1017" spans="1:26" ht="16.5" customHeight="1" x14ac:dyDescent="0.35">
      <c r="A1017" s="230"/>
      <c r="B1017" s="230"/>
      <c r="C1017" s="227" t="s">
        <v>50</v>
      </c>
      <c r="D1017" s="218">
        <v>3</v>
      </c>
      <c r="E1017" s="216">
        <v>1.5</v>
      </c>
      <c r="F1017" s="218" t="s">
        <v>33</v>
      </c>
      <c r="G1017" s="218" t="s">
        <v>45</v>
      </c>
      <c r="H1017" s="84" t="s">
        <v>39</v>
      </c>
      <c r="I1017" s="74" t="s">
        <v>56</v>
      </c>
      <c r="J1017" s="74" t="s">
        <v>57</v>
      </c>
      <c r="K1017" s="218" t="s">
        <v>54</v>
      </c>
      <c r="L1017" s="66"/>
      <c r="M1017" s="18"/>
      <c r="N1017" s="18"/>
      <c r="O1017" s="18"/>
      <c r="P1017" s="25"/>
      <c r="Q1017" s="26"/>
      <c r="R1017" s="27"/>
      <c r="S1017" s="18"/>
      <c r="T1017" s="293"/>
      <c r="U1017" s="295"/>
      <c r="V1017" s="294"/>
      <c r="W1017" s="18"/>
      <c r="X1017" s="18"/>
      <c r="Y1017" s="18"/>
      <c r="Z1017" s="18"/>
    </row>
    <row r="1018" spans="1:26" ht="16.5" customHeight="1" x14ac:dyDescent="0.35">
      <c r="A1018" s="230"/>
      <c r="B1018" s="230"/>
      <c r="C1018" s="217"/>
      <c r="D1018" s="217"/>
      <c r="E1018" s="217"/>
      <c r="F1018" s="217"/>
      <c r="G1018" s="217"/>
      <c r="H1018" s="85" t="s">
        <v>55</v>
      </c>
      <c r="I1018" s="74" t="s">
        <v>131</v>
      </c>
      <c r="J1018" s="74" t="s">
        <v>197</v>
      </c>
      <c r="K1018" s="217"/>
      <c r="L1018" s="66"/>
      <c r="M1018" s="18"/>
      <c r="N1018" s="18"/>
      <c r="O1018" s="18"/>
      <c r="P1018" s="25"/>
      <c r="Q1018" s="26"/>
      <c r="R1018" s="27"/>
      <c r="S1018" s="18"/>
      <c r="T1018" s="284"/>
      <c r="U1018" s="284"/>
      <c r="V1018" s="284"/>
      <c r="W1018" s="18"/>
      <c r="X1018" s="18"/>
      <c r="Y1018" s="18"/>
      <c r="Z1018" s="18"/>
    </row>
    <row r="1019" spans="1:26" ht="16.5" customHeight="1" x14ac:dyDescent="0.35">
      <c r="A1019" s="230"/>
      <c r="B1019" s="230"/>
      <c r="C1019" s="227" t="s">
        <v>58</v>
      </c>
      <c r="D1019" s="218">
        <v>3</v>
      </c>
      <c r="E1019" s="216">
        <v>1.5</v>
      </c>
      <c r="F1019" s="218" t="s">
        <v>33</v>
      </c>
      <c r="G1019" s="218" t="s">
        <v>49</v>
      </c>
      <c r="H1019" s="101" t="s">
        <v>46</v>
      </c>
      <c r="I1019" s="74" t="s">
        <v>123</v>
      </c>
      <c r="J1019" s="74" t="s">
        <v>60</v>
      </c>
      <c r="K1019" s="218" t="s">
        <v>54</v>
      </c>
      <c r="L1019" s="66"/>
      <c r="M1019" s="18"/>
      <c r="N1019" s="18"/>
      <c r="O1019" s="18"/>
      <c r="P1019" s="25"/>
      <c r="Q1019" s="26"/>
      <c r="R1019" s="27"/>
      <c r="S1019" s="18"/>
      <c r="T1019" s="25"/>
      <c r="U1019" s="26"/>
      <c r="V1019" s="27"/>
      <c r="W1019" s="18"/>
      <c r="X1019" s="18"/>
      <c r="Y1019" s="18"/>
      <c r="Z1019" s="18"/>
    </row>
    <row r="1020" spans="1:26" ht="16.5" customHeight="1" x14ac:dyDescent="0.35">
      <c r="A1020" s="230"/>
      <c r="B1020" s="230"/>
      <c r="C1020" s="217"/>
      <c r="D1020" s="217"/>
      <c r="E1020" s="217"/>
      <c r="F1020" s="217"/>
      <c r="G1020" s="217"/>
      <c r="H1020" s="101" t="s">
        <v>48</v>
      </c>
      <c r="I1020" s="74" t="s">
        <v>61</v>
      </c>
      <c r="J1020" s="74" t="s">
        <v>60</v>
      </c>
      <c r="K1020" s="217"/>
      <c r="L1020" s="66"/>
      <c r="M1020" s="18"/>
      <c r="N1020" s="18"/>
      <c r="O1020" s="18"/>
      <c r="P1020" s="25"/>
      <c r="Q1020" s="26"/>
      <c r="R1020" s="27"/>
      <c r="S1020" s="18"/>
      <c r="T1020" s="25"/>
      <c r="U1020" s="26"/>
      <c r="V1020" s="27"/>
      <c r="W1020" s="18"/>
      <c r="X1020" s="18"/>
      <c r="Y1020" s="18"/>
      <c r="Z1020" s="18"/>
    </row>
    <row r="1021" spans="1:26" ht="16.5" customHeight="1" x14ac:dyDescent="0.35">
      <c r="A1021" s="230"/>
      <c r="B1021" s="230"/>
      <c r="C1021" s="227" t="s">
        <v>345</v>
      </c>
      <c r="D1021" s="218">
        <v>3</v>
      </c>
      <c r="E1021" s="216">
        <v>1.5</v>
      </c>
      <c r="F1021" s="218" t="s">
        <v>81</v>
      </c>
      <c r="G1021" s="218" t="s">
        <v>34</v>
      </c>
      <c r="H1021" s="74" t="s">
        <v>35</v>
      </c>
      <c r="I1021" s="74" t="s">
        <v>82</v>
      </c>
      <c r="J1021" s="74" t="s">
        <v>60</v>
      </c>
      <c r="K1021" s="218" t="s">
        <v>38</v>
      </c>
      <c r="L1021" s="66"/>
      <c r="M1021" s="18"/>
      <c r="N1021" s="18"/>
      <c r="O1021" s="18"/>
      <c r="P1021" s="293"/>
      <c r="Q1021" s="295"/>
      <c r="R1021" s="294"/>
      <c r="S1021" s="18"/>
      <c r="T1021" s="293"/>
      <c r="U1021" s="295"/>
      <c r="V1021" s="294"/>
      <c r="W1021" s="18"/>
      <c r="X1021" s="18"/>
      <c r="Y1021" s="18"/>
      <c r="Z1021" s="18"/>
    </row>
    <row r="1022" spans="1:26" ht="16.5" customHeight="1" x14ac:dyDescent="0.35">
      <c r="A1022" s="230"/>
      <c r="B1022" s="230"/>
      <c r="C1022" s="217"/>
      <c r="D1022" s="217"/>
      <c r="E1022" s="217"/>
      <c r="F1022" s="217"/>
      <c r="G1022" s="217"/>
      <c r="H1022" s="74" t="s">
        <v>39</v>
      </c>
      <c r="I1022" s="74" t="s">
        <v>82</v>
      </c>
      <c r="J1022" s="74" t="s">
        <v>60</v>
      </c>
      <c r="K1022" s="217"/>
      <c r="L1022" s="66"/>
      <c r="M1022" s="18"/>
      <c r="N1022" s="18"/>
      <c r="O1022" s="18"/>
      <c r="P1022" s="284"/>
      <c r="Q1022" s="284"/>
      <c r="R1022" s="284"/>
      <c r="S1022" s="18"/>
      <c r="T1022" s="284"/>
      <c r="U1022" s="284"/>
      <c r="V1022" s="284"/>
      <c r="W1022" s="18"/>
      <c r="X1022" s="18"/>
      <c r="Y1022" s="18"/>
      <c r="Z1022" s="18"/>
    </row>
    <row r="1023" spans="1:26" ht="16.5" customHeight="1" x14ac:dyDescent="0.35">
      <c r="A1023" s="230"/>
      <c r="B1023" s="230"/>
      <c r="C1023" s="227" t="s">
        <v>58</v>
      </c>
      <c r="D1023" s="218">
        <v>3</v>
      </c>
      <c r="E1023" s="216">
        <v>1.5</v>
      </c>
      <c r="F1023" s="218" t="s">
        <v>260</v>
      </c>
      <c r="G1023" s="218" t="s">
        <v>289</v>
      </c>
      <c r="H1023" s="74" t="s">
        <v>46</v>
      </c>
      <c r="I1023" s="74" t="s">
        <v>61</v>
      </c>
      <c r="J1023" s="74" t="s">
        <v>290</v>
      </c>
      <c r="K1023" s="218" t="s">
        <v>54</v>
      </c>
      <c r="L1023" s="66"/>
      <c r="M1023" s="18"/>
      <c r="N1023" s="18"/>
      <c r="O1023" s="18"/>
      <c r="P1023" s="293"/>
      <c r="Q1023" s="295"/>
      <c r="R1023" s="294"/>
      <c r="S1023" s="18"/>
      <c r="T1023" s="293"/>
      <c r="U1023" s="295"/>
      <c r="V1023" s="294"/>
      <c r="W1023" s="18"/>
      <c r="X1023" s="18"/>
      <c r="Y1023" s="18"/>
      <c r="Z1023" s="18"/>
    </row>
    <row r="1024" spans="1:26" ht="16.5" customHeight="1" x14ac:dyDescent="0.35">
      <c r="A1024" s="230"/>
      <c r="B1024" s="230"/>
      <c r="C1024" s="217"/>
      <c r="D1024" s="217"/>
      <c r="E1024" s="217"/>
      <c r="F1024" s="217"/>
      <c r="G1024" s="217"/>
      <c r="H1024" s="74" t="s">
        <v>293</v>
      </c>
      <c r="I1024" s="74" t="s">
        <v>61</v>
      </c>
      <c r="J1024" s="74" t="s">
        <v>291</v>
      </c>
      <c r="K1024" s="217"/>
      <c r="L1024" s="66"/>
      <c r="M1024" s="18"/>
      <c r="N1024" s="18"/>
      <c r="O1024" s="18"/>
      <c r="P1024" s="284"/>
      <c r="Q1024" s="284"/>
      <c r="R1024" s="284"/>
      <c r="S1024" s="18"/>
      <c r="T1024" s="284"/>
      <c r="U1024" s="284"/>
      <c r="V1024" s="284"/>
      <c r="W1024" s="18"/>
      <c r="X1024" s="18"/>
      <c r="Y1024" s="18"/>
      <c r="Z1024" s="18"/>
    </row>
    <row r="1025" spans="1:26" ht="16.5" customHeight="1" x14ac:dyDescent="0.35">
      <c r="A1025" s="230"/>
      <c r="B1025" s="230"/>
      <c r="C1025" s="227" t="s">
        <v>50</v>
      </c>
      <c r="D1025" s="218">
        <v>3</v>
      </c>
      <c r="E1025" s="216">
        <v>1.5</v>
      </c>
      <c r="F1025" s="218" t="s">
        <v>250</v>
      </c>
      <c r="G1025" s="218" t="s">
        <v>45</v>
      </c>
      <c r="H1025" s="74" t="s">
        <v>35</v>
      </c>
      <c r="I1025" s="74" t="s">
        <v>131</v>
      </c>
      <c r="J1025" s="74" t="s">
        <v>292</v>
      </c>
      <c r="K1025" s="218" t="s">
        <v>54</v>
      </c>
      <c r="L1025" s="66"/>
      <c r="M1025" s="18"/>
      <c r="N1025" s="18"/>
      <c r="O1025" s="18"/>
      <c r="P1025" s="293"/>
      <c r="Q1025" s="295"/>
      <c r="R1025" s="294"/>
      <c r="S1025" s="18"/>
      <c r="T1025" s="293"/>
      <c r="U1025" s="295"/>
      <c r="V1025" s="294"/>
      <c r="W1025" s="18"/>
      <c r="X1025" s="18"/>
      <c r="Y1025" s="18"/>
      <c r="Z1025" s="18"/>
    </row>
    <row r="1026" spans="1:26" ht="16.5" customHeight="1" x14ac:dyDescent="0.35">
      <c r="A1026" s="230"/>
      <c r="B1026" s="230"/>
      <c r="C1026" s="217"/>
      <c r="D1026" s="217"/>
      <c r="E1026" s="217"/>
      <c r="F1026" s="217"/>
      <c r="G1026" s="217"/>
      <c r="H1026" s="74" t="s">
        <v>39</v>
      </c>
      <c r="I1026" s="74" t="s">
        <v>131</v>
      </c>
      <c r="J1026" s="74" t="s">
        <v>292</v>
      </c>
      <c r="K1026" s="217"/>
      <c r="L1026" s="66"/>
      <c r="M1026" s="18"/>
      <c r="N1026" s="18"/>
      <c r="O1026" s="18"/>
      <c r="P1026" s="284"/>
      <c r="Q1026" s="284"/>
      <c r="R1026" s="284"/>
      <c r="S1026" s="18"/>
      <c r="T1026" s="284"/>
      <c r="U1026" s="284"/>
      <c r="V1026" s="284"/>
      <c r="W1026" s="18"/>
      <c r="X1026" s="18"/>
      <c r="Y1026" s="18"/>
      <c r="Z1026" s="18"/>
    </row>
    <row r="1027" spans="1:26" ht="16.5" customHeight="1" x14ac:dyDescent="0.35">
      <c r="A1027" s="230"/>
      <c r="B1027" s="230"/>
      <c r="C1027" s="227" t="s">
        <v>345</v>
      </c>
      <c r="D1027" s="218">
        <v>3</v>
      </c>
      <c r="E1027" s="216">
        <v>1.5</v>
      </c>
      <c r="F1027" s="218" t="s">
        <v>294</v>
      </c>
      <c r="G1027" s="218" t="s">
        <v>34</v>
      </c>
      <c r="H1027" s="74" t="s">
        <v>39</v>
      </c>
      <c r="I1027" s="74" t="s">
        <v>82</v>
      </c>
      <c r="J1027" s="74" t="s">
        <v>60</v>
      </c>
      <c r="K1027" s="218" t="s">
        <v>54</v>
      </c>
      <c r="L1027" s="66"/>
      <c r="M1027" s="18"/>
      <c r="N1027" s="18"/>
      <c r="O1027" s="18"/>
      <c r="P1027" s="293"/>
      <c r="Q1027" s="295"/>
      <c r="R1027" s="294"/>
      <c r="S1027" s="18"/>
      <c r="T1027" s="293"/>
      <c r="U1027" s="295"/>
      <c r="V1027" s="294"/>
      <c r="W1027" s="18"/>
      <c r="X1027" s="18"/>
      <c r="Y1027" s="18"/>
      <c r="Z1027" s="18"/>
    </row>
    <row r="1028" spans="1:26" ht="16.5" customHeight="1" x14ac:dyDescent="0.35">
      <c r="A1028" s="230"/>
      <c r="B1028" s="230"/>
      <c r="C1028" s="217"/>
      <c r="D1028" s="217"/>
      <c r="E1028" s="217"/>
      <c r="F1028" s="217"/>
      <c r="G1028" s="217"/>
      <c r="H1028" s="74" t="s">
        <v>55</v>
      </c>
      <c r="I1028" s="74" t="s">
        <v>61</v>
      </c>
      <c r="J1028" s="74" t="s">
        <v>60</v>
      </c>
      <c r="K1028" s="217"/>
      <c r="L1028" s="66"/>
      <c r="M1028" s="18"/>
      <c r="N1028" s="18"/>
      <c r="O1028" s="18"/>
      <c r="P1028" s="284"/>
      <c r="Q1028" s="284"/>
      <c r="R1028" s="284"/>
      <c r="S1028" s="18"/>
      <c r="T1028" s="284"/>
      <c r="U1028" s="284"/>
      <c r="V1028" s="284"/>
      <c r="W1028" s="18"/>
      <c r="X1028" s="18"/>
      <c r="Y1028" s="18"/>
      <c r="Z1028" s="18"/>
    </row>
    <row r="1029" spans="1:26" ht="16.5" customHeight="1" x14ac:dyDescent="0.35">
      <c r="A1029" s="230"/>
      <c r="B1029" s="230"/>
      <c r="C1029" s="227" t="s">
        <v>50</v>
      </c>
      <c r="D1029" s="218">
        <v>3</v>
      </c>
      <c r="E1029" s="216">
        <v>1.5</v>
      </c>
      <c r="F1029" s="218" t="s">
        <v>294</v>
      </c>
      <c r="G1029" s="218" t="s">
        <v>49</v>
      </c>
      <c r="H1029" s="74" t="s">
        <v>39</v>
      </c>
      <c r="I1029" s="74" t="s">
        <v>44</v>
      </c>
      <c r="J1029" s="74" t="s">
        <v>338</v>
      </c>
      <c r="K1029" s="218" t="s">
        <v>54</v>
      </c>
      <c r="L1029" s="66" t="s">
        <v>102</v>
      </c>
      <c r="M1029" s="18"/>
      <c r="N1029" s="18"/>
      <c r="O1029" s="18"/>
      <c r="P1029" s="293"/>
      <c r="Q1029" s="295"/>
      <c r="R1029" s="294"/>
      <c r="S1029" s="18"/>
      <c r="T1029" s="293"/>
      <c r="U1029" s="295"/>
      <c r="V1029" s="294"/>
      <c r="W1029" s="18"/>
      <c r="X1029" s="18"/>
      <c r="Y1029" s="18"/>
      <c r="Z1029" s="18"/>
    </row>
    <row r="1030" spans="1:26" ht="16.5" customHeight="1" x14ac:dyDescent="0.35">
      <c r="A1030" s="230"/>
      <c r="B1030" s="217"/>
      <c r="C1030" s="217"/>
      <c r="D1030" s="217"/>
      <c r="E1030" s="217"/>
      <c r="F1030" s="217"/>
      <c r="G1030" s="217"/>
      <c r="H1030" s="74" t="s">
        <v>119</v>
      </c>
      <c r="I1030" s="74" t="s">
        <v>36</v>
      </c>
      <c r="J1030" s="67" t="s">
        <v>327</v>
      </c>
      <c r="K1030" s="217"/>
      <c r="L1030" s="66" t="s">
        <v>102</v>
      </c>
      <c r="M1030" s="18"/>
      <c r="N1030" s="18"/>
      <c r="O1030" s="18"/>
      <c r="P1030" s="284"/>
      <c r="Q1030" s="284"/>
      <c r="R1030" s="284"/>
      <c r="S1030" s="18"/>
      <c r="T1030" s="284"/>
      <c r="U1030" s="284"/>
      <c r="V1030" s="284"/>
      <c r="W1030" s="18"/>
      <c r="X1030" s="18"/>
      <c r="Y1030" s="18"/>
      <c r="Z1030" s="18"/>
    </row>
    <row r="1031" spans="1:26" ht="16.5" customHeight="1" x14ac:dyDescent="0.35">
      <c r="A1031" s="217"/>
      <c r="B1031" s="228" t="s">
        <v>72</v>
      </c>
      <c r="C1031" s="221"/>
      <c r="D1031" s="222"/>
      <c r="E1031" s="129">
        <f>SUM(E1013:E1030)</f>
        <v>15.5</v>
      </c>
      <c r="F1031" s="302"/>
      <c r="G1031" s="221"/>
      <c r="H1031" s="221"/>
      <c r="I1031" s="221"/>
      <c r="J1031" s="221"/>
      <c r="K1031" s="222"/>
      <c r="L1031" s="66"/>
      <c r="M1031" s="18"/>
      <c r="N1031" s="18"/>
      <c r="O1031" s="18"/>
      <c r="P1031" s="18"/>
      <c r="Q1031" s="18"/>
      <c r="R1031" s="18"/>
      <c r="S1031" s="18"/>
      <c r="T1031" s="293"/>
      <c r="U1031" s="295"/>
      <c r="V1031" s="294"/>
      <c r="W1031" s="18"/>
      <c r="X1031" s="18"/>
      <c r="Y1031" s="18"/>
      <c r="Z1031" s="18"/>
    </row>
    <row r="1032" spans="1:26" ht="16.5" customHeight="1" x14ac:dyDescent="0.35">
      <c r="A1032" s="229">
        <v>62</v>
      </c>
      <c r="B1032" s="255" t="s">
        <v>418</v>
      </c>
      <c r="C1032" s="227" t="s">
        <v>248</v>
      </c>
      <c r="D1032" s="218">
        <v>2</v>
      </c>
      <c r="E1032" s="216">
        <v>2</v>
      </c>
      <c r="F1032" s="218" t="s">
        <v>75</v>
      </c>
      <c r="G1032" s="218" t="s">
        <v>90</v>
      </c>
      <c r="H1032" s="74" t="s">
        <v>46</v>
      </c>
      <c r="I1032" s="74" t="s">
        <v>131</v>
      </c>
      <c r="J1032" s="74" t="s">
        <v>132</v>
      </c>
      <c r="K1032" s="218" t="s">
        <v>38</v>
      </c>
      <c r="L1032" s="66"/>
      <c r="M1032" s="18"/>
      <c r="N1032" s="18"/>
      <c r="O1032" s="18"/>
      <c r="P1032" s="293"/>
      <c r="Q1032" s="295"/>
      <c r="R1032" s="294"/>
      <c r="S1032" s="18"/>
      <c r="T1032" s="284"/>
      <c r="U1032" s="284"/>
      <c r="V1032" s="284"/>
      <c r="W1032" s="18"/>
      <c r="X1032" s="18"/>
      <c r="Y1032" s="18"/>
      <c r="Z1032" s="18"/>
    </row>
    <row r="1033" spans="1:26" ht="16.5" customHeight="1" x14ac:dyDescent="0.35">
      <c r="A1033" s="230"/>
      <c r="B1033" s="236"/>
      <c r="C1033" s="217"/>
      <c r="D1033" s="217"/>
      <c r="E1033" s="217"/>
      <c r="F1033" s="217"/>
      <c r="G1033" s="217"/>
      <c r="H1033" s="74" t="s">
        <v>48</v>
      </c>
      <c r="I1033" s="74" t="s">
        <v>59</v>
      </c>
      <c r="J1033" s="74" t="s">
        <v>43</v>
      </c>
      <c r="K1033" s="217"/>
      <c r="L1033" s="66"/>
      <c r="M1033" s="18"/>
      <c r="N1033" s="18"/>
      <c r="O1033" s="18"/>
      <c r="P1033" s="284"/>
      <c r="Q1033" s="284"/>
      <c r="R1033" s="284"/>
      <c r="S1033" s="18"/>
      <c r="T1033" s="18"/>
      <c r="U1033" s="18"/>
      <c r="V1033" s="18"/>
      <c r="W1033" s="18"/>
      <c r="X1033" s="18"/>
      <c r="Y1033" s="18"/>
      <c r="Z1033" s="18"/>
    </row>
    <row r="1034" spans="1:26" ht="16.5" customHeight="1" x14ac:dyDescent="0.35">
      <c r="A1034" s="230"/>
      <c r="B1034" s="236"/>
      <c r="C1034" s="227" t="s">
        <v>248</v>
      </c>
      <c r="D1034" s="218">
        <v>2</v>
      </c>
      <c r="E1034" s="216">
        <v>2</v>
      </c>
      <c r="F1034" s="218" t="s">
        <v>75</v>
      </c>
      <c r="G1034" s="218" t="s">
        <v>173</v>
      </c>
      <c r="H1034" s="74" t="s">
        <v>35</v>
      </c>
      <c r="I1034" s="74" t="s">
        <v>123</v>
      </c>
      <c r="J1034" s="74" t="s">
        <v>47</v>
      </c>
      <c r="K1034" s="218" t="s">
        <v>38</v>
      </c>
      <c r="L1034" s="66"/>
      <c r="M1034" s="18"/>
      <c r="N1034" s="18"/>
      <c r="O1034" s="18"/>
      <c r="P1034" s="293"/>
      <c r="Q1034" s="295"/>
      <c r="R1034" s="294"/>
      <c r="S1034" s="18"/>
      <c r="T1034" s="293"/>
      <c r="U1034" s="295"/>
      <c r="V1034" s="294"/>
      <c r="W1034" s="18"/>
      <c r="X1034" s="18"/>
      <c r="Y1034" s="18"/>
      <c r="Z1034" s="18"/>
    </row>
    <row r="1035" spans="1:26" ht="16.5" customHeight="1" x14ac:dyDescent="0.35">
      <c r="A1035" s="230"/>
      <c r="B1035" s="236"/>
      <c r="C1035" s="217"/>
      <c r="D1035" s="217"/>
      <c r="E1035" s="217"/>
      <c r="F1035" s="217"/>
      <c r="G1035" s="217"/>
      <c r="H1035" s="74" t="s">
        <v>48</v>
      </c>
      <c r="I1035" s="74" t="s">
        <v>123</v>
      </c>
      <c r="J1035" s="74" t="s">
        <v>80</v>
      </c>
      <c r="K1035" s="217"/>
      <c r="L1035" s="66"/>
      <c r="M1035" s="18"/>
      <c r="N1035" s="18"/>
      <c r="O1035" s="18"/>
      <c r="P1035" s="284"/>
      <c r="Q1035" s="284"/>
      <c r="R1035" s="284"/>
      <c r="S1035" s="18"/>
      <c r="T1035" s="284"/>
      <c r="U1035" s="284"/>
      <c r="V1035" s="284"/>
      <c r="W1035" s="18"/>
      <c r="X1035" s="18"/>
      <c r="Y1035" s="18"/>
      <c r="Z1035" s="18"/>
    </row>
    <row r="1036" spans="1:26" ht="16.5" customHeight="1" x14ac:dyDescent="0.35">
      <c r="A1036" s="230"/>
      <c r="B1036" s="236"/>
      <c r="C1036" s="227" t="s">
        <v>50</v>
      </c>
      <c r="D1036" s="218">
        <v>3</v>
      </c>
      <c r="E1036" s="216">
        <v>1.5</v>
      </c>
      <c r="F1036" s="218" t="s">
        <v>260</v>
      </c>
      <c r="G1036" s="218" t="s">
        <v>261</v>
      </c>
      <c r="H1036" s="74" t="s">
        <v>46</v>
      </c>
      <c r="I1036" s="74" t="s">
        <v>59</v>
      </c>
      <c r="J1036" s="74" t="s">
        <v>262</v>
      </c>
      <c r="K1036" s="218" t="s">
        <v>54</v>
      </c>
      <c r="L1036" s="66"/>
      <c r="M1036" s="18"/>
      <c r="N1036" s="18"/>
      <c r="O1036" s="18"/>
      <c r="P1036" s="293"/>
      <c r="Q1036" s="295"/>
      <c r="R1036" s="294"/>
      <c r="S1036" s="18"/>
      <c r="T1036" s="293"/>
      <c r="U1036" s="295"/>
      <c r="V1036" s="294"/>
      <c r="W1036" s="18"/>
      <c r="X1036" s="18"/>
      <c r="Y1036" s="18"/>
      <c r="Z1036" s="18"/>
    </row>
    <row r="1037" spans="1:26" ht="16.5" customHeight="1" x14ac:dyDescent="0.35">
      <c r="A1037" s="230"/>
      <c r="B1037" s="236"/>
      <c r="C1037" s="217"/>
      <c r="D1037" s="217"/>
      <c r="E1037" s="217"/>
      <c r="F1037" s="217"/>
      <c r="G1037" s="217"/>
      <c r="H1037" s="74" t="s">
        <v>48</v>
      </c>
      <c r="I1037" s="74" t="s">
        <v>123</v>
      </c>
      <c r="J1037" s="74" t="s">
        <v>263</v>
      </c>
      <c r="K1037" s="217"/>
      <c r="L1037" s="66"/>
      <c r="M1037" s="18"/>
      <c r="N1037" s="18"/>
      <c r="O1037" s="18"/>
      <c r="P1037" s="284"/>
      <c r="Q1037" s="284"/>
      <c r="R1037" s="284"/>
      <c r="S1037" s="18"/>
      <c r="T1037" s="284"/>
      <c r="U1037" s="284"/>
      <c r="V1037" s="284"/>
      <c r="W1037" s="18"/>
      <c r="X1037" s="18"/>
      <c r="Y1037" s="18"/>
      <c r="Z1037" s="18"/>
    </row>
    <row r="1038" spans="1:26" ht="16.5" customHeight="1" x14ac:dyDescent="0.35">
      <c r="A1038" s="230"/>
      <c r="B1038" s="236"/>
      <c r="C1038" s="227" t="s">
        <v>58</v>
      </c>
      <c r="D1038" s="218">
        <v>3</v>
      </c>
      <c r="E1038" s="216">
        <v>1.5</v>
      </c>
      <c r="F1038" s="218" t="s">
        <v>260</v>
      </c>
      <c r="G1038" s="218" t="s">
        <v>45</v>
      </c>
      <c r="H1038" s="74" t="s">
        <v>39</v>
      </c>
      <c r="I1038" s="74" t="s">
        <v>56</v>
      </c>
      <c r="J1038" s="74" t="s">
        <v>264</v>
      </c>
      <c r="K1038" s="218" t="s">
        <v>54</v>
      </c>
      <c r="L1038" s="66"/>
      <c r="M1038" s="18"/>
      <c r="N1038" s="18"/>
      <c r="O1038" s="18"/>
      <c r="P1038" s="293"/>
      <c r="Q1038" s="295"/>
      <c r="R1038" s="294"/>
      <c r="S1038" s="18"/>
      <c r="T1038" s="293"/>
      <c r="U1038" s="295"/>
      <c r="V1038" s="294"/>
      <c r="W1038" s="18"/>
      <c r="X1038" s="18"/>
      <c r="Y1038" s="18"/>
      <c r="Z1038" s="18"/>
    </row>
    <row r="1039" spans="1:26" ht="16.5" customHeight="1" x14ac:dyDescent="0.35">
      <c r="A1039" s="230"/>
      <c r="B1039" s="236"/>
      <c r="C1039" s="217"/>
      <c r="D1039" s="217"/>
      <c r="E1039" s="217"/>
      <c r="F1039" s="217"/>
      <c r="G1039" s="217"/>
      <c r="H1039" s="74" t="s">
        <v>55</v>
      </c>
      <c r="I1039" s="74" t="s">
        <v>123</v>
      </c>
      <c r="J1039" s="74" t="s">
        <v>265</v>
      </c>
      <c r="K1039" s="217"/>
      <c r="L1039" s="66"/>
      <c r="M1039" s="18"/>
      <c r="N1039" s="18"/>
      <c r="O1039" s="18"/>
      <c r="P1039" s="284"/>
      <c r="Q1039" s="284"/>
      <c r="R1039" s="284"/>
      <c r="S1039" s="18"/>
      <c r="T1039" s="284"/>
      <c r="U1039" s="284"/>
      <c r="V1039" s="284"/>
      <c r="W1039" s="18"/>
      <c r="X1039" s="18"/>
      <c r="Y1039" s="18"/>
      <c r="Z1039" s="18"/>
    </row>
    <row r="1040" spans="1:26" ht="16.5" customHeight="1" x14ac:dyDescent="0.35">
      <c r="A1040" s="230"/>
      <c r="B1040" s="236"/>
      <c r="C1040" s="227" t="s">
        <v>161</v>
      </c>
      <c r="D1040" s="218">
        <v>2</v>
      </c>
      <c r="E1040" s="216">
        <v>2</v>
      </c>
      <c r="F1040" s="218" t="s">
        <v>75</v>
      </c>
      <c r="G1040" s="218" t="s">
        <v>419</v>
      </c>
      <c r="H1040" s="74" t="s">
        <v>46</v>
      </c>
      <c r="I1040" s="74" t="s">
        <v>420</v>
      </c>
      <c r="J1040" s="83" t="s">
        <v>163</v>
      </c>
      <c r="K1040" s="218" t="s">
        <v>38</v>
      </c>
      <c r="L1040" s="66"/>
      <c r="M1040" s="18"/>
      <c r="N1040" s="18"/>
      <c r="O1040" s="18"/>
      <c r="P1040" s="293"/>
      <c r="Q1040" s="295"/>
      <c r="R1040" s="294"/>
      <c r="S1040" s="18"/>
      <c r="T1040" s="293"/>
      <c r="U1040" s="295"/>
      <c r="V1040" s="294"/>
      <c r="W1040" s="18"/>
      <c r="X1040" s="18"/>
      <c r="Y1040" s="18"/>
      <c r="Z1040" s="18"/>
    </row>
    <row r="1041" spans="1:26" ht="16.5" customHeight="1" x14ac:dyDescent="0.35">
      <c r="A1041" s="230"/>
      <c r="B1041" s="236"/>
      <c r="C1041" s="217"/>
      <c r="D1041" s="217"/>
      <c r="E1041" s="217"/>
      <c r="F1041" s="217"/>
      <c r="G1041" s="217"/>
      <c r="H1041" s="74" t="s">
        <v>48</v>
      </c>
      <c r="I1041" s="74" t="s">
        <v>131</v>
      </c>
      <c r="J1041" s="83" t="s">
        <v>267</v>
      </c>
      <c r="K1041" s="219"/>
      <c r="L1041" s="66"/>
      <c r="M1041" s="18"/>
      <c r="N1041" s="18"/>
      <c r="O1041" s="18"/>
      <c r="P1041" s="284"/>
      <c r="Q1041" s="284"/>
      <c r="R1041" s="284"/>
      <c r="S1041" s="18"/>
      <c r="T1041" s="284"/>
      <c r="U1041" s="284"/>
      <c r="V1041" s="284"/>
      <c r="W1041" s="18"/>
      <c r="X1041" s="18"/>
      <c r="Y1041" s="18"/>
      <c r="Z1041" s="18"/>
    </row>
    <row r="1042" spans="1:26" ht="16.5" customHeight="1" x14ac:dyDescent="0.35">
      <c r="A1042" s="230"/>
      <c r="B1042" s="240"/>
      <c r="C1042" s="130" t="s">
        <v>191</v>
      </c>
      <c r="D1042" s="74">
        <v>3</v>
      </c>
      <c r="E1042" s="81">
        <v>3</v>
      </c>
      <c r="F1042" s="74" t="s">
        <v>75</v>
      </c>
      <c r="G1042" s="74" t="s">
        <v>421</v>
      </c>
      <c r="H1042" s="74" t="s">
        <v>119</v>
      </c>
      <c r="I1042" s="74" t="s">
        <v>82</v>
      </c>
      <c r="J1042" s="74" t="s">
        <v>150</v>
      </c>
      <c r="K1042" s="95" t="s">
        <v>93</v>
      </c>
      <c r="L1042" s="66"/>
      <c r="M1042" s="18"/>
      <c r="N1042" s="18"/>
      <c r="O1042" s="18"/>
      <c r="P1042" s="18"/>
      <c r="Q1042" s="18"/>
      <c r="R1042" s="18"/>
      <c r="S1042" s="18"/>
      <c r="T1042" s="293"/>
      <c r="U1042" s="295"/>
      <c r="V1042" s="294"/>
      <c r="W1042" s="18"/>
      <c r="X1042" s="18"/>
      <c r="Y1042" s="18"/>
      <c r="Z1042" s="18"/>
    </row>
    <row r="1043" spans="1:26" ht="16.5" customHeight="1" x14ac:dyDescent="0.35">
      <c r="A1043" s="217"/>
      <c r="B1043" s="228" t="s">
        <v>72</v>
      </c>
      <c r="C1043" s="221"/>
      <c r="D1043" s="222"/>
      <c r="E1043" s="100">
        <f>SUM(E1032:E1042)</f>
        <v>12</v>
      </c>
      <c r="F1043" s="220"/>
      <c r="G1043" s="221"/>
      <c r="H1043" s="221"/>
      <c r="I1043" s="221"/>
      <c r="J1043" s="221"/>
      <c r="K1043" s="222"/>
      <c r="L1043" s="66"/>
      <c r="M1043" s="18"/>
      <c r="N1043" s="18"/>
      <c r="O1043" s="18"/>
      <c r="P1043" s="18"/>
      <c r="Q1043" s="18"/>
      <c r="R1043" s="18"/>
      <c r="S1043" s="18"/>
      <c r="T1043" s="284"/>
      <c r="U1043" s="284"/>
      <c r="V1043" s="284"/>
      <c r="W1043" s="18"/>
      <c r="X1043" s="18"/>
      <c r="Y1043" s="18"/>
      <c r="Z1043" s="18"/>
    </row>
    <row r="1044" spans="1:26" ht="16.5" customHeight="1" x14ac:dyDescent="0.35">
      <c r="A1044" s="229">
        <v>63</v>
      </c>
      <c r="B1044" s="238" t="s">
        <v>422</v>
      </c>
      <c r="C1044" s="227" t="s">
        <v>276</v>
      </c>
      <c r="D1044" s="218">
        <v>2</v>
      </c>
      <c r="E1044" s="216">
        <v>2</v>
      </c>
      <c r="F1044" s="218" t="s">
        <v>106</v>
      </c>
      <c r="G1044" s="218" t="s">
        <v>34</v>
      </c>
      <c r="H1044" s="74" t="s">
        <v>35</v>
      </c>
      <c r="I1044" s="74" t="s">
        <v>123</v>
      </c>
      <c r="J1044" s="74" t="s">
        <v>197</v>
      </c>
      <c r="K1044" s="218" t="s">
        <v>38</v>
      </c>
      <c r="L1044" s="78"/>
      <c r="M1044" s="18"/>
      <c r="N1044" s="18"/>
      <c r="O1044" s="18"/>
      <c r="P1044" s="293"/>
      <c r="Q1044" s="295"/>
      <c r="R1044" s="294"/>
      <c r="S1044" s="18"/>
      <c r="T1044" s="18"/>
      <c r="U1044" s="18"/>
      <c r="V1044" s="18"/>
      <c r="W1044" s="18"/>
      <c r="X1044" s="18"/>
      <c r="Y1044" s="18"/>
      <c r="Z1044" s="18"/>
    </row>
    <row r="1045" spans="1:26" ht="16.5" customHeight="1" x14ac:dyDescent="0.35">
      <c r="A1045" s="230"/>
      <c r="B1045" s="230"/>
      <c r="C1045" s="217"/>
      <c r="D1045" s="217"/>
      <c r="E1045" s="217"/>
      <c r="F1045" s="217"/>
      <c r="G1045" s="217"/>
      <c r="H1045" s="74" t="s">
        <v>39</v>
      </c>
      <c r="I1045" s="74" t="s">
        <v>59</v>
      </c>
      <c r="J1045" s="74" t="s">
        <v>107</v>
      </c>
      <c r="K1045" s="217"/>
      <c r="L1045" s="66"/>
      <c r="M1045" s="18"/>
      <c r="N1045" s="18"/>
      <c r="O1045" s="18"/>
      <c r="P1045" s="284"/>
      <c r="Q1045" s="284"/>
      <c r="R1045" s="284"/>
      <c r="S1045" s="18"/>
      <c r="T1045" s="18"/>
      <c r="U1045" s="18"/>
      <c r="V1045" s="18"/>
      <c r="W1045" s="18"/>
      <c r="X1045" s="18"/>
      <c r="Y1045" s="18"/>
      <c r="Z1045" s="18"/>
    </row>
    <row r="1046" spans="1:26" ht="16.5" customHeight="1" x14ac:dyDescent="0.35">
      <c r="A1046" s="230"/>
      <c r="B1046" s="230"/>
      <c r="C1046" s="227" t="s">
        <v>423</v>
      </c>
      <c r="D1046" s="218">
        <v>3</v>
      </c>
      <c r="E1046" s="216">
        <v>3</v>
      </c>
      <c r="F1046" s="218" t="s">
        <v>106</v>
      </c>
      <c r="G1046" s="218" t="s">
        <v>64</v>
      </c>
      <c r="H1046" s="74" t="s">
        <v>35</v>
      </c>
      <c r="I1046" s="74" t="s">
        <v>59</v>
      </c>
      <c r="J1046" s="74" t="s">
        <v>369</v>
      </c>
      <c r="K1046" s="218" t="s">
        <v>38</v>
      </c>
      <c r="L1046" s="66"/>
      <c r="M1046" s="18"/>
      <c r="N1046" s="18"/>
      <c r="O1046" s="18"/>
      <c r="P1046" s="293"/>
      <c r="Q1046" s="295"/>
      <c r="R1046" s="294"/>
      <c r="S1046" s="18"/>
      <c r="T1046" s="293"/>
      <c r="U1046" s="295"/>
      <c r="V1046" s="294"/>
      <c r="W1046" s="18"/>
      <c r="X1046" s="18"/>
      <c r="Y1046" s="18"/>
      <c r="Z1046" s="18"/>
    </row>
    <row r="1047" spans="1:26" ht="16.5" customHeight="1" x14ac:dyDescent="0.35">
      <c r="A1047" s="230"/>
      <c r="B1047" s="230"/>
      <c r="C1047" s="217"/>
      <c r="D1047" s="217"/>
      <c r="E1047" s="217"/>
      <c r="F1047" s="217"/>
      <c r="G1047" s="217"/>
      <c r="H1047" s="74" t="s">
        <v>39</v>
      </c>
      <c r="I1047" s="74" t="s">
        <v>59</v>
      </c>
      <c r="J1047" s="74" t="s">
        <v>96</v>
      </c>
      <c r="K1047" s="217"/>
      <c r="L1047" s="66"/>
      <c r="M1047" s="18"/>
      <c r="N1047" s="18"/>
      <c r="O1047" s="18"/>
      <c r="P1047" s="284"/>
      <c r="Q1047" s="284"/>
      <c r="R1047" s="284"/>
      <c r="S1047" s="18"/>
      <c r="T1047" s="284"/>
      <c r="U1047" s="284"/>
      <c r="V1047" s="284"/>
      <c r="W1047" s="18"/>
      <c r="X1047" s="18"/>
      <c r="Y1047" s="18"/>
      <c r="Z1047" s="18"/>
    </row>
    <row r="1048" spans="1:26" ht="16.5" customHeight="1" x14ac:dyDescent="0.35">
      <c r="A1048" s="230"/>
      <c r="B1048" s="230"/>
      <c r="C1048" s="227" t="s">
        <v>424</v>
      </c>
      <c r="D1048" s="218">
        <v>2</v>
      </c>
      <c r="E1048" s="216">
        <v>2</v>
      </c>
      <c r="F1048" s="218" t="s">
        <v>106</v>
      </c>
      <c r="G1048" s="218" t="s">
        <v>76</v>
      </c>
      <c r="H1048" s="74" t="s">
        <v>39</v>
      </c>
      <c r="I1048" s="74" t="s">
        <v>56</v>
      </c>
      <c r="J1048" s="74" t="s">
        <v>96</v>
      </c>
      <c r="K1048" s="218" t="s">
        <v>38</v>
      </c>
      <c r="L1048" s="66"/>
      <c r="M1048" s="18"/>
      <c r="N1048" s="18"/>
      <c r="O1048" s="18"/>
      <c r="P1048" s="293"/>
      <c r="Q1048" s="295"/>
      <c r="R1048" s="294"/>
      <c r="S1048" s="18"/>
      <c r="T1048" s="293"/>
      <c r="U1048" s="295"/>
      <c r="V1048" s="294"/>
      <c r="W1048" s="18"/>
      <c r="X1048" s="18"/>
      <c r="Y1048" s="18"/>
      <c r="Z1048" s="18"/>
    </row>
    <row r="1049" spans="1:26" ht="16.5" customHeight="1" x14ac:dyDescent="0.35">
      <c r="A1049" s="230"/>
      <c r="B1049" s="230"/>
      <c r="C1049" s="217"/>
      <c r="D1049" s="217"/>
      <c r="E1049" s="217"/>
      <c r="F1049" s="217"/>
      <c r="G1049" s="217"/>
      <c r="H1049" s="74" t="s">
        <v>55</v>
      </c>
      <c r="I1049" s="74" t="s">
        <v>52</v>
      </c>
      <c r="J1049" s="74" t="s">
        <v>98</v>
      </c>
      <c r="K1049" s="217"/>
      <c r="L1049" s="66"/>
      <c r="M1049" s="18"/>
      <c r="N1049" s="18"/>
      <c r="O1049" s="18"/>
      <c r="P1049" s="284"/>
      <c r="Q1049" s="284"/>
      <c r="R1049" s="284"/>
      <c r="S1049" s="18"/>
      <c r="T1049" s="284"/>
      <c r="U1049" s="284"/>
      <c r="V1049" s="284"/>
      <c r="W1049" s="18"/>
      <c r="X1049" s="18"/>
      <c r="Y1049" s="18"/>
      <c r="Z1049" s="18"/>
    </row>
    <row r="1050" spans="1:26" ht="16.5" customHeight="1" x14ac:dyDescent="0.35">
      <c r="A1050" s="230"/>
      <c r="B1050" s="230"/>
      <c r="C1050" s="227" t="s">
        <v>425</v>
      </c>
      <c r="D1050" s="218">
        <v>2</v>
      </c>
      <c r="E1050" s="216">
        <v>2</v>
      </c>
      <c r="F1050" s="218" t="s">
        <v>106</v>
      </c>
      <c r="G1050" s="218" t="s">
        <v>76</v>
      </c>
      <c r="H1050" s="74" t="s">
        <v>46</v>
      </c>
      <c r="I1050" s="74" t="s">
        <v>82</v>
      </c>
      <c r="J1050" s="74" t="s">
        <v>128</v>
      </c>
      <c r="K1050" s="218" t="s">
        <v>38</v>
      </c>
      <c r="L1050" s="66"/>
      <c r="M1050" s="18"/>
      <c r="N1050" s="18"/>
      <c r="O1050" s="18"/>
      <c r="P1050" s="293"/>
      <c r="Q1050" s="295"/>
      <c r="R1050" s="294"/>
      <c r="S1050" s="18"/>
      <c r="T1050" s="293"/>
      <c r="U1050" s="295"/>
      <c r="V1050" s="294"/>
      <c r="W1050" s="18"/>
      <c r="X1050" s="18"/>
      <c r="Y1050" s="18"/>
      <c r="Z1050" s="18"/>
    </row>
    <row r="1051" spans="1:26" ht="16.5" customHeight="1" x14ac:dyDescent="0.35">
      <c r="A1051" s="230"/>
      <c r="B1051" s="230"/>
      <c r="C1051" s="217"/>
      <c r="D1051" s="217"/>
      <c r="E1051" s="217"/>
      <c r="F1051" s="217"/>
      <c r="G1051" s="217"/>
      <c r="H1051" s="74" t="s">
        <v>48</v>
      </c>
      <c r="I1051" s="74" t="s">
        <v>82</v>
      </c>
      <c r="J1051" s="74" t="s">
        <v>128</v>
      </c>
      <c r="K1051" s="217"/>
      <c r="L1051" s="66"/>
      <c r="M1051" s="18"/>
      <c r="N1051" s="18"/>
      <c r="O1051" s="18"/>
      <c r="P1051" s="284"/>
      <c r="Q1051" s="284"/>
      <c r="R1051" s="284"/>
      <c r="S1051" s="18"/>
      <c r="T1051" s="284"/>
      <c r="U1051" s="284"/>
      <c r="V1051" s="284"/>
      <c r="W1051" s="18"/>
      <c r="X1051" s="18"/>
      <c r="Y1051" s="18"/>
      <c r="Z1051" s="18"/>
    </row>
    <row r="1052" spans="1:26" ht="16.5" customHeight="1" x14ac:dyDescent="0.35">
      <c r="A1052" s="230"/>
      <c r="B1052" s="230"/>
      <c r="C1052" s="227" t="s">
        <v>402</v>
      </c>
      <c r="D1052" s="218">
        <v>3</v>
      </c>
      <c r="E1052" s="216">
        <v>3</v>
      </c>
      <c r="F1052" s="218" t="s">
        <v>51</v>
      </c>
      <c r="G1052" s="218" t="s">
        <v>90</v>
      </c>
      <c r="H1052" s="74" t="s">
        <v>46</v>
      </c>
      <c r="I1052" s="74" t="s">
        <v>36</v>
      </c>
      <c r="J1052" s="74" t="s">
        <v>126</v>
      </c>
      <c r="K1052" s="218" t="s">
        <v>38</v>
      </c>
      <c r="L1052" s="66"/>
      <c r="M1052" s="18"/>
      <c r="N1052" s="18"/>
      <c r="O1052" s="18"/>
      <c r="P1052" s="293"/>
      <c r="Q1052" s="295"/>
      <c r="R1052" s="294"/>
      <c r="S1052" s="18"/>
      <c r="T1052" s="293"/>
      <c r="U1052" s="295"/>
      <c r="V1052" s="294"/>
      <c r="W1052" s="18"/>
      <c r="X1052" s="18"/>
      <c r="Y1052" s="18"/>
      <c r="Z1052" s="18"/>
    </row>
    <row r="1053" spans="1:26" ht="16.5" customHeight="1" x14ac:dyDescent="0.35">
      <c r="A1053" s="230"/>
      <c r="B1053" s="217"/>
      <c r="C1053" s="217"/>
      <c r="D1053" s="217"/>
      <c r="E1053" s="217"/>
      <c r="F1053" s="217"/>
      <c r="G1053" s="217"/>
      <c r="H1053" s="74" t="s">
        <v>39</v>
      </c>
      <c r="I1053" s="74" t="s">
        <v>44</v>
      </c>
      <c r="J1053" s="74" t="s">
        <v>159</v>
      </c>
      <c r="K1053" s="217"/>
      <c r="L1053" s="66"/>
      <c r="M1053" s="18"/>
      <c r="N1053" s="18"/>
      <c r="O1053" s="18"/>
      <c r="P1053" s="284"/>
      <c r="Q1053" s="284"/>
      <c r="R1053" s="284"/>
      <c r="S1053" s="18"/>
      <c r="T1053" s="284"/>
      <c r="U1053" s="284"/>
      <c r="V1053" s="284"/>
      <c r="W1053" s="18"/>
      <c r="X1053" s="18"/>
      <c r="Y1053" s="18"/>
      <c r="Z1053" s="18"/>
    </row>
    <row r="1054" spans="1:26" ht="16.5" customHeight="1" x14ac:dyDescent="0.35">
      <c r="A1054" s="217"/>
      <c r="B1054" s="228" t="s">
        <v>72</v>
      </c>
      <c r="C1054" s="221"/>
      <c r="D1054" s="222"/>
      <c r="E1054" s="71">
        <f>SUM(E1044:E1053)</f>
        <v>12</v>
      </c>
      <c r="F1054" s="220"/>
      <c r="G1054" s="221"/>
      <c r="H1054" s="221"/>
      <c r="I1054" s="221"/>
      <c r="J1054" s="221"/>
      <c r="K1054" s="222"/>
      <c r="L1054" s="66"/>
      <c r="M1054" s="18"/>
      <c r="N1054" s="18"/>
      <c r="O1054" s="18"/>
      <c r="P1054" s="18"/>
      <c r="Q1054" s="18"/>
      <c r="R1054" s="18"/>
      <c r="S1054" s="18"/>
      <c r="T1054" s="293"/>
      <c r="U1054" s="295"/>
      <c r="V1054" s="294"/>
      <c r="W1054" s="18"/>
      <c r="X1054" s="18"/>
      <c r="Y1054" s="18"/>
      <c r="Z1054" s="18"/>
    </row>
    <row r="1055" spans="1:26" ht="16.5" customHeight="1" x14ac:dyDescent="0.35">
      <c r="A1055" s="229">
        <v>64</v>
      </c>
      <c r="B1055" s="256" t="s">
        <v>426</v>
      </c>
      <c r="C1055" s="227" t="s">
        <v>353</v>
      </c>
      <c r="D1055" s="218">
        <v>3</v>
      </c>
      <c r="E1055" s="216">
        <v>1.5</v>
      </c>
      <c r="F1055" s="218" t="s">
        <v>51</v>
      </c>
      <c r="G1055" s="218" t="s">
        <v>76</v>
      </c>
      <c r="H1055" s="74" t="s">
        <v>46</v>
      </c>
      <c r="I1055" s="74" t="s">
        <v>36</v>
      </c>
      <c r="J1055" s="74" t="s">
        <v>125</v>
      </c>
      <c r="K1055" s="218" t="s">
        <v>38</v>
      </c>
      <c r="L1055" s="97"/>
      <c r="M1055" s="37"/>
      <c r="N1055" s="37"/>
      <c r="O1055" s="37"/>
      <c r="P1055" s="293"/>
      <c r="Q1055" s="295"/>
      <c r="R1055" s="294"/>
      <c r="S1055" s="18"/>
      <c r="T1055" s="284"/>
      <c r="U1055" s="284"/>
      <c r="V1055" s="284"/>
      <c r="W1055" s="18"/>
      <c r="X1055" s="18"/>
      <c r="Y1055" s="18"/>
      <c r="Z1055" s="18"/>
    </row>
    <row r="1056" spans="1:26" ht="16.5" customHeight="1" x14ac:dyDescent="0.35">
      <c r="A1056" s="230"/>
      <c r="B1056" s="230"/>
      <c r="C1056" s="217"/>
      <c r="D1056" s="217"/>
      <c r="E1056" s="217"/>
      <c r="F1056" s="217"/>
      <c r="G1056" s="217"/>
      <c r="H1056" s="74" t="s">
        <v>55</v>
      </c>
      <c r="I1056" s="74" t="s">
        <v>44</v>
      </c>
      <c r="J1056" s="74" t="s">
        <v>65</v>
      </c>
      <c r="K1056" s="217"/>
      <c r="L1056" s="66"/>
      <c r="M1056" s="18"/>
      <c r="N1056" s="18"/>
      <c r="O1056" s="18"/>
      <c r="P1056" s="284"/>
      <c r="Q1056" s="284"/>
      <c r="R1056" s="284"/>
      <c r="S1056" s="18"/>
      <c r="T1056" s="293"/>
      <c r="U1056" s="295"/>
      <c r="V1056" s="294"/>
      <c r="W1056" s="18"/>
      <c r="X1056" s="18"/>
      <c r="Y1056" s="18"/>
      <c r="Z1056" s="18"/>
    </row>
    <row r="1057" spans="1:26" ht="16.5" customHeight="1" x14ac:dyDescent="0.35">
      <c r="A1057" s="230"/>
      <c r="B1057" s="230"/>
      <c r="C1057" s="227" t="s">
        <v>353</v>
      </c>
      <c r="D1057" s="218">
        <v>3</v>
      </c>
      <c r="E1057" s="216">
        <v>1.5</v>
      </c>
      <c r="F1057" s="218" t="s">
        <v>51</v>
      </c>
      <c r="G1057" s="218" t="s">
        <v>79</v>
      </c>
      <c r="H1057" s="74" t="s">
        <v>46</v>
      </c>
      <c r="I1057" s="74" t="s">
        <v>40</v>
      </c>
      <c r="J1057" s="74" t="s">
        <v>114</v>
      </c>
      <c r="K1057" s="218" t="s">
        <v>54</v>
      </c>
      <c r="L1057" s="66"/>
      <c r="M1057" s="18"/>
      <c r="N1057" s="18"/>
      <c r="O1057" s="18"/>
      <c r="P1057" s="293"/>
      <c r="Q1057" s="295"/>
      <c r="R1057" s="294"/>
      <c r="S1057" s="18"/>
      <c r="T1057" s="284"/>
      <c r="U1057" s="284"/>
      <c r="V1057" s="284"/>
      <c r="W1057" s="18"/>
      <c r="X1057" s="18"/>
      <c r="Y1057" s="18"/>
      <c r="Z1057" s="18"/>
    </row>
    <row r="1058" spans="1:26" ht="16.5" customHeight="1" x14ac:dyDescent="0.35">
      <c r="A1058" s="230"/>
      <c r="B1058" s="230"/>
      <c r="C1058" s="217"/>
      <c r="D1058" s="217"/>
      <c r="E1058" s="217"/>
      <c r="F1058" s="217"/>
      <c r="G1058" s="217"/>
      <c r="H1058" s="74" t="s">
        <v>55</v>
      </c>
      <c r="I1058" s="74" t="s">
        <v>44</v>
      </c>
      <c r="J1058" s="74" t="s">
        <v>132</v>
      </c>
      <c r="K1058" s="217"/>
      <c r="L1058" s="66"/>
      <c r="M1058" s="18"/>
      <c r="N1058" s="18"/>
      <c r="O1058" s="18"/>
      <c r="P1058" s="284"/>
      <c r="Q1058" s="284"/>
      <c r="R1058" s="284"/>
      <c r="S1058" s="18"/>
      <c r="T1058" s="293"/>
      <c r="U1058" s="295"/>
      <c r="V1058" s="294"/>
      <c r="W1058" s="18"/>
      <c r="X1058" s="18"/>
      <c r="Y1058" s="18"/>
      <c r="Z1058" s="18"/>
    </row>
    <row r="1059" spans="1:26" ht="16.5" customHeight="1" x14ac:dyDescent="0.35">
      <c r="A1059" s="230"/>
      <c r="B1059" s="230"/>
      <c r="C1059" s="227" t="s">
        <v>354</v>
      </c>
      <c r="D1059" s="218">
        <v>3</v>
      </c>
      <c r="E1059" s="216">
        <v>1.5</v>
      </c>
      <c r="F1059" s="218" t="s">
        <v>51</v>
      </c>
      <c r="G1059" s="218" t="s">
        <v>79</v>
      </c>
      <c r="H1059" s="74" t="s">
        <v>35</v>
      </c>
      <c r="I1059" s="74" t="s">
        <v>44</v>
      </c>
      <c r="J1059" s="74" t="s">
        <v>196</v>
      </c>
      <c r="K1059" s="218" t="s">
        <v>38</v>
      </c>
      <c r="L1059" s="66"/>
      <c r="M1059" s="18"/>
      <c r="N1059" s="18"/>
      <c r="O1059" s="18"/>
      <c r="P1059" s="293"/>
      <c r="Q1059" s="295"/>
      <c r="R1059" s="294"/>
      <c r="S1059" s="18"/>
      <c r="T1059" s="284"/>
      <c r="U1059" s="284"/>
      <c r="V1059" s="284"/>
      <c r="W1059" s="18"/>
      <c r="X1059" s="18"/>
      <c r="Y1059" s="18"/>
      <c r="Z1059" s="18"/>
    </row>
    <row r="1060" spans="1:26" ht="16.5" customHeight="1" x14ac:dyDescent="0.35">
      <c r="A1060" s="230"/>
      <c r="B1060" s="230"/>
      <c r="C1060" s="217"/>
      <c r="D1060" s="217"/>
      <c r="E1060" s="217"/>
      <c r="F1060" s="217"/>
      <c r="G1060" s="217"/>
      <c r="H1060" s="74" t="s">
        <v>39</v>
      </c>
      <c r="I1060" s="74" t="s">
        <v>44</v>
      </c>
      <c r="J1060" s="74" t="s">
        <v>132</v>
      </c>
      <c r="K1060" s="217"/>
      <c r="L1060" s="66"/>
      <c r="M1060" s="18"/>
      <c r="N1060" s="18"/>
      <c r="O1060" s="18"/>
      <c r="P1060" s="284"/>
      <c r="Q1060" s="284"/>
      <c r="R1060" s="284"/>
      <c r="S1060" s="18"/>
      <c r="T1060" s="18"/>
      <c r="U1060" s="18"/>
      <c r="V1060" s="18"/>
      <c r="W1060" s="18"/>
      <c r="X1060" s="18"/>
      <c r="Y1060" s="18"/>
      <c r="Z1060" s="18"/>
    </row>
    <row r="1061" spans="1:26" ht="16.5" customHeight="1" x14ac:dyDescent="0.35">
      <c r="A1061" s="230"/>
      <c r="B1061" s="230"/>
      <c r="C1061" s="227" t="s">
        <v>58</v>
      </c>
      <c r="D1061" s="218">
        <v>3</v>
      </c>
      <c r="E1061" s="216">
        <v>1.5</v>
      </c>
      <c r="F1061" s="218" t="s">
        <v>158</v>
      </c>
      <c r="G1061" s="218" t="s">
        <v>34</v>
      </c>
      <c r="H1061" s="74" t="s">
        <v>46</v>
      </c>
      <c r="I1061" s="74" t="s">
        <v>61</v>
      </c>
      <c r="J1061" s="74" t="s">
        <v>60</v>
      </c>
      <c r="K1061" s="218" t="s">
        <v>38</v>
      </c>
      <c r="L1061" s="66"/>
      <c r="M1061" s="18"/>
      <c r="N1061" s="18"/>
      <c r="O1061" s="18"/>
      <c r="P1061" s="293"/>
      <c r="Q1061" s="295"/>
      <c r="R1061" s="294"/>
      <c r="S1061" s="18"/>
      <c r="T1061" s="293"/>
      <c r="U1061" s="295"/>
      <c r="V1061" s="294"/>
      <c r="W1061" s="18"/>
      <c r="X1061" s="18"/>
      <c r="Y1061" s="18"/>
      <c r="Z1061" s="18"/>
    </row>
    <row r="1062" spans="1:26" ht="16.5" customHeight="1" x14ac:dyDescent="0.35">
      <c r="A1062" s="230"/>
      <c r="B1062" s="230"/>
      <c r="C1062" s="217"/>
      <c r="D1062" s="217"/>
      <c r="E1062" s="217"/>
      <c r="F1062" s="217"/>
      <c r="G1062" s="217"/>
      <c r="H1062" s="74" t="s">
        <v>55</v>
      </c>
      <c r="I1062" s="74" t="s">
        <v>61</v>
      </c>
      <c r="J1062" s="74" t="s">
        <v>60</v>
      </c>
      <c r="K1062" s="217"/>
      <c r="L1062" s="66"/>
      <c r="M1062" s="18"/>
      <c r="N1062" s="18"/>
      <c r="O1062" s="18"/>
      <c r="P1062" s="284"/>
      <c r="Q1062" s="284"/>
      <c r="R1062" s="284"/>
      <c r="S1062" s="18"/>
      <c r="T1062" s="284"/>
      <c r="U1062" s="284"/>
      <c r="V1062" s="284"/>
      <c r="W1062" s="18"/>
      <c r="X1062" s="18"/>
      <c r="Y1062" s="18"/>
      <c r="Z1062" s="18"/>
    </row>
    <row r="1063" spans="1:26" ht="16.5" customHeight="1" x14ac:dyDescent="0.35">
      <c r="A1063" s="230"/>
      <c r="B1063" s="230"/>
      <c r="C1063" s="227" t="s">
        <v>187</v>
      </c>
      <c r="D1063" s="218">
        <v>3</v>
      </c>
      <c r="E1063" s="216">
        <v>1.5</v>
      </c>
      <c r="F1063" s="218" t="s">
        <v>158</v>
      </c>
      <c r="G1063" s="218" t="s">
        <v>136</v>
      </c>
      <c r="H1063" s="74" t="s">
        <v>35</v>
      </c>
      <c r="I1063" s="74" t="s">
        <v>40</v>
      </c>
      <c r="J1063" s="74" t="s">
        <v>124</v>
      </c>
      <c r="K1063" s="218" t="s">
        <v>54</v>
      </c>
      <c r="L1063" s="66"/>
      <c r="M1063" s="18"/>
      <c r="N1063" s="18"/>
      <c r="O1063" s="18"/>
      <c r="P1063" s="293"/>
      <c r="Q1063" s="295"/>
      <c r="R1063" s="294"/>
      <c r="S1063" s="18"/>
      <c r="T1063" s="293"/>
      <c r="U1063" s="295"/>
      <c r="V1063" s="294"/>
      <c r="W1063" s="18"/>
      <c r="X1063" s="18"/>
      <c r="Y1063" s="18"/>
      <c r="Z1063" s="18"/>
    </row>
    <row r="1064" spans="1:26" ht="16.5" customHeight="1" x14ac:dyDescent="0.35">
      <c r="A1064" s="230"/>
      <c r="B1064" s="230"/>
      <c r="C1064" s="217"/>
      <c r="D1064" s="217"/>
      <c r="E1064" s="217"/>
      <c r="F1064" s="217"/>
      <c r="G1064" s="217"/>
      <c r="H1064" s="74" t="s">
        <v>55</v>
      </c>
      <c r="I1064" s="74" t="s">
        <v>66</v>
      </c>
      <c r="J1064" s="74" t="s">
        <v>107</v>
      </c>
      <c r="K1064" s="217"/>
      <c r="L1064" s="66"/>
      <c r="M1064" s="18"/>
      <c r="N1064" s="18"/>
      <c r="O1064" s="18"/>
      <c r="P1064" s="284"/>
      <c r="Q1064" s="284"/>
      <c r="R1064" s="284"/>
      <c r="S1064" s="18"/>
      <c r="T1064" s="284"/>
      <c r="U1064" s="284"/>
      <c r="V1064" s="284"/>
      <c r="W1064" s="18"/>
      <c r="X1064" s="18"/>
      <c r="Y1064" s="18"/>
      <c r="Z1064" s="18"/>
    </row>
    <row r="1065" spans="1:26" ht="16.5" customHeight="1" x14ac:dyDescent="0.35">
      <c r="A1065" s="230"/>
      <c r="B1065" s="230"/>
      <c r="C1065" s="227" t="s">
        <v>370</v>
      </c>
      <c r="D1065" s="218">
        <v>3</v>
      </c>
      <c r="E1065" s="216">
        <v>3</v>
      </c>
      <c r="F1065" s="218" t="s">
        <v>33</v>
      </c>
      <c r="G1065" s="218" t="s">
        <v>64</v>
      </c>
      <c r="H1065" s="74" t="s">
        <v>46</v>
      </c>
      <c r="I1065" s="74" t="s">
        <v>146</v>
      </c>
      <c r="J1065" s="74" t="s">
        <v>137</v>
      </c>
      <c r="K1065" s="218" t="s">
        <v>54</v>
      </c>
      <c r="L1065" s="66"/>
      <c r="M1065" s="18"/>
      <c r="N1065" s="18"/>
      <c r="O1065" s="18"/>
      <c r="P1065" s="293"/>
      <c r="Q1065" s="295"/>
      <c r="R1065" s="294"/>
      <c r="S1065" s="18"/>
      <c r="T1065" s="293"/>
      <c r="U1065" s="295"/>
      <c r="V1065" s="294"/>
      <c r="W1065" s="18"/>
      <c r="X1065" s="18"/>
      <c r="Y1065" s="18"/>
      <c r="Z1065" s="18"/>
    </row>
    <row r="1066" spans="1:26" ht="16.5" customHeight="1" x14ac:dyDescent="0.35">
      <c r="A1066" s="230"/>
      <c r="B1066" s="230"/>
      <c r="C1066" s="217"/>
      <c r="D1066" s="217"/>
      <c r="E1066" s="217"/>
      <c r="F1066" s="217"/>
      <c r="G1066" s="217"/>
      <c r="H1066" s="74" t="s">
        <v>48</v>
      </c>
      <c r="I1066" s="74" t="s">
        <v>108</v>
      </c>
      <c r="J1066" s="74" t="s">
        <v>137</v>
      </c>
      <c r="K1066" s="217"/>
      <c r="L1066" s="66"/>
      <c r="M1066" s="18"/>
      <c r="N1066" s="18"/>
      <c r="O1066" s="18"/>
      <c r="P1066" s="284"/>
      <c r="Q1066" s="284"/>
      <c r="R1066" s="284"/>
      <c r="S1066" s="18"/>
      <c r="T1066" s="284"/>
      <c r="U1066" s="284"/>
      <c r="V1066" s="284"/>
      <c r="W1066" s="18"/>
      <c r="X1066" s="18"/>
      <c r="Y1066" s="18"/>
      <c r="Z1066" s="18"/>
    </row>
    <row r="1067" spans="1:26" ht="16.5" customHeight="1" x14ac:dyDescent="0.35">
      <c r="A1067" s="230"/>
      <c r="B1067" s="230"/>
      <c r="C1067" s="227" t="s">
        <v>370</v>
      </c>
      <c r="D1067" s="218">
        <v>3</v>
      </c>
      <c r="E1067" s="216">
        <v>3</v>
      </c>
      <c r="F1067" s="218" t="s">
        <v>33</v>
      </c>
      <c r="G1067" s="218" t="s">
        <v>103</v>
      </c>
      <c r="H1067" s="74" t="s">
        <v>35</v>
      </c>
      <c r="I1067" s="74" t="s">
        <v>146</v>
      </c>
      <c r="J1067" s="74" t="s">
        <v>110</v>
      </c>
      <c r="K1067" s="218" t="s">
        <v>54</v>
      </c>
      <c r="L1067" s="66"/>
      <c r="M1067" s="17"/>
      <c r="N1067" s="17"/>
      <c r="O1067" s="17"/>
      <c r="P1067" s="293"/>
      <c r="Q1067" s="295"/>
      <c r="R1067" s="294"/>
      <c r="S1067" s="18"/>
      <c r="T1067" s="293"/>
      <c r="U1067" s="295"/>
      <c r="V1067" s="294"/>
      <c r="W1067" s="18"/>
      <c r="X1067" s="18"/>
      <c r="Y1067" s="18"/>
      <c r="Z1067" s="18"/>
    </row>
    <row r="1068" spans="1:26" ht="16.5" customHeight="1" x14ac:dyDescent="0.35">
      <c r="A1068" s="230"/>
      <c r="B1068" s="217"/>
      <c r="C1068" s="217"/>
      <c r="D1068" s="217"/>
      <c r="E1068" s="217"/>
      <c r="F1068" s="217"/>
      <c r="G1068" s="217"/>
      <c r="H1068" s="74" t="s">
        <v>39</v>
      </c>
      <c r="I1068" s="74" t="s">
        <v>123</v>
      </c>
      <c r="J1068" s="74" t="s">
        <v>110</v>
      </c>
      <c r="K1068" s="217"/>
      <c r="L1068" s="66"/>
      <c r="M1068" s="17"/>
      <c r="N1068" s="17"/>
      <c r="O1068" s="17"/>
      <c r="P1068" s="284"/>
      <c r="Q1068" s="284"/>
      <c r="R1068" s="284"/>
      <c r="S1068" s="18"/>
      <c r="T1068" s="284"/>
      <c r="U1068" s="284"/>
      <c r="V1068" s="284"/>
      <c r="W1068" s="18"/>
      <c r="X1068" s="18"/>
      <c r="Y1068" s="18"/>
      <c r="Z1068" s="18"/>
    </row>
    <row r="1069" spans="1:26" ht="16.5" customHeight="1" x14ac:dyDescent="0.35">
      <c r="A1069" s="217"/>
      <c r="B1069" s="228" t="s">
        <v>72</v>
      </c>
      <c r="C1069" s="221"/>
      <c r="D1069" s="222"/>
      <c r="E1069" s="71">
        <f>SUM(E1055:E1068)</f>
        <v>13.5</v>
      </c>
      <c r="F1069" s="220"/>
      <c r="G1069" s="221"/>
      <c r="H1069" s="221"/>
      <c r="I1069" s="221"/>
      <c r="J1069" s="221"/>
      <c r="K1069" s="222"/>
      <c r="L1069" s="66"/>
      <c r="M1069" s="18"/>
      <c r="N1069" s="18"/>
      <c r="O1069" s="18"/>
      <c r="P1069" s="18"/>
      <c r="Q1069" s="18"/>
      <c r="R1069" s="18"/>
      <c r="S1069" s="18"/>
      <c r="T1069" s="293"/>
      <c r="U1069" s="295"/>
      <c r="V1069" s="294"/>
      <c r="W1069" s="18"/>
      <c r="X1069" s="18"/>
      <c r="Y1069" s="18"/>
      <c r="Z1069" s="18"/>
    </row>
    <row r="1070" spans="1:26" ht="16.5" customHeight="1" x14ac:dyDescent="0.35">
      <c r="A1070" s="229">
        <v>65</v>
      </c>
      <c r="B1070" s="238" t="s">
        <v>427</v>
      </c>
      <c r="C1070" s="227" t="s">
        <v>151</v>
      </c>
      <c r="D1070" s="218">
        <v>2</v>
      </c>
      <c r="E1070" s="216">
        <v>2</v>
      </c>
      <c r="F1070" s="218" t="s">
        <v>158</v>
      </c>
      <c r="G1070" s="218" t="s">
        <v>101</v>
      </c>
      <c r="H1070" s="74" t="s">
        <v>35</v>
      </c>
      <c r="I1070" s="74" t="s">
        <v>123</v>
      </c>
      <c r="J1070" s="74" t="s">
        <v>169</v>
      </c>
      <c r="K1070" s="218" t="s">
        <v>38</v>
      </c>
      <c r="L1070" s="66"/>
      <c r="M1070" s="17"/>
      <c r="N1070" s="17"/>
      <c r="O1070" s="17"/>
      <c r="P1070" s="293"/>
      <c r="Q1070" s="295"/>
      <c r="R1070" s="294"/>
      <c r="S1070" s="18"/>
      <c r="T1070" s="284"/>
      <c r="U1070" s="284"/>
      <c r="V1070" s="284"/>
      <c r="W1070" s="18"/>
      <c r="X1070" s="18"/>
      <c r="Y1070" s="18"/>
      <c r="Z1070" s="18"/>
    </row>
    <row r="1071" spans="1:26" ht="16.5" customHeight="1" x14ac:dyDescent="0.35">
      <c r="A1071" s="230"/>
      <c r="B1071" s="230"/>
      <c r="C1071" s="217"/>
      <c r="D1071" s="217"/>
      <c r="E1071" s="217"/>
      <c r="F1071" s="217"/>
      <c r="G1071" s="217"/>
      <c r="H1071" s="74" t="s">
        <v>39</v>
      </c>
      <c r="I1071" s="74" t="s">
        <v>123</v>
      </c>
      <c r="J1071" s="74" t="s">
        <v>114</v>
      </c>
      <c r="K1071" s="217"/>
      <c r="L1071" s="66"/>
      <c r="M1071" s="17"/>
      <c r="N1071" s="17"/>
      <c r="O1071" s="17"/>
      <c r="P1071" s="284"/>
      <c r="Q1071" s="284"/>
      <c r="R1071" s="284"/>
      <c r="S1071" s="18"/>
      <c r="T1071" s="293"/>
      <c r="U1071" s="295"/>
      <c r="V1071" s="294"/>
      <c r="W1071" s="18"/>
      <c r="X1071" s="18"/>
      <c r="Y1071" s="18"/>
      <c r="Z1071" s="18"/>
    </row>
    <row r="1072" spans="1:26" ht="16.5" customHeight="1" x14ac:dyDescent="0.35">
      <c r="A1072" s="230"/>
      <c r="B1072" s="230"/>
      <c r="C1072" s="227" t="s">
        <v>151</v>
      </c>
      <c r="D1072" s="218">
        <v>2</v>
      </c>
      <c r="E1072" s="216">
        <v>2</v>
      </c>
      <c r="F1072" s="218" t="s">
        <v>75</v>
      </c>
      <c r="G1072" s="218" t="s">
        <v>101</v>
      </c>
      <c r="H1072" s="74" t="s">
        <v>46</v>
      </c>
      <c r="I1072" s="74" t="s">
        <v>123</v>
      </c>
      <c r="J1072" s="74" t="s">
        <v>110</v>
      </c>
      <c r="K1072" s="218" t="s">
        <v>38</v>
      </c>
      <c r="L1072" s="66"/>
      <c r="M1072" s="17"/>
      <c r="N1072" s="17"/>
      <c r="O1072" s="17"/>
      <c r="P1072" s="293"/>
      <c r="Q1072" s="295"/>
      <c r="R1072" s="294"/>
      <c r="S1072" s="7"/>
      <c r="T1072" s="284"/>
      <c r="U1072" s="284"/>
      <c r="V1072" s="284"/>
      <c r="W1072" s="18"/>
      <c r="X1072" s="18"/>
      <c r="Y1072" s="18"/>
      <c r="Z1072" s="18"/>
    </row>
    <row r="1073" spans="1:26" ht="16.5" customHeight="1" x14ac:dyDescent="0.35">
      <c r="A1073" s="230"/>
      <c r="B1073" s="230"/>
      <c r="C1073" s="217"/>
      <c r="D1073" s="217"/>
      <c r="E1073" s="217"/>
      <c r="F1073" s="217"/>
      <c r="G1073" s="217"/>
      <c r="H1073" s="74" t="s">
        <v>55</v>
      </c>
      <c r="I1073" s="74" t="s">
        <v>52</v>
      </c>
      <c r="J1073" s="74" t="s">
        <v>53</v>
      </c>
      <c r="K1073" s="217"/>
      <c r="L1073" s="66"/>
      <c r="M1073" s="17"/>
      <c r="N1073" s="17"/>
      <c r="O1073" s="17"/>
      <c r="P1073" s="284"/>
      <c r="Q1073" s="284"/>
      <c r="R1073" s="284"/>
      <c r="S1073" s="18"/>
      <c r="T1073" s="293"/>
      <c r="U1073" s="295"/>
      <c r="V1073" s="294"/>
      <c r="W1073" s="18"/>
      <c r="X1073" s="18"/>
      <c r="Y1073" s="18"/>
      <c r="Z1073" s="18"/>
    </row>
    <row r="1074" spans="1:26" ht="16.5" customHeight="1" x14ac:dyDescent="0.35">
      <c r="A1074" s="230"/>
      <c r="B1074" s="230"/>
      <c r="C1074" s="227" t="s">
        <v>151</v>
      </c>
      <c r="D1074" s="218">
        <v>2</v>
      </c>
      <c r="E1074" s="216">
        <v>2</v>
      </c>
      <c r="F1074" s="218" t="s">
        <v>75</v>
      </c>
      <c r="G1074" s="218" t="s">
        <v>64</v>
      </c>
      <c r="H1074" s="74" t="s">
        <v>35</v>
      </c>
      <c r="I1074" s="74" t="s">
        <v>52</v>
      </c>
      <c r="J1074" s="74" t="s">
        <v>150</v>
      </c>
      <c r="K1074" s="218" t="s">
        <v>38</v>
      </c>
      <c r="L1074" s="66"/>
      <c r="M1074" s="17"/>
      <c r="N1074" s="17"/>
      <c r="O1074" s="17"/>
      <c r="P1074" s="293"/>
      <c r="Q1074" s="295"/>
      <c r="R1074" s="294"/>
      <c r="S1074" s="18"/>
      <c r="T1074" s="284"/>
      <c r="U1074" s="284"/>
      <c r="V1074" s="284"/>
      <c r="W1074" s="18"/>
      <c r="X1074" s="18"/>
      <c r="Y1074" s="18"/>
      <c r="Z1074" s="18"/>
    </row>
    <row r="1075" spans="1:26" ht="16.5" customHeight="1" x14ac:dyDescent="0.35">
      <c r="A1075" s="230"/>
      <c r="B1075" s="230"/>
      <c r="C1075" s="217"/>
      <c r="D1075" s="217"/>
      <c r="E1075" s="217"/>
      <c r="F1075" s="217"/>
      <c r="G1075" s="217"/>
      <c r="H1075" s="74" t="s">
        <v>48</v>
      </c>
      <c r="I1075" s="74" t="s">
        <v>61</v>
      </c>
      <c r="J1075" s="74" t="s">
        <v>169</v>
      </c>
      <c r="K1075" s="217"/>
      <c r="L1075" s="66"/>
      <c r="M1075" s="17"/>
      <c r="N1075" s="17"/>
      <c r="O1075" s="17"/>
      <c r="P1075" s="284"/>
      <c r="Q1075" s="284"/>
      <c r="R1075" s="284"/>
      <c r="S1075" s="18"/>
      <c r="T1075" s="18"/>
      <c r="U1075" s="18"/>
      <c r="V1075" s="18"/>
      <c r="W1075" s="18"/>
      <c r="X1075" s="18"/>
      <c r="Y1075" s="18"/>
      <c r="Z1075" s="18"/>
    </row>
    <row r="1076" spans="1:26" ht="16.5" customHeight="1" x14ac:dyDescent="0.35">
      <c r="A1076" s="230"/>
      <c r="B1076" s="230"/>
      <c r="C1076" s="227" t="s">
        <v>185</v>
      </c>
      <c r="D1076" s="218">
        <v>3</v>
      </c>
      <c r="E1076" s="216">
        <v>3</v>
      </c>
      <c r="F1076" s="218" t="s">
        <v>75</v>
      </c>
      <c r="G1076" s="218" t="s">
        <v>104</v>
      </c>
      <c r="H1076" s="74" t="s">
        <v>35</v>
      </c>
      <c r="I1076" s="74" t="s">
        <v>36</v>
      </c>
      <c r="J1076" s="74" t="s">
        <v>80</v>
      </c>
      <c r="K1076" s="218" t="s">
        <v>54</v>
      </c>
      <c r="L1076" s="66"/>
      <c r="M1076" s="18"/>
      <c r="N1076" s="18"/>
      <c r="O1076" s="18"/>
      <c r="P1076" s="293"/>
      <c r="Q1076" s="295"/>
      <c r="R1076" s="294"/>
      <c r="S1076" s="18"/>
      <c r="T1076" s="293"/>
      <c r="U1076" s="295"/>
      <c r="V1076" s="294"/>
      <c r="W1076" s="18"/>
      <c r="X1076" s="18"/>
      <c r="Y1076" s="18"/>
      <c r="Z1076" s="18"/>
    </row>
    <row r="1077" spans="1:26" ht="16.5" customHeight="1" x14ac:dyDescent="0.35">
      <c r="A1077" s="217"/>
      <c r="B1077" s="217"/>
      <c r="C1077" s="219"/>
      <c r="D1077" s="219"/>
      <c r="E1077" s="219"/>
      <c r="F1077" s="219"/>
      <c r="G1077" s="219"/>
      <c r="H1077" s="84" t="s">
        <v>48</v>
      </c>
      <c r="I1077" s="84" t="s">
        <v>108</v>
      </c>
      <c r="J1077" s="84" t="s">
        <v>53</v>
      </c>
      <c r="K1077" s="219"/>
      <c r="L1077" s="66"/>
      <c r="M1077" s="18"/>
      <c r="N1077" s="18"/>
      <c r="O1077" s="18"/>
      <c r="P1077" s="284"/>
      <c r="Q1077" s="284"/>
      <c r="R1077" s="284"/>
      <c r="S1077" s="18"/>
      <c r="T1077" s="284"/>
      <c r="U1077" s="284"/>
      <c r="V1077" s="284"/>
      <c r="W1077" s="18"/>
      <c r="X1077" s="18"/>
      <c r="Y1077" s="18"/>
      <c r="Z1077" s="18"/>
    </row>
    <row r="1078" spans="1:26" ht="16.5" customHeight="1" x14ac:dyDescent="0.35">
      <c r="A1078" s="59"/>
      <c r="B1078" s="59"/>
      <c r="C1078" s="60"/>
      <c r="D1078" s="61"/>
      <c r="E1078" s="62"/>
      <c r="F1078" s="61"/>
      <c r="G1078" s="61"/>
      <c r="H1078" s="61"/>
      <c r="I1078" s="61"/>
      <c r="J1078" s="61"/>
      <c r="K1078" s="61"/>
      <c r="L1078" s="66"/>
      <c r="M1078" s="18"/>
      <c r="N1078" s="18"/>
      <c r="O1078" s="18"/>
      <c r="P1078" s="7"/>
      <c r="Q1078" s="7"/>
      <c r="R1078" s="7"/>
      <c r="S1078" s="18"/>
      <c r="T1078" s="7"/>
      <c r="U1078" s="7"/>
      <c r="V1078" s="7"/>
      <c r="W1078" s="18"/>
      <c r="X1078" s="18"/>
      <c r="Y1078" s="18"/>
      <c r="Z1078" s="18"/>
    </row>
    <row r="1079" spans="1:26" ht="16.5" customHeight="1" x14ac:dyDescent="0.35">
      <c r="A1079" s="65"/>
      <c r="B1079" s="65"/>
      <c r="C1079" s="66"/>
      <c r="D1079" s="67"/>
      <c r="E1079" s="68"/>
      <c r="F1079" s="67"/>
      <c r="G1079" s="67"/>
      <c r="H1079" s="67"/>
      <c r="I1079" s="67"/>
      <c r="J1079" s="67"/>
      <c r="K1079" s="67"/>
      <c r="L1079" s="66"/>
      <c r="M1079" s="18"/>
      <c r="N1079" s="18"/>
      <c r="O1079" s="18"/>
      <c r="P1079" s="7"/>
      <c r="Q1079" s="7"/>
      <c r="R1079" s="7"/>
      <c r="S1079" s="18"/>
      <c r="T1079" s="7"/>
      <c r="U1079" s="7"/>
      <c r="V1079" s="7"/>
      <c r="W1079" s="18"/>
      <c r="X1079" s="18"/>
      <c r="Y1079" s="18"/>
      <c r="Z1079" s="18"/>
    </row>
    <row r="1080" spans="1:26" ht="16.5" customHeight="1" x14ac:dyDescent="0.35">
      <c r="A1080" s="65"/>
      <c r="B1080" s="65"/>
      <c r="C1080" s="66"/>
      <c r="D1080" s="67"/>
      <c r="E1080" s="68"/>
      <c r="F1080" s="67"/>
      <c r="G1080" s="67"/>
      <c r="H1080" s="67"/>
      <c r="I1080" s="67"/>
      <c r="J1080" s="67"/>
      <c r="K1080" s="67"/>
      <c r="L1080" s="66"/>
      <c r="M1080" s="18"/>
      <c r="N1080" s="18"/>
      <c r="O1080" s="18"/>
      <c r="P1080" s="7"/>
      <c r="Q1080" s="7"/>
      <c r="R1080" s="7"/>
      <c r="S1080" s="18"/>
      <c r="T1080" s="7"/>
      <c r="U1080" s="7"/>
      <c r="V1080" s="7"/>
      <c r="W1080" s="18"/>
      <c r="X1080" s="18"/>
      <c r="Y1080" s="18"/>
      <c r="Z1080" s="18"/>
    </row>
    <row r="1081" spans="1:26" ht="16.5" customHeight="1" x14ac:dyDescent="0.35">
      <c r="A1081" s="65"/>
      <c r="B1081" s="65"/>
      <c r="C1081" s="66"/>
      <c r="D1081" s="67"/>
      <c r="E1081" s="68"/>
      <c r="F1081" s="67"/>
      <c r="G1081" s="67"/>
      <c r="H1081" s="67"/>
      <c r="I1081" s="67"/>
      <c r="J1081" s="67"/>
      <c r="K1081" s="67"/>
      <c r="L1081" s="66"/>
      <c r="M1081" s="18"/>
      <c r="N1081" s="18"/>
      <c r="O1081" s="18"/>
      <c r="P1081" s="7"/>
      <c r="Q1081" s="7"/>
      <c r="R1081" s="7"/>
      <c r="S1081" s="18"/>
      <c r="T1081" s="7"/>
      <c r="U1081" s="7"/>
      <c r="V1081" s="7"/>
      <c r="W1081" s="18"/>
      <c r="X1081" s="18"/>
      <c r="Y1081" s="18"/>
      <c r="Z1081" s="18"/>
    </row>
    <row r="1082" spans="1:26" ht="16.5" customHeight="1" x14ac:dyDescent="0.35">
      <c r="A1082" s="65"/>
      <c r="B1082" s="65"/>
      <c r="C1082" s="66"/>
      <c r="D1082" s="67"/>
      <c r="E1082" s="68"/>
      <c r="F1082" s="67"/>
      <c r="G1082" s="67"/>
      <c r="H1082" s="67"/>
      <c r="I1082" s="67"/>
      <c r="J1082" s="67"/>
      <c r="K1082" s="67"/>
      <c r="L1082" s="66"/>
      <c r="M1082" s="18"/>
      <c r="N1082" s="18"/>
      <c r="O1082" s="18"/>
      <c r="P1082" s="7"/>
      <c r="Q1082" s="7"/>
      <c r="R1082" s="7"/>
      <c r="S1082" s="18"/>
      <c r="T1082" s="7"/>
      <c r="U1082" s="7"/>
      <c r="V1082" s="7"/>
      <c r="W1082" s="18"/>
      <c r="X1082" s="18"/>
      <c r="Y1082" s="18"/>
      <c r="Z1082" s="18"/>
    </row>
    <row r="1083" spans="1:26" ht="16.5" customHeight="1" x14ac:dyDescent="0.35">
      <c r="A1083" s="65"/>
      <c r="B1083" s="65"/>
      <c r="C1083" s="66"/>
      <c r="D1083" s="67"/>
      <c r="E1083" s="68"/>
      <c r="F1083" s="67"/>
      <c r="G1083" s="67"/>
      <c r="H1083" s="67"/>
      <c r="I1083" s="67"/>
      <c r="J1083" s="67"/>
      <c r="K1083" s="67"/>
      <c r="L1083" s="66"/>
      <c r="M1083" s="18"/>
      <c r="N1083" s="18"/>
      <c r="O1083" s="18"/>
      <c r="P1083" s="7"/>
      <c r="Q1083" s="7"/>
      <c r="R1083" s="7"/>
      <c r="S1083" s="18"/>
      <c r="T1083" s="7"/>
      <c r="U1083" s="7"/>
      <c r="V1083" s="7"/>
      <c r="W1083" s="18"/>
      <c r="X1083" s="18"/>
      <c r="Y1083" s="18"/>
      <c r="Z1083" s="18"/>
    </row>
    <row r="1084" spans="1:26" ht="16.5" customHeight="1" x14ac:dyDescent="0.35">
      <c r="A1084" s="223" t="s">
        <v>7</v>
      </c>
      <c r="B1084" s="223" t="s">
        <v>8</v>
      </c>
      <c r="C1084" s="223" t="s">
        <v>9</v>
      </c>
      <c r="D1084" s="220" t="s">
        <v>10</v>
      </c>
      <c r="E1084" s="222"/>
      <c r="F1084" s="223" t="s">
        <v>11</v>
      </c>
      <c r="G1084" s="223" t="s">
        <v>12</v>
      </c>
      <c r="H1084" s="226" t="s">
        <v>13</v>
      </c>
      <c r="I1084" s="221"/>
      <c r="J1084" s="221"/>
      <c r="K1084" s="222"/>
      <c r="L1084" s="66"/>
      <c r="M1084" s="18"/>
      <c r="N1084" s="18"/>
      <c r="O1084" s="18"/>
      <c r="P1084" s="7"/>
      <c r="Q1084" s="7"/>
      <c r="R1084" s="7"/>
      <c r="S1084" s="18"/>
      <c r="T1084" s="7"/>
      <c r="U1084" s="7"/>
      <c r="V1084" s="7"/>
      <c r="W1084" s="18"/>
      <c r="X1084" s="18"/>
      <c r="Y1084" s="18"/>
      <c r="Z1084" s="18"/>
    </row>
    <row r="1085" spans="1:26" ht="16.5" customHeight="1" x14ac:dyDescent="0.35">
      <c r="A1085" s="217"/>
      <c r="B1085" s="217"/>
      <c r="C1085" s="217"/>
      <c r="D1085" s="70" t="s">
        <v>14</v>
      </c>
      <c r="E1085" s="71" t="s">
        <v>15</v>
      </c>
      <c r="F1085" s="217"/>
      <c r="G1085" s="217"/>
      <c r="H1085" s="70" t="s">
        <v>16</v>
      </c>
      <c r="I1085" s="70" t="s">
        <v>17</v>
      </c>
      <c r="J1085" s="70" t="s">
        <v>18</v>
      </c>
      <c r="K1085" s="70" t="s">
        <v>19</v>
      </c>
      <c r="L1085" s="66"/>
      <c r="M1085" s="18"/>
      <c r="N1085" s="18"/>
      <c r="O1085" s="18"/>
      <c r="P1085" s="7"/>
      <c r="Q1085" s="7"/>
      <c r="R1085" s="7"/>
      <c r="S1085" s="18"/>
      <c r="T1085" s="7"/>
      <c r="U1085" s="7"/>
      <c r="V1085" s="7"/>
      <c r="W1085" s="18"/>
      <c r="X1085" s="18"/>
      <c r="Y1085" s="18"/>
      <c r="Z1085" s="18"/>
    </row>
    <row r="1086" spans="1:26" ht="16.5" customHeight="1" x14ac:dyDescent="0.35">
      <c r="A1086" s="72" t="s">
        <v>20</v>
      </c>
      <c r="B1086" s="73" t="s">
        <v>21</v>
      </c>
      <c r="C1086" s="73" t="s">
        <v>22</v>
      </c>
      <c r="D1086" s="70" t="s">
        <v>23</v>
      </c>
      <c r="E1086" s="71" t="s">
        <v>24</v>
      </c>
      <c r="F1086" s="70" t="s">
        <v>25</v>
      </c>
      <c r="G1086" s="70" t="s">
        <v>26</v>
      </c>
      <c r="H1086" s="70" t="s">
        <v>27</v>
      </c>
      <c r="I1086" s="70" t="s">
        <v>28</v>
      </c>
      <c r="J1086" s="70" t="s">
        <v>29</v>
      </c>
      <c r="K1086" s="70" t="s">
        <v>30</v>
      </c>
      <c r="L1086" s="66"/>
      <c r="M1086" s="18"/>
      <c r="N1086" s="18"/>
      <c r="O1086" s="18"/>
      <c r="P1086" s="7"/>
      <c r="Q1086" s="7"/>
      <c r="R1086" s="7"/>
      <c r="S1086" s="18"/>
      <c r="T1086" s="7"/>
      <c r="U1086" s="7"/>
      <c r="V1086" s="7"/>
      <c r="W1086" s="18"/>
      <c r="X1086" s="18"/>
      <c r="Y1086" s="18"/>
      <c r="Z1086" s="18"/>
    </row>
    <row r="1087" spans="1:26" ht="16.5" customHeight="1" x14ac:dyDescent="0.35">
      <c r="A1087" s="229">
        <v>65</v>
      </c>
      <c r="B1087" s="238" t="s">
        <v>427</v>
      </c>
      <c r="C1087" s="227" t="s">
        <v>180</v>
      </c>
      <c r="D1087" s="218">
        <v>3</v>
      </c>
      <c r="E1087" s="216">
        <v>1</v>
      </c>
      <c r="F1087" s="218" t="s">
        <v>63</v>
      </c>
      <c r="G1087" s="218" t="s">
        <v>428</v>
      </c>
      <c r="H1087" s="74" t="s">
        <v>35</v>
      </c>
      <c r="I1087" s="74" t="s">
        <v>91</v>
      </c>
      <c r="J1087" s="74" t="s">
        <v>53</v>
      </c>
      <c r="K1087" s="218" t="s">
        <v>54</v>
      </c>
      <c r="L1087" s="66"/>
      <c r="M1087" s="18"/>
      <c r="N1087" s="18"/>
      <c r="O1087" s="18"/>
      <c r="P1087" s="293"/>
      <c r="Q1087" s="295"/>
      <c r="R1087" s="294"/>
      <c r="S1087" s="18"/>
      <c r="T1087" s="293"/>
      <c r="U1087" s="295"/>
      <c r="V1087" s="294"/>
      <c r="W1087" s="18"/>
      <c r="X1087" s="18"/>
      <c r="Y1087" s="18"/>
      <c r="Z1087" s="18"/>
    </row>
    <row r="1088" spans="1:26" ht="16.5" customHeight="1" x14ac:dyDescent="0.35">
      <c r="A1088" s="230"/>
      <c r="B1088" s="230"/>
      <c r="C1088" s="217"/>
      <c r="D1088" s="217"/>
      <c r="E1088" s="217"/>
      <c r="F1088" s="217"/>
      <c r="G1088" s="217"/>
      <c r="H1088" s="74" t="s">
        <v>39</v>
      </c>
      <c r="I1088" s="74" t="s">
        <v>44</v>
      </c>
      <c r="J1088" s="74" t="s">
        <v>53</v>
      </c>
      <c r="K1088" s="217"/>
      <c r="L1088" s="66"/>
      <c r="M1088" s="18"/>
      <c r="N1088" s="18"/>
      <c r="O1088" s="18"/>
      <c r="P1088" s="284"/>
      <c r="Q1088" s="284"/>
      <c r="R1088" s="284"/>
      <c r="S1088" s="18"/>
      <c r="T1088" s="284"/>
      <c r="U1088" s="284"/>
      <c r="V1088" s="284"/>
      <c r="W1088" s="18"/>
      <c r="X1088" s="18"/>
      <c r="Y1088" s="18"/>
      <c r="Z1088" s="18"/>
    </row>
    <row r="1089" spans="1:26" ht="16.5" customHeight="1" x14ac:dyDescent="0.35">
      <c r="A1089" s="230"/>
      <c r="B1089" s="230"/>
      <c r="C1089" s="227" t="s">
        <v>245</v>
      </c>
      <c r="D1089" s="218">
        <v>3</v>
      </c>
      <c r="E1089" s="216">
        <v>1.5</v>
      </c>
      <c r="F1089" s="218" t="s">
        <v>63</v>
      </c>
      <c r="G1089" s="218" t="s">
        <v>428</v>
      </c>
      <c r="H1089" s="74" t="s">
        <v>35</v>
      </c>
      <c r="I1089" s="74" t="s">
        <v>66</v>
      </c>
      <c r="J1089" s="74" t="s">
        <v>152</v>
      </c>
      <c r="K1089" s="218" t="s">
        <v>54</v>
      </c>
      <c r="L1089" s="66"/>
      <c r="M1089" s="18"/>
      <c r="N1089" s="18"/>
      <c r="O1089" s="18"/>
      <c r="P1089" s="293"/>
      <c r="Q1089" s="295"/>
      <c r="R1089" s="294"/>
      <c r="S1089" s="18"/>
      <c r="T1089" s="293"/>
      <c r="U1089" s="295"/>
      <c r="V1089" s="294"/>
      <c r="W1089" s="18"/>
      <c r="X1089" s="18"/>
      <c r="Y1089" s="18"/>
      <c r="Z1089" s="18"/>
    </row>
    <row r="1090" spans="1:26" ht="16.5" customHeight="1" x14ac:dyDescent="0.35">
      <c r="A1090" s="230"/>
      <c r="B1090" s="230"/>
      <c r="C1090" s="217"/>
      <c r="D1090" s="217"/>
      <c r="E1090" s="217"/>
      <c r="F1090" s="217"/>
      <c r="G1090" s="217"/>
      <c r="H1090" s="74" t="s">
        <v>46</v>
      </c>
      <c r="I1090" s="74" t="s">
        <v>66</v>
      </c>
      <c r="J1090" s="74" t="s">
        <v>152</v>
      </c>
      <c r="K1090" s="217"/>
      <c r="L1090" s="66"/>
      <c r="M1090" s="18"/>
      <c r="N1090" s="18"/>
      <c r="O1090" s="18"/>
      <c r="P1090" s="284"/>
      <c r="Q1090" s="284"/>
      <c r="R1090" s="284"/>
      <c r="S1090" s="18"/>
      <c r="T1090" s="284"/>
      <c r="U1090" s="284"/>
      <c r="V1090" s="284"/>
      <c r="W1090" s="18"/>
      <c r="X1090" s="18"/>
      <c r="Y1090" s="18"/>
      <c r="Z1090" s="18"/>
    </row>
    <row r="1091" spans="1:26" ht="16.5" customHeight="1" x14ac:dyDescent="0.35">
      <c r="A1091" s="230"/>
      <c r="B1091" s="230"/>
      <c r="C1091" s="227" t="s">
        <v>279</v>
      </c>
      <c r="D1091" s="218">
        <v>3</v>
      </c>
      <c r="E1091" s="216">
        <v>1.5</v>
      </c>
      <c r="F1091" s="218" t="s">
        <v>68</v>
      </c>
      <c r="G1091" s="218" t="s">
        <v>414</v>
      </c>
      <c r="H1091" s="74" t="s">
        <v>46</v>
      </c>
      <c r="I1091" s="76" t="s">
        <v>40</v>
      </c>
      <c r="J1091" s="76" t="s">
        <v>111</v>
      </c>
      <c r="K1091" s="218" t="s">
        <v>38</v>
      </c>
      <c r="L1091" s="66"/>
      <c r="M1091" s="18"/>
      <c r="N1091" s="18"/>
      <c r="O1091" s="18"/>
      <c r="P1091" s="293"/>
      <c r="Q1091" s="295"/>
      <c r="R1091" s="294"/>
      <c r="S1091" s="18"/>
      <c r="T1091" s="293"/>
      <c r="U1091" s="295"/>
      <c r="V1091" s="294"/>
      <c r="W1091" s="18"/>
      <c r="X1091" s="18"/>
      <c r="Y1091" s="18"/>
      <c r="Z1091" s="18"/>
    </row>
    <row r="1092" spans="1:26" ht="16.5" customHeight="1" x14ac:dyDescent="0.35">
      <c r="A1092" s="230"/>
      <c r="B1092" s="230"/>
      <c r="C1092" s="217"/>
      <c r="D1092" s="217"/>
      <c r="E1092" s="217"/>
      <c r="F1092" s="217"/>
      <c r="G1092" s="217"/>
      <c r="H1092" s="74" t="s">
        <v>48</v>
      </c>
      <c r="I1092" s="76" t="s">
        <v>40</v>
      </c>
      <c r="J1092" s="76" t="s">
        <v>111</v>
      </c>
      <c r="K1092" s="217"/>
      <c r="L1092" s="66"/>
      <c r="M1092" s="18"/>
      <c r="N1092" s="18"/>
      <c r="O1092" s="18"/>
      <c r="P1092" s="284"/>
      <c r="Q1092" s="284"/>
      <c r="R1092" s="284"/>
      <c r="S1092" s="18"/>
      <c r="T1092" s="284"/>
      <c r="U1092" s="284"/>
      <c r="V1092" s="284"/>
      <c r="W1092" s="18"/>
      <c r="X1092" s="18"/>
      <c r="Y1092" s="18"/>
      <c r="Z1092" s="18"/>
    </row>
    <row r="1093" spans="1:26" ht="16.5" customHeight="1" x14ac:dyDescent="0.35">
      <c r="A1093" s="230"/>
      <c r="B1093" s="230"/>
      <c r="C1093" s="227" t="s">
        <v>67</v>
      </c>
      <c r="D1093" s="218">
        <v>4</v>
      </c>
      <c r="E1093" s="216">
        <v>2</v>
      </c>
      <c r="F1093" s="218" t="s">
        <v>68</v>
      </c>
      <c r="G1093" s="218" t="s">
        <v>429</v>
      </c>
      <c r="H1093" s="74" t="s">
        <v>35</v>
      </c>
      <c r="I1093" s="76" t="s">
        <v>70</v>
      </c>
      <c r="J1093" s="76" t="s">
        <v>149</v>
      </c>
      <c r="K1093" s="218" t="s">
        <v>54</v>
      </c>
      <c r="L1093" s="66" t="s">
        <v>102</v>
      </c>
      <c r="M1093" s="18"/>
      <c r="N1093" s="18"/>
      <c r="O1093" s="18"/>
      <c r="P1093" s="293"/>
      <c r="Q1093" s="295"/>
      <c r="R1093" s="294"/>
      <c r="S1093" s="18"/>
      <c r="T1093" s="293"/>
      <c r="U1093" s="295"/>
      <c r="V1093" s="294"/>
      <c r="W1093" s="18"/>
      <c r="X1093" s="18"/>
      <c r="Y1093" s="18"/>
      <c r="Z1093" s="18"/>
    </row>
    <row r="1094" spans="1:26" ht="16.5" customHeight="1" x14ac:dyDescent="0.35">
      <c r="A1094" s="230"/>
      <c r="B1094" s="230"/>
      <c r="C1094" s="217"/>
      <c r="D1094" s="217"/>
      <c r="E1094" s="217"/>
      <c r="F1094" s="217"/>
      <c r="G1094" s="217"/>
      <c r="H1094" s="74" t="s">
        <v>48</v>
      </c>
      <c r="I1094" s="76" t="s">
        <v>70</v>
      </c>
      <c r="J1094" s="76" t="s">
        <v>149</v>
      </c>
      <c r="K1094" s="217"/>
      <c r="L1094" s="66"/>
      <c r="M1094" s="18"/>
      <c r="N1094" s="18"/>
      <c r="O1094" s="18"/>
      <c r="P1094" s="284"/>
      <c r="Q1094" s="284"/>
      <c r="R1094" s="284"/>
      <c r="S1094" s="18"/>
      <c r="T1094" s="284"/>
      <c r="U1094" s="284"/>
      <c r="V1094" s="284"/>
      <c r="W1094" s="18"/>
      <c r="X1094" s="18"/>
      <c r="Y1094" s="18"/>
      <c r="Z1094" s="18"/>
    </row>
    <row r="1095" spans="1:26" ht="16.5" customHeight="1" x14ac:dyDescent="0.35">
      <c r="A1095" s="230"/>
      <c r="B1095" s="230"/>
      <c r="C1095" s="227" t="s">
        <v>415</v>
      </c>
      <c r="D1095" s="218">
        <v>3</v>
      </c>
      <c r="E1095" s="216">
        <v>1.5</v>
      </c>
      <c r="F1095" s="218" t="s">
        <v>68</v>
      </c>
      <c r="G1095" s="218" t="s">
        <v>311</v>
      </c>
      <c r="H1095" s="74" t="s">
        <v>46</v>
      </c>
      <c r="I1095" s="76" t="s">
        <v>36</v>
      </c>
      <c r="J1095" s="76" t="s">
        <v>71</v>
      </c>
      <c r="K1095" s="218" t="s">
        <v>38</v>
      </c>
      <c r="L1095" s="66"/>
      <c r="M1095" s="18"/>
      <c r="N1095" s="18"/>
      <c r="O1095" s="18"/>
      <c r="P1095" s="293"/>
      <c r="Q1095" s="295"/>
      <c r="R1095" s="294"/>
      <c r="S1095" s="18"/>
      <c r="T1095" s="293"/>
      <c r="U1095" s="295"/>
      <c r="V1095" s="294"/>
      <c r="W1095" s="18"/>
      <c r="X1095" s="18"/>
      <c r="Y1095" s="18"/>
      <c r="Z1095" s="18"/>
    </row>
    <row r="1096" spans="1:26" ht="16.5" customHeight="1" x14ac:dyDescent="0.35">
      <c r="A1096" s="230"/>
      <c r="B1096" s="217"/>
      <c r="C1096" s="217"/>
      <c r="D1096" s="217"/>
      <c r="E1096" s="217"/>
      <c r="F1096" s="217"/>
      <c r="G1096" s="217"/>
      <c r="H1096" s="74" t="s">
        <v>55</v>
      </c>
      <c r="I1096" s="76" t="s">
        <v>36</v>
      </c>
      <c r="J1096" s="76" t="s">
        <v>71</v>
      </c>
      <c r="K1096" s="217"/>
      <c r="L1096" s="66"/>
      <c r="M1096" s="18"/>
      <c r="N1096" s="18"/>
      <c r="O1096" s="18"/>
      <c r="P1096" s="284"/>
      <c r="Q1096" s="284"/>
      <c r="R1096" s="284"/>
      <c r="S1096" s="18"/>
      <c r="T1096" s="284"/>
      <c r="U1096" s="284"/>
      <c r="V1096" s="284"/>
      <c r="W1096" s="18"/>
      <c r="X1096" s="18"/>
      <c r="Y1096" s="18"/>
      <c r="Z1096" s="18"/>
    </row>
    <row r="1097" spans="1:26" ht="16.5" customHeight="1" x14ac:dyDescent="0.35">
      <c r="A1097" s="217"/>
      <c r="B1097" s="228" t="s">
        <v>72</v>
      </c>
      <c r="C1097" s="221"/>
      <c r="D1097" s="222"/>
      <c r="E1097" s="71">
        <f>SUM(E1070:E1096)</f>
        <v>16.5</v>
      </c>
      <c r="F1097" s="220"/>
      <c r="G1097" s="221"/>
      <c r="H1097" s="221"/>
      <c r="I1097" s="221"/>
      <c r="J1097" s="221"/>
      <c r="K1097" s="222"/>
      <c r="L1097" s="66"/>
      <c r="M1097" s="18"/>
      <c r="N1097" s="18"/>
      <c r="O1097" s="18"/>
      <c r="P1097" s="18"/>
      <c r="Q1097" s="18"/>
      <c r="R1097" s="18"/>
      <c r="S1097" s="18"/>
      <c r="T1097" s="293"/>
      <c r="U1097" s="295"/>
      <c r="V1097" s="294"/>
      <c r="W1097" s="18"/>
      <c r="X1097" s="18"/>
      <c r="Y1097" s="18"/>
      <c r="Z1097" s="18"/>
    </row>
    <row r="1098" spans="1:26" ht="16.5" customHeight="1" x14ac:dyDescent="0.35">
      <c r="A1098" s="229">
        <v>66</v>
      </c>
      <c r="B1098" s="238" t="s">
        <v>430</v>
      </c>
      <c r="C1098" s="227" t="s">
        <v>122</v>
      </c>
      <c r="D1098" s="218">
        <v>2</v>
      </c>
      <c r="E1098" s="216">
        <v>2</v>
      </c>
      <c r="F1098" s="218" t="s">
        <v>33</v>
      </c>
      <c r="G1098" s="218" t="s">
        <v>34</v>
      </c>
      <c r="H1098" s="74" t="s">
        <v>39</v>
      </c>
      <c r="I1098" s="74" t="s">
        <v>61</v>
      </c>
      <c r="J1098" s="74" t="s">
        <v>259</v>
      </c>
      <c r="K1098" s="218" t="s">
        <v>54</v>
      </c>
      <c r="L1098" s="66"/>
      <c r="M1098" s="18"/>
      <c r="N1098" s="18"/>
      <c r="O1098" s="18"/>
      <c r="P1098" s="293"/>
      <c r="Q1098" s="295"/>
      <c r="R1098" s="294"/>
      <c r="S1098" s="18"/>
      <c r="T1098" s="284"/>
      <c r="U1098" s="284"/>
      <c r="V1098" s="284"/>
      <c r="W1098" s="18"/>
      <c r="X1098" s="18"/>
      <c r="Y1098" s="18"/>
      <c r="Z1098" s="18"/>
    </row>
    <row r="1099" spans="1:26" ht="16.5" customHeight="1" x14ac:dyDescent="0.35">
      <c r="A1099" s="230"/>
      <c r="B1099" s="230"/>
      <c r="C1099" s="217"/>
      <c r="D1099" s="217"/>
      <c r="E1099" s="217"/>
      <c r="F1099" s="217"/>
      <c r="G1099" s="217"/>
      <c r="H1099" s="74" t="s">
        <v>55</v>
      </c>
      <c r="I1099" s="74" t="s">
        <v>56</v>
      </c>
      <c r="J1099" s="74" t="s">
        <v>259</v>
      </c>
      <c r="K1099" s="217"/>
      <c r="L1099" s="66"/>
      <c r="M1099" s="18"/>
      <c r="N1099" s="18"/>
      <c r="O1099" s="18"/>
      <c r="P1099" s="284"/>
      <c r="Q1099" s="284"/>
      <c r="R1099" s="284"/>
      <c r="S1099" s="18"/>
      <c r="T1099" s="18"/>
      <c r="U1099" s="18"/>
      <c r="V1099" s="18"/>
      <c r="W1099" s="18"/>
      <c r="X1099" s="18"/>
      <c r="Y1099" s="18"/>
      <c r="Z1099" s="18"/>
    </row>
    <row r="1100" spans="1:26" ht="16.5" customHeight="1" x14ac:dyDescent="0.35">
      <c r="A1100" s="230"/>
      <c r="B1100" s="230"/>
      <c r="C1100" s="227" t="s">
        <v>122</v>
      </c>
      <c r="D1100" s="218">
        <v>2</v>
      </c>
      <c r="E1100" s="216">
        <v>2</v>
      </c>
      <c r="F1100" s="218" t="s">
        <v>33</v>
      </c>
      <c r="G1100" s="218" t="s">
        <v>42</v>
      </c>
      <c r="H1100" s="74" t="s">
        <v>39</v>
      </c>
      <c r="I1100" s="74" t="s">
        <v>123</v>
      </c>
      <c r="J1100" s="74" t="s">
        <v>107</v>
      </c>
      <c r="K1100" s="218" t="s">
        <v>54</v>
      </c>
      <c r="L1100" s="66"/>
      <c r="M1100" s="18"/>
      <c r="N1100" s="18"/>
      <c r="O1100" s="18"/>
      <c r="P1100" s="293"/>
      <c r="Q1100" s="295"/>
      <c r="R1100" s="294"/>
      <c r="S1100" s="18"/>
      <c r="T1100" s="18"/>
      <c r="U1100" s="18"/>
      <c r="V1100" s="18"/>
      <c r="W1100" s="18"/>
      <c r="X1100" s="18"/>
      <c r="Y1100" s="18"/>
      <c r="Z1100" s="18"/>
    </row>
    <row r="1101" spans="1:26" ht="16.5" customHeight="1" x14ac:dyDescent="0.35">
      <c r="A1101" s="230"/>
      <c r="B1101" s="230"/>
      <c r="C1101" s="217"/>
      <c r="D1101" s="217"/>
      <c r="E1101" s="217"/>
      <c r="F1101" s="217"/>
      <c r="G1101" s="217"/>
      <c r="H1101" s="74" t="s">
        <v>55</v>
      </c>
      <c r="I1101" s="74" t="s">
        <v>52</v>
      </c>
      <c r="J1101" s="74" t="s">
        <v>137</v>
      </c>
      <c r="K1101" s="217"/>
      <c r="L1101" s="66"/>
      <c r="M1101" s="18"/>
      <c r="N1101" s="18"/>
      <c r="O1101" s="18"/>
      <c r="P1101" s="284"/>
      <c r="Q1101" s="284"/>
      <c r="R1101" s="284"/>
      <c r="S1101" s="18"/>
      <c r="T1101" s="293"/>
      <c r="U1101" s="295"/>
      <c r="V1101" s="294"/>
      <c r="W1101" s="18"/>
      <c r="X1101" s="18"/>
      <c r="Y1101" s="18"/>
      <c r="Z1101" s="18"/>
    </row>
    <row r="1102" spans="1:26" ht="16.5" customHeight="1" x14ac:dyDescent="0.35">
      <c r="A1102" s="230"/>
      <c r="B1102" s="230"/>
      <c r="C1102" s="227" t="s">
        <v>122</v>
      </c>
      <c r="D1102" s="218">
        <v>2</v>
      </c>
      <c r="E1102" s="216">
        <v>2</v>
      </c>
      <c r="F1102" s="218" t="s">
        <v>33</v>
      </c>
      <c r="G1102" s="218" t="s">
        <v>45</v>
      </c>
      <c r="H1102" s="74" t="s">
        <v>35</v>
      </c>
      <c r="I1102" s="74" t="s">
        <v>52</v>
      </c>
      <c r="J1102" s="74" t="s">
        <v>431</v>
      </c>
      <c r="K1102" s="218" t="s">
        <v>54</v>
      </c>
      <c r="L1102" s="66"/>
      <c r="M1102" s="18"/>
      <c r="N1102" s="18"/>
      <c r="O1102" s="18"/>
      <c r="P1102" s="293"/>
      <c r="Q1102" s="295"/>
      <c r="R1102" s="294"/>
      <c r="S1102" s="18"/>
      <c r="T1102" s="284"/>
      <c r="U1102" s="284"/>
      <c r="V1102" s="284"/>
      <c r="W1102" s="18"/>
      <c r="X1102" s="18"/>
      <c r="Y1102" s="18"/>
      <c r="Z1102" s="18"/>
    </row>
    <row r="1103" spans="1:26" ht="16.5" customHeight="1" x14ac:dyDescent="0.35">
      <c r="A1103" s="230"/>
      <c r="B1103" s="230"/>
      <c r="C1103" s="217"/>
      <c r="D1103" s="217"/>
      <c r="E1103" s="217"/>
      <c r="F1103" s="217"/>
      <c r="G1103" s="217"/>
      <c r="H1103" s="74" t="s">
        <v>48</v>
      </c>
      <c r="I1103" s="74" t="s">
        <v>219</v>
      </c>
      <c r="J1103" s="74" t="s">
        <v>431</v>
      </c>
      <c r="K1103" s="217"/>
      <c r="L1103" s="66"/>
      <c r="M1103" s="18"/>
      <c r="N1103" s="18"/>
      <c r="O1103" s="18"/>
      <c r="P1103" s="284"/>
      <c r="Q1103" s="284"/>
      <c r="R1103" s="284"/>
      <c r="S1103" s="18"/>
      <c r="T1103" s="293"/>
      <c r="U1103" s="295"/>
      <c r="V1103" s="294"/>
      <c r="W1103" s="18"/>
      <c r="X1103" s="18"/>
      <c r="Y1103" s="18"/>
      <c r="Z1103" s="18"/>
    </row>
    <row r="1104" spans="1:26" ht="16.5" customHeight="1" x14ac:dyDescent="0.35">
      <c r="A1104" s="230"/>
      <c r="B1104" s="230"/>
      <c r="C1104" s="227" t="s">
        <v>122</v>
      </c>
      <c r="D1104" s="218">
        <v>2</v>
      </c>
      <c r="E1104" s="216">
        <v>2</v>
      </c>
      <c r="F1104" s="218" t="s">
        <v>33</v>
      </c>
      <c r="G1104" s="218" t="s">
        <v>49</v>
      </c>
      <c r="H1104" s="74" t="s">
        <v>35</v>
      </c>
      <c r="I1104" s="74" t="s">
        <v>61</v>
      </c>
      <c r="J1104" s="74" t="s">
        <v>77</v>
      </c>
      <c r="K1104" s="218" t="s">
        <v>54</v>
      </c>
      <c r="L1104" s="66"/>
      <c r="M1104" s="18"/>
      <c r="N1104" s="18"/>
      <c r="O1104" s="18"/>
      <c r="P1104" s="293"/>
      <c r="Q1104" s="295"/>
      <c r="R1104" s="294"/>
      <c r="S1104" s="18"/>
      <c r="T1104" s="284"/>
      <c r="U1104" s="284"/>
      <c r="V1104" s="284"/>
      <c r="W1104" s="18"/>
      <c r="X1104" s="18"/>
      <c r="Y1104" s="18"/>
      <c r="Z1104" s="18"/>
    </row>
    <row r="1105" spans="1:26" ht="16.5" customHeight="1" x14ac:dyDescent="0.35">
      <c r="A1105" s="230"/>
      <c r="B1105" s="230"/>
      <c r="C1105" s="217"/>
      <c r="D1105" s="217"/>
      <c r="E1105" s="217"/>
      <c r="F1105" s="217"/>
      <c r="G1105" s="217"/>
      <c r="H1105" s="74" t="s">
        <v>48</v>
      </c>
      <c r="I1105" s="74" t="s">
        <v>61</v>
      </c>
      <c r="J1105" s="74" t="s">
        <v>77</v>
      </c>
      <c r="K1105" s="217"/>
      <c r="L1105" s="66"/>
      <c r="M1105" s="18"/>
      <c r="N1105" s="18"/>
      <c r="O1105" s="18"/>
      <c r="P1105" s="284"/>
      <c r="Q1105" s="284"/>
      <c r="R1105" s="284"/>
      <c r="S1105" s="18"/>
      <c r="T1105" s="293"/>
      <c r="U1105" s="295"/>
      <c r="V1105" s="294"/>
      <c r="W1105" s="18"/>
      <c r="X1105" s="18"/>
      <c r="Y1105" s="18"/>
      <c r="Z1105" s="18"/>
    </row>
    <row r="1106" spans="1:26" ht="16.5" customHeight="1" x14ac:dyDescent="0.35">
      <c r="A1106" s="230"/>
      <c r="B1106" s="230"/>
      <c r="C1106" s="227" t="s">
        <v>432</v>
      </c>
      <c r="D1106" s="218">
        <v>3</v>
      </c>
      <c r="E1106" s="216">
        <v>3</v>
      </c>
      <c r="F1106" s="218" t="s">
        <v>33</v>
      </c>
      <c r="G1106" s="218" t="s">
        <v>34</v>
      </c>
      <c r="H1106" s="74" t="s">
        <v>46</v>
      </c>
      <c r="I1106" s="74" t="s">
        <v>40</v>
      </c>
      <c r="J1106" s="74" t="s">
        <v>98</v>
      </c>
      <c r="K1106" s="218" t="s">
        <v>38</v>
      </c>
      <c r="L1106" s="66"/>
      <c r="M1106" s="18"/>
      <c r="N1106" s="18"/>
      <c r="O1106" s="18"/>
      <c r="P1106" s="293"/>
      <c r="Q1106" s="295"/>
      <c r="R1106" s="294"/>
      <c r="S1106" s="18"/>
      <c r="T1106" s="284"/>
      <c r="U1106" s="284"/>
      <c r="V1106" s="284"/>
      <c r="W1106" s="18"/>
      <c r="X1106" s="18"/>
      <c r="Y1106" s="18"/>
      <c r="Z1106" s="18"/>
    </row>
    <row r="1107" spans="1:26" ht="16.5" customHeight="1" x14ac:dyDescent="0.35">
      <c r="A1107" s="230"/>
      <c r="B1107" s="230"/>
      <c r="C1107" s="217"/>
      <c r="D1107" s="217"/>
      <c r="E1107" s="217"/>
      <c r="F1107" s="217"/>
      <c r="G1107" s="217"/>
      <c r="H1107" s="74" t="s">
        <v>48</v>
      </c>
      <c r="I1107" s="74" t="s">
        <v>44</v>
      </c>
      <c r="J1107" s="74" t="s">
        <v>98</v>
      </c>
      <c r="K1107" s="217"/>
      <c r="L1107" s="66"/>
      <c r="M1107" s="18"/>
      <c r="N1107" s="18"/>
      <c r="O1107" s="18"/>
      <c r="P1107" s="284"/>
      <c r="Q1107" s="284"/>
      <c r="R1107" s="284"/>
      <c r="S1107" s="18"/>
      <c r="T1107" s="293"/>
      <c r="U1107" s="295"/>
      <c r="V1107" s="294"/>
      <c r="W1107" s="18"/>
      <c r="X1107" s="18"/>
      <c r="Y1107" s="18"/>
      <c r="Z1107" s="18"/>
    </row>
    <row r="1108" spans="1:26" ht="16.5" customHeight="1" x14ac:dyDescent="0.35">
      <c r="A1108" s="230"/>
      <c r="B1108" s="230"/>
      <c r="C1108" s="227" t="s">
        <v>432</v>
      </c>
      <c r="D1108" s="218">
        <v>3</v>
      </c>
      <c r="E1108" s="216">
        <v>3</v>
      </c>
      <c r="F1108" s="218" t="s">
        <v>33</v>
      </c>
      <c r="G1108" s="218" t="s">
        <v>42</v>
      </c>
      <c r="H1108" s="74" t="s">
        <v>46</v>
      </c>
      <c r="I1108" s="74" t="s">
        <v>44</v>
      </c>
      <c r="J1108" s="74" t="s">
        <v>96</v>
      </c>
      <c r="K1108" s="218" t="s">
        <v>38</v>
      </c>
      <c r="L1108" s="66"/>
      <c r="M1108" s="18"/>
      <c r="N1108" s="18"/>
      <c r="O1108" s="18"/>
      <c r="P1108" s="293"/>
      <c r="Q1108" s="295"/>
      <c r="R1108" s="294"/>
      <c r="S1108" s="18"/>
      <c r="T1108" s="284"/>
      <c r="U1108" s="284"/>
      <c r="V1108" s="284"/>
      <c r="W1108" s="18"/>
      <c r="X1108" s="18"/>
      <c r="Y1108" s="18"/>
      <c r="Z1108" s="18"/>
    </row>
    <row r="1109" spans="1:26" ht="16.5" customHeight="1" x14ac:dyDescent="0.35">
      <c r="A1109" s="230"/>
      <c r="B1109" s="230"/>
      <c r="C1109" s="217"/>
      <c r="D1109" s="217"/>
      <c r="E1109" s="217"/>
      <c r="F1109" s="217"/>
      <c r="G1109" s="217"/>
      <c r="H1109" s="74" t="s">
        <v>55</v>
      </c>
      <c r="I1109" s="74" t="s">
        <v>36</v>
      </c>
      <c r="J1109" s="74" t="s">
        <v>96</v>
      </c>
      <c r="K1109" s="217"/>
      <c r="L1109" s="66"/>
      <c r="M1109" s="18"/>
      <c r="N1109" s="18"/>
      <c r="O1109" s="18"/>
      <c r="P1109" s="284"/>
      <c r="Q1109" s="284"/>
      <c r="R1109" s="284"/>
      <c r="S1109" s="18"/>
      <c r="T1109" s="293"/>
      <c r="U1109" s="295"/>
      <c r="V1109" s="294"/>
      <c r="W1109" s="18"/>
      <c r="X1109" s="18"/>
      <c r="Y1109" s="18"/>
      <c r="Z1109" s="18"/>
    </row>
    <row r="1110" spans="1:26" ht="16.5" customHeight="1" x14ac:dyDescent="0.35">
      <c r="A1110" s="230"/>
      <c r="B1110" s="230"/>
      <c r="C1110" s="227" t="s">
        <v>432</v>
      </c>
      <c r="D1110" s="218">
        <v>3</v>
      </c>
      <c r="E1110" s="216">
        <v>3</v>
      </c>
      <c r="F1110" s="218" t="s">
        <v>33</v>
      </c>
      <c r="G1110" s="218" t="s">
        <v>45</v>
      </c>
      <c r="H1110" s="74" t="s">
        <v>46</v>
      </c>
      <c r="I1110" s="74" t="s">
        <v>36</v>
      </c>
      <c r="J1110" s="74" t="s">
        <v>128</v>
      </c>
      <c r="K1110" s="218" t="s">
        <v>38</v>
      </c>
      <c r="L1110" s="66"/>
      <c r="M1110" s="18"/>
      <c r="N1110" s="18"/>
      <c r="O1110" s="18"/>
      <c r="P1110" s="293"/>
      <c r="Q1110" s="295"/>
      <c r="R1110" s="294"/>
      <c r="S1110" s="18"/>
      <c r="T1110" s="284"/>
      <c r="U1110" s="284"/>
      <c r="V1110" s="284"/>
      <c r="W1110" s="18"/>
      <c r="X1110" s="18"/>
      <c r="Y1110" s="18"/>
      <c r="Z1110" s="18"/>
    </row>
    <row r="1111" spans="1:26" ht="16.5" customHeight="1" x14ac:dyDescent="0.35">
      <c r="A1111" s="230"/>
      <c r="B1111" s="230"/>
      <c r="C1111" s="217"/>
      <c r="D1111" s="217"/>
      <c r="E1111" s="217"/>
      <c r="F1111" s="217"/>
      <c r="G1111" s="217"/>
      <c r="H1111" s="74" t="s">
        <v>55</v>
      </c>
      <c r="I1111" s="74" t="s">
        <v>44</v>
      </c>
      <c r="J1111" s="74" t="s">
        <v>128</v>
      </c>
      <c r="K1111" s="217"/>
      <c r="L1111" s="66"/>
      <c r="M1111" s="18"/>
      <c r="N1111" s="18"/>
      <c r="O1111" s="18"/>
      <c r="P1111" s="284"/>
      <c r="Q1111" s="284"/>
      <c r="R1111" s="284"/>
      <c r="S1111" s="18"/>
      <c r="T1111" s="293"/>
      <c r="U1111" s="295"/>
      <c r="V1111" s="294"/>
      <c r="W1111" s="18"/>
      <c r="X1111" s="18"/>
      <c r="Y1111" s="18"/>
      <c r="Z1111" s="18"/>
    </row>
    <row r="1112" spans="1:26" ht="16.5" customHeight="1" x14ac:dyDescent="0.35">
      <c r="A1112" s="230"/>
      <c r="B1112" s="230"/>
      <c r="C1112" s="227" t="s">
        <v>432</v>
      </c>
      <c r="D1112" s="218">
        <v>3</v>
      </c>
      <c r="E1112" s="216">
        <v>3</v>
      </c>
      <c r="F1112" s="218" t="s">
        <v>33</v>
      </c>
      <c r="G1112" s="218" t="s">
        <v>49</v>
      </c>
      <c r="H1112" s="74" t="s">
        <v>35</v>
      </c>
      <c r="I1112" s="74" t="s">
        <v>40</v>
      </c>
      <c r="J1112" s="74" t="s">
        <v>128</v>
      </c>
      <c r="K1112" s="218" t="s">
        <v>38</v>
      </c>
      <c r="L1112" s="66"/>
      <c r="M1112" s="18"/>
      <c r="N1112" s="18"/>
      <c r="O1112" s="18"/>
      <c r="P1112" s="293"/>
      <c r="Q1112" s="295"/>
      <c r="R1112" s="294"/>
      <c r="S1112" s="18"/>
      <c r="T1112" s="284"/>
      <c r="U1112" s="284"/>
      <c r="V1112" s="284"/>
      <c r="W1112" s="18"/>
      <c r="X1112" s="18"/>
      <c r="Y1112" s="18"/>
      <c r="Z1112" s="18"/>
    </row>
    <row r="1113" spans="1:26" ht="16.5" customHeight="1" x14ac:dyDescent="0.35">
      <c r="A1113" s="230"/>
      <c r="B1113" s="230"/>
      <c r="C1113" s="217"/>
      <c r="D1113" s="217"/>
      <c r="E1113" s="217"/>
      <c r="F1113" s="217"/>
      <c r="G1113" s="217"/>
      <c r="H1113" s="74" t="s">
        <v>39</v>
      </c>
      <c r="I1113" s="74" t="s">
        <v>44</v>
      </c>
      <c r="J1113" s="74" t="s">
        <v>128</v>
      </c>
      <c r="K1113" s="217"/>
      <c r="L1113" s="66"/>
      <c r="M1113" s="18"/>
      <c r="N1113" s="18"/>
      <c r="O1113" s="18"/>
      <c r="P1113" s="284"/>
      <c r="Q1113" s="284"/>
      <c r="R1113" s="284"/>
      <c r="S1113" s="18"/>
      <c r="T1113" s="293"/>
      <c r="U1113" s="295"/>
      <c r="V1113" s="294"/>
      <c r="W1113" s="18"/>
      <c r="X1113" s="18"/>
      <c r="Y1113" s="18"/>
      <c r="Z1113" s="18"/>
    </row>
    <row r="1114" spans="1:26" ht="16.5" customHeight="1" x14ac:dyDescent="0.35">
      <c r="A1114" s="230"/>
      <c r="B1114" s="217"/>
      <c r="C1114" s="94" t="s">
        <v>89</v>
      </c>
      <c r="D1114" s="74">
        <v>3</v>
      </c>
      <c r="E1114" s="81">
        <v>3</v>
      </c>
      <c r="F1114" s="85" t="s">
        <v>33</v>
      </c>
      <c r="G1114" s="85" t="s">
        <v>175</v>
      </c>
      <c r="H1114" s="74" t="s">
        <v>46</v>
      </c>
      <c r="I1114" s="74" t="s">
        <v>91</v>
      </c>
      <c r="J1114" s="74" t="s">
        <v>41</v>
      </c>
      <c r="K1114" s="85" t="s">
        <v>93</v>
      </c>
      <c r="L1114" s="66"/>
      <c r="M1114" s="18"/>
      <c r="N1114" s="18"/>
      <c r="O1114" s="18"/>
      <c r="P1114" s="18"/>
      <c r="Q1114" s="18"/>
      <c r="R1114" s="18"/>
      <c r="S1114" s="18"/>
      <c r="T1114" s="284"/>
      <c r="U1114" s="284"/>
      <c r="V1114" s="284"/>
      <c r="W1114" s="18"/>
      <c r="X1114" s="18"/>
      <c r="Y1114" s="18"/>
      <c r="Z1114" s="18"/>
    </row>
    <row r="1115" spans="1:26" ht="16.5" customHeight="1" x14ac:dyDescent="0.35">
      <c r="A1115" s="217"/>
      <c r="B1115" s="228" t="s">
        <v>72</v>
      </c>
      <c r="C1115" s="221"/>
      <c r="D1115" s="222"/>
      <c r="E1115" s="71">
        <f>SUM(E1098:E1114)</f>
        <v>23</v>
      </c>
      <c r="F1115" s="220"/>
      <c r="G1115" s="221"/>
      <c r="H1115" s="221"/>
      <c r="I1115" s="221"/>
      <c r="J1115" s="221"/>
      <c r="K1115" s="222"/>
      <c r="L1115" s="66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spans="1:26" ht="16.5" customHeight="1" x14ac:dyDescent="0.35">
      <c r="A1116" s="229">
        <v>67</v>
      </c>
      <c r="B1116" s="238" t="s">
        <v>433</v>
      </c>
      <c r="C1116" s="258" t="s">
        <v>307</v>
      </c>
      <c r="D1116" s="218">
        <v>2</v>
      </c>
      <c r="E1116" s="216">
        <v>2</v>
      </c>
      <c r="F1116" s="218" t="s">
        <v>106</v>
      </c>
      <c r="G1116" s="218" t="s">
        <v>101</v>
      </c>
      <c r="H1116" s="85" t="s">
        <v>35</v>
      </c>
      <c r="I1116" s="74" t="s">
        <v>123</v>
      </c>
      <c r="J1116" s="74" t="s">
        <v>98</v>
      </c>
      <c r="K1116" s="218" t="s">
        <v>54</v>
      </c>
      <c r="L1116" s="66"/>
      <c r="M1116" s="18"/>
      <c r="N1116" s="18"/>
      <c r="O1116" s="18"/>
      <c r="P1116" s="293"/>
      <c r="Q1116" s="295"/>
      <c r="R1116" s="294"/>
      <c r="S1116" s="18"/>
      <c r="T1116" s="293"/>
      <c r="U1116" s="295"/>
      <c r="V1116" s="294"/>
      <c r="W1116" s="18"/>
      <c r="X1116" s="18"/>
      <c r="Y1116" s="18"/>
      <c r="Z1116" s="18"/>
    </row>
    <row r="1117" spans="1:26" ht="16.5" customHeight="1" x14ac:dyDescent="0.35">
      <c r="A1117" s="230"/>
      <c r="B1117" s="230"/>
      <c r="C1117" s="250"/>
      <c r="D1117" s="217"/>
      <c r="E1117" s="217"/>
      <c r="F1117" s="217"/>
      <c r="G1117" s="217"/>
      <c r="H1117" s="85" t="s">
        <v>55</v>
      </c>
      <c r="I1117" s="74" t="s">
        <v>52</v>
      </c>
      <c r="J1117" s="74" t="s">
        <v>96</v>
      </c>
      <c r="K1117" s="217"/>
      <c r="L1117" s="66"/>
      <c r="M1117" s="18"/>
      <c r="N1117" s="18"/>
      <c r="O1117" s="18"/>
      <c r="P1117" s="284"/>
      <c r="Q1117" s="284"/>
      <c r="R1117" s="284"/>
      <c r="S1117" s="18"/>
      <c r="T1117" s="284"/>
      <c r="U1117" s="284"/>
      <c r="V1117" s="284"/>
      <c r="W1117" s="18"/>
      <c r="X1117" s="18"/>
      <c r="Y1117" s="18"/>
      <c r="Z1117" s="18"/>
    </row>
    <row r="1118" spans="1:26" ht="16.5" customHeight="1" x14ac:dyDescent="0.35">
      <c r="A1118" s="230"/>
      <c r="B1118" s="230"/>
      <c r="C1118" s="258" t="s">
        <v>425</v>
      </c>
      <c r="D1118" s="218">
        <v>2</v>
      </c>
      <c r="E1118" s="216">
        <v>2</v>
      </c>
      <c r="F1118" s="218" t="s">
        <v>106</v>
      </c>
      <c r="G1118" s="218" t="s">
        <v>136</v>
      </c>
      <c r="H1118" s="74" t="s">
        <v>46</v>
      </c>
      <c r="I1118" s="74" t="s">
        <v>61</v>
      </c>
      <c r="J1118" s="74" t="s">
        <v>128</v>
      </c>
      <c r="K1118" s="218" t="s">
        <v>54</v>
      </c>
      <c r="L1118" s="66"/>
      <c r="M1118" s="18"/>
      <c r="N1118" s="18"/>
      <c r="O1118" s="18"/>
      <c r="P1118" s="293"/>
      <c r="Q1118" s="295"/>
      <c r="R1118" s="294"/>
      <c r="S1118" s="18"/>
      <c r="T1118" s="293"/>
      <c r="U1118" s="295"/>
      <c r="V1118" s="294"/>
      <c r="W1118" s="18"/>
      <c r="X1118" s="18"/>
      <c r="Y1118" s="18"/>
      <c r="Z1118" s="18"/>
    </row>
    <row r="1119" spans="1:26" ht="16.5" customHeight="1" x14ac:dyDescent="0.35">
      <c r="A1119" s="230"/>
      <c r="B1119" s="230"/>
      <c r="C1119" s="250"/>
      <c r="D1119" s="217"/>
      <c r="E1119" s="217"/>
      <c r="F1119" s="217"/>
      <c r="G1119" s="217"/>
      <c r="H1119" s="74" t="s">
        <v>39</v>
      </c>
      <c r="I1119" s="74" t="s">
        <v>52</v>
      </c>
      <c r="J1119" s="74" t="s">
        <v>128</v>
      </c>
      <c r="K1119" s="217"/>
      <c r="L1119" s="66"/>
      <c r="M1119" s="18"/>
      <c r="N1119" s="18"/>
      <c r="O1119" s="18"/>
      <c r="P1119" s="284"/>
      <c r="Q1119" s="284"/>
      <c r="R1119" s="284"/>
      <c r="S1119" s="18"/>
      <c r="T1119" s="284"/>
      <c r="U1119" s="284"/>
      <c r="V1119" s="284"/>
      <c r="W1119" s="18"/>
      <c r="X1119" s="18"/>
      <c r="Y1119" s="18"/>
      <c r="Z1119" s="18"/>
    </row>
    <row r="1120" spans="1:26" ht="16.5" customHeight="1" x14ac:dyDescent="0.35">
      <c r="A1120" s="230"/>
      <c r="B1120" s="230"/>
      <c r="C1120" s="258" t="s">
        <v>401</v>
      </c>
      <c r="D1120" s="218">
        <v>3</v>
      </c>
      <c r="E1120" s="216">
        <v>3</v>
      </c>
      <c r="F1120" s="218" t="s">
        <v>106</v>
      </c>
      <c r="G1120" s="218" t="s">
        <v>76</v>
      </c>
      <c r="H1120" s="74" t="s">
        <v>35</v>
      </c>
      <c r="I1120" s="74" t="s">
        <v>36</v>
      </c>
      <c r="J1120" s="74" t="s">
        <v>128</v>
      </c>
      <c r="K1120" s="218" t="s">
        <v>54</v>
      </c>
      <c r="L1120" s="66"/>
      <c r="M1120" s="18"/>
      <c r="N1120" s="18"/>
      <c r="O1120" s="18"/>
      <c r="P1120" s="293"/>
      <c r="Q1120" s="295"/>
      <c r="R1120" s="294"/>
      <c r="S1120" s="18"/>
      <c r="T1120" s="293"/>
      <c r="U1120" s="295"/>
      <c r="V1120" s="294"/>
      <c r="W1120" s="18"/>
      <c r="X1120" s="18"/>
      <c r="Y1120" s="18"/>
      <c r="Z1120" s="18"/>
    </row>
    <row r="1121" spans="1:26" ht="16.5" customHeight="1" x14ac:dyDescent="0.35">
      <c r="A1121" s="230"/>
      <c r="B1121" s="230"/>
      <c r="C1121" s="250"/>
      <c r="D1121" s="217"/>
      <c r="E1121" s="217"/>
      <c r="F1121" s="217"/>
      <c r="G1121" s="217"/>
      <c r="H1121" s="74" t="s">
        <v>39</v>
      </c>
      <c r="I1121" s="74" t="s">
        <v>36</v>
      </c>
      <c r="J1121" s="74" t="s">
        <v>128</v>
      </c>
      <c r="K1121" s="217"/>
      <c r="L1121" s="66"/>
      <c r="M1121" s="18"/>
      <c r="N1121" s="18"/>
      <c r="O1121" s="18"/>
      <c r="P1121" s="284"/>
      <c r="Q1121" s="284"/>
      <c r="R1121" s="284"/>
      <c r="S1121" s="18"/>
      <c r="T1121" s="284"/>
      <c r="U1121" s="284"/>
      <c r="V1121" s="284"/>
      <c r="W1121" s="18"/>
      <c r="X1121" s="18"/>
      <c r="Y1121" s="18"/>
      <c r="Z1121" s="18"/>
    </row>
    <row r="1122" spans="1:26" ht="16.5" customHeight="1" x14ac:dyDescent="0.35">
      <c r="A1122" s="230"/>
      <c r="B1122" s="230"/>
      <c r="C1122" s="227" t="s">
        <v>434</v>
      </c>
      <c r="D1122" s="218">
        <v>3</v>
      </c>
      <c r="E1122" s="216">
        <v>3</v>
      </c>
      <c r="F1122" s="218" t="s">
        <v>106</v>
      </c>
      <c r="G1122" s="218" t="s">
        <v>76</v>
      </c>
      <c r="H1122" s="74" t="s">
        <v>35</v>
      </c>
      <c r="I1122" s="74" t="s">
        <v>36</v>
      </c>
      <c r="J1122" s="74" t="s">
        <v>197</v>
      </c>
      <c r="K1122" s="218" t="s">
        <v>38</v>
      </c>
      <c r="L1122" s="66"/>
      <c r="M1122" s="18"/>
      <c r="N1122" s="18"/>
      <c r="O1122" s="18"/>
      <c r="P1122" s="293"/>
      <c r="Q1122" s="295"/>
      <c r="R1122" s="294"/>
      <c r="S1122" s="18"/>
      <c r="T1122" s="293"/>
      <c r="U1122" s="295"/>
      <c r="V1122" s="294"/>
      <c r="W1122" s="18"/>
      <c r="X1122" s="18"/>
      <c r="Y1122" s="18"/>
      <c r="Z1122" s="18"/>
    </row>
    <row r="1123" spans="1:26" ht="16.5" customHeight="1" x14ac:dyDescent="0.35">
      <c r="A1123" s="230"/>
      <c r="B1123" s="230"/>
      <c r="C1123" s="217"/>
      <c r="D1123" s="219"/>
      <c r="E1123" s="217"/>
      <c r="F1123" s="217"/>
      <c r="G1123" s="217"/>
      <c r="H1123" s="74" t="s">
        <v>39</v>
      </c>
      <c r="I1123" s="74" t="s">
        <v>36</v>
      </c>
      <c r="J1123" s="74" t="s">
        <v>197</v>
      </c>
      <c r="K1123" s="217"/>
      <c r="L1123" s="66"/>
      <c r="M1123" s="18"/>
      <c r="N1123" s="18"/>
      <c r="O1123" s="18"/>
      <c r="P1123" s="284"/>
      <c r="Q1123" s="284"/>
      <c r="R1123" s="284"/>
      <c r="S1123" s="18"/>
      <c r="T1123" s="284"/>
      <c r="U1123" s="284"/>
      <c r="V1123" s="284"/>
      <c r="W1123" s="18"/>
      <c r="X1123" s="18"/>
      <c r="Y1123" s="18"/>
      <c r="Z1123" s="18"/>
    </row>
    <row r="1124" spans="1:26" ht="16.5" customHeight="1" x14ac:dyDescent="0.35">
      <c r="A1124" s="230"/>
      <c r="B1124" s="230"/>
      <c r="C1124" s="259" t="s">
        <v>435</v>
      </c>
      <c r="D1124" s="218">
        <v>2</v>
      </c>
      <c r="E1124" s="257">
        <v>2</v>
      </c>
      <c r="F1124" s="218" t="s">
        <v>106</v>
      </c>
      <c r="G1124" s="218" t="s">
        <v>136</v>
      </c>
      <c r="H1124" s="74" t="s">
        <v>39</v>
      </c>
      <c r="I1124" s="74" t="s">
        <v>59</v>
      </c>
      <c r="J1124" s="74" t="s">
        <v>143</v>
      </c>
      <c r="K1124" s="218" t="s">
        <v>38</v>
      </c>
      <c r="L1124" s="66"/>
      <c r="M1124" s="18"/>
      <c r="N1124" s="18"/>
      <c r="O1124" s="18"/>
      <c r="P1124" s="293"/>
      <c r="Q1124" s="295"/>
      <c r="R1124" s="294"/>
      <c r="S1124" s="18"/>
      <c r="T1124" s="293"/>
      <c r="U1124" s="295"/>
      <c r="V1124" s="294"/>
      <c r="W1124" s="18"/>
      <c r="X1124" s="18"/>
      <c r="Y1124" s="18"/>
      <c r="Z1124" s="18"/>
    </row>
    <row r="1125" spans="1:26" ht="16.5" customHeight="1" x14ac:dyDescent="0.35">
      <c r="A1125" s="230"/>
      <c r="B1125" s="217"/>
      <c r="C1125" s="260"/>
      <c r="D1125" s="217"/>
      <c r="E1125" s="250"/>
      <c r="F1125" s="217"/>
      <c r="G1125" s="217"/>
      <c r="H1125" s="74" t="s">
        <v>55</v>
      </c>
      <c r="I1125" s="74" t="s">
        <v>123</v>
      </c>
      <c r="J1125" s="74" t="s">
        <v>143</v>
      </c>
      <c r="K1125" s="217"/>
      <c r="L1125" s="66"/>
      <c r="M1125" s="18"/>
      <c r="N1125" s="18"/>
      <c r="O1125" s="18"/>
      <c r="P1125" s="284"/>
      <c r="Q1125" s="284"/>
      <c r="R1125" s="284"/>
      <c r="S1125" s="18"/>
      <c r="T1125" s="284"/>
      <c r="U1125" s="284"/>
      <c r="V1125" s="284"/>
      <c r="W1125" s="18"/>
      <c r="X1125" s="18"/>
      <c r="Y1125" s="18"/>
      <c r="Z1125" s="18"/>
    </row>
    <row r="1126" spans="1:26" ht="16.5" customHeight="1" x14ac:dyDescent="0.35">
      <c r="A1126" s="217"/>
      <c r="B1126" s="228" t="s">
        <v>72</v>
      </c>
      <c r="C1126" s="221"/>
      <c r="D1126" s="222"/>
      <c r="E1126" s="71">
        <f>SUM(E1116:E1125)</f>
        <v>12</v>
      </c>
      <c r="F1126" s="220"/>
      <c r="G1126" s="221"/>
      <c r="H1126" s="221"/>
      <c r="I1126" s="221"/>
      <c r="J1126" s="221"/>
      <c r="K1126" s="222"/>
      <c r="L1126" s="66"/>
      <c r="M1126" s="18"/>
      <c r="N1126" s="18"/>
      <c r="O1126" s="18"/>
      <c r="P1126" s="18"/>
      <c r="Q1126" s="18"/>
      <c r="R1126" s="18"/>
      <c r="S1126" s="18"/>
      <c r="T1126" s="293"/>
      <c r="U1126" s="295"/>
      <c r="V1126" s="294"/>
      <c r="W1126" s="18"/>
      <c r="X1126" s="18"/>
      <c r="Y1126" s="18"/>
      <c r="Z1126" s="18"/>
    </row>
    <row r="1127" spans="1:26" ht="16.5" customHeight="1" x14ac:dyDescent="0.35">
      <c r="A1127" s="229">
        <v>68</v>
      </c>
      <c r="B1127" s="238" t="s">
        <v>436</v>
      </c>
      <c r="C1127" s="227" t="s">
        <v>276</v>
      </c>
      <c r="D1127" s="218">
        <v>2</v>
      </c>
      <c r="E1127" s="216">
        <v>2</v>
      </c>
      <c r="F1127" s="218" t="s">
        <v>33</v>
      </c>
      <c r="G1127" s="239" t="s">
        <v>34</v>
      </c>
      <c r="H1127" s="74" t="s">
        <v>39</v>
      </c>
      <c r="I1127" s="74" t="s">
        <v>61</v>
      </c>
      <c r="J1127" s="74" t="s">
        <v>77</v>
      </c>
      <c r="K1127" s="249" t="s">
        <v>54</v>
      </c>
      <c r="L1127" s="66"/>
      <c r="M1127" s="18"/>
      <c r="N1127" s="18"/>
      <c r="O1127" s="18"/>
      <c r="P1127" s="293"/>
      <c r="Q1127" s="295"/>
      <c r="R1127" s="294"/>
      <c r="S1127" s="18"/>
      <c r="T1127" s="284"/>
      <c r="U1127" s="284"/>
      <c r="V1127" s="284"/>
      <c r="W1127" s="18"/>
      <c r="X1127" s="18"/>
      <c r="Y1127" s="18"/>
      <c r="Z1127" s="18"/>
    </row>
    <row r="1128" spans="1:26" ht="16.5" customHeight="1" x14ac:dyDescent="0.35">
      <c r="A1128" s="230"/>
      <c r="B1128" s="230"/>
      <c r="C1128" s="217"/>
      <c r="D1128" s="217"/>
      <c r="E1128" s="217"/>
      <c r="F1128" s="217"/>
      <c r="G1128" s="240"/>
      <c r="H1128" s="83" t="s">
        <v>55</v>
      </c>
      <c r="I1128" s="74" t="s">
        <v>52</v>
      </c>
      <c r="J1128" s="74" t="s">
        <v>77</v>
      </c>
      <c r="K1128" s="250"/>
      <c r="L1128" s="66"/>
      <c r="M1128" s="18"/>
      <c r="N1128" s="18"/>
      <c r="O1128" s="18"/>
      <c r="P1128" s="284"/>
      <c r="Q1128" s="284"/>
      <c r="R1128" s="284"/>
      <c r="S1128" s="18"/>
      <c r="T1128" s="293"/>
      <c r="U1128" s="295"/>
      <c r="V1128" s="294"/>
      <c r="W1128" s="18"/>
      <c r="X1128" s="18"/>
      <c r="Y1128" s="18"/>
      <c r="Z1128" s="18"/>
    </row>
    <row r="1129" spans="1:26" ht="16.5" customHeight="1" x14ac:dyDescent="0.35">
      <c r="A1129" s="230"/>
      <c r="B1129" s="230"/>
      <c r="C1129" s="227" t="s">
        <v>276</v>
      </c>
      <c r="D1129" s="218">
        <v>2</v>
      </c>
      <c r="E1129" s="216">
        <v>2</v>
      </c>
      <c r="F1129" s="218" t="s">
        <v>33</v>
      </c>
      <c r="G1129" s="218" t="s">
        <v>42</v>
      </c>
      <c r="H1129" s="74" t="s">
        <v>46</v>
      </c>
      <c r="I1129" s="74" t="s">
        <v>219</v>
      </c>
      <c r="J1129" s="74" t="s">
        <v>41</v>
      </c>
      <c r="K1129" s="218" t="s">
        <v>54</v>
      </c>
      <c r="L1129" s="66"/>
      <c r="M1129" s="18"/>
      <c r="N1129" s="18"/>
      <c r="O1129" s="18"/>
      <c r="P1129" s="293"/>
      <c r="Q1129" s="295"/>
      <c r="R1129" s="294"/>
      <c r="S1129" s="18"/>
      <c r="T1129" s="284"/>
      <c r="U1129" s="284"/>
      <c r="V1129" s="284"/>
      <c r="W1129" s="18"/>
      <c r="X1129" s="18"/>
      <c r="Y1129" s="18"/>
      <c r="Z1129" s="18"/>
    </row>
    <row r="1130" spans="1:26" ht="16.5" customHeight="1" x14ac:dyDescent="0.35">
      <c r="A1130" s="230"/>
      <c r="B1130" s="230"/>
      <c r="C1130" s="217"/>
      <c r="D1130" s="217"/>
      <c r="E1130" s="217"/>
      <c r="F1130" s="217"/>
      <c r="G1130" s="217"/>
      <c r="H1130" s="67" t="s">
        <v>48</v>
      </c>
      <c r="I1130" s="74" t="s">
        <v>61</v>
      </c>
      <c r="J1130" s="74" t="s">
        <v>41</v>
      </c>
      <c r="K1130" s="217"/>
      <c r="L1130" s="66"/>
      <c r="M1130" s="18"/>
      <c r="N1130" s="18"/>
      <c r="O1130" s="18"/>
      <c r="P1130" s="284"/>
      <c r="Q1130" s="284"/>
      <c r="R1130" s="284"/>
      <c r="S1130" s="18"/>
      <c r="T1130" s="293"/>
      <c r="U1130" s="295"/>
      <c r="V1130" s="294"/>
      <c r="W1130" s="18"/>
      <c r="X1130" s="18"/>
      <c r="Y1130" s="18"/>
      <c r="Z1130" s="18"/>
    </row>
    <row r="1131" spans="1:26" ht="16.5" customHeight="1" x14ac:dyDescent="0.35">
      <c r="A1131" s="230"/>
      <c r="B1131" s="230"/>
      <c r="C1131" s="227" t="s">
        <v>276</v>
      </c>
      <c r="D1131" s="218">
        <v>2</v>
      </c>
      <c r="E1131" s="216">
        <v>2</v>
      </c>
      <c r="F1131" s="218" t="s">
        <v>33</v>
      </c>
      <c r="G1131" s="218" t="s">
        <v>45</v>
      </c>
      <c r="H1131" s="74" t="s">
        <v>35</v>
      </c>
      <c r="I1131" s="74" t="s">
        <v>52</v>
      </c>
      <c r="J1131" s="74" t="s">
        <v>155</v>
      </c>
      <c r="K1131" s="218" t="s">
        <v>54</v>
      </c>
      <c r="L1131" s="66"/>
      <c r="M1131" s="18"/>
      <c r="N1131" s="18"/>
      <c r="O1131" s="18"/>
      <c r="P1131" s="293"/>
      <c r="Q1131" s="295"/>
      <c r="R1131" s="294"/>
      <c r="S1131" s="18"/>
      <c r="T1131" s="284"/>
      <c r="U1131" s="284"/>
      <c r="V1131" s="284"/>
      <c r="W1131" s="18"/>
      <c r="X1131" s="18"/>
      <c r="Y1131" s="18"/>
      <c r="Z1131" s="18"/>
    </row>
    <row r="1132" spans="1:26" ht="16.5" customHeight="1" x14ac:dyDescent="0.35">
      <c r="A1132" s="230"/>
      <c r="B1132" s="230"/>
      <c r="C1132" s="217"/>
      <c r="D1132" s="217"/>
      <c r="E1132" s="217"/>
      <c r="F1132" s="217"/>
      <c r="G1132" s="217"/>
      <c r="H1132" s="67" t="s">
        <v>39</v>
      </c>
      <c r="I1132" s="74" t="s">
        <v>61</v>
      </c>
      <c r="J1132" s="74" t="s">
        <v>437</v>
      </c>
      <c r="K1132" s="217"/>
      <c r="L1132" s="66"/>
      <c r="M1132" s="18"/>
      <c r="N1132" s="18"/>
      <c r="O1132" s="18"/>
      <c r="P1132" s="284"/>
      <c r="Q1132" s="284"/>
      <c r="R1132" s="284"/>
      <c r="S1132" s="18"/>
      <c r="T1132" s="18"/>
      <c r="U1132" s="18"/>
      <c r="V1132" s="18"/>
      <c r="W1132" s="18"/>
      <c r="X1132" s="18"/>
      <c r="Y1132" s="18"/>
      <c r="Z1132" s="18"/>
    </row>
    <row r="1133" spans="1:26" ht="16.5" customHeight="1" x14ac:dyDescent="0.35">
      <c r="A1133" s="230"/>
      <c r="B1133" s="230"/>
      <c r="C1133" s="227" t="s">
        <v>276</v>
      </c>
      <c r="D1133" s="218">
        <v>2</v>
      </c>
      <c r="E1133" s="216">
        <v>2</v>
      </c>
      <c r="F1133" s="218" t="s">
        <v>33</v>
      </c>
      <c r="G1133" s="218" t="s">
        <v>49</v>
      </c>
      <c r="H1133" s="74" t="s">
        <v>46</v>
      </c>
      <c r="I1133" s="74" t="s">
        <v>61</v>
      </c>
      <c r="J1133" s="74" t="s">
        <v>197</v>
      </c>
      <c r="K1133" s="218" t="s">
        <v>54</v>
      </c>
      <c r="L1133" s="66"/>
      <c r="M1133" s="18"/>
      <c r="N1133" s="18"/>
      <c r="O1133" s="18"/>
      <c r="P1133" s="293"/>
      <c r="Q1133" s="295"/>
      <c r="R1133" s="294"/>
      <c r="S1133" s="18"/>
      <c r="T1133" s="293"/>
      <c r="U1133" s="295"/>
      <c r="V1133" s="294"/>
      <c r="W1133" s="18"/>
      <c r="X1133" s="18"/>
      <c r="Y1133" s="18"/>
      <c r="Z1133" s="18"/>
    </row>
    <row r="1134" spans="1:26" ht="16.5" customHeight="1" x14ac:dyDescent="0.35">
      <c r="A1134" s="230"/>
      <c r="B1134" s="230"/>
      <c r="C1134" s="217"/>
      <c r="D1134" s="217"/>
      <c r="E1134" s="217"/>
      <c r="F1134" s="217"/>
      <c r="G1134" s="217"/>
      <c r="H1134" s="74" t="s">
        <v>48</v>
      </c>
      <c r="I1134" s="74" t="s">
        <v>123</v>
      </c>
      <c r="J1134" s="74" t="s">
        <v>65</v>
      </c>
      <c r="K1134" s="217"/>
      <c r="L1134" s="66"/>
      <c r="M1134" s="18"/>
      <c r="N1134" s="18"/>
      <c r="O1134" s="18"/>
      <c r="P1134" s="284"/>
      <c r="Q1134" s="284"/>
      <c r="R1134" s="284"/>
      <c r="S1134" s="18"/>
      <c r="T1134" s="284"/>
      <c r="U1134" s="284"/>
      <c r="V1134" s="284"/>
      <c r="W1134" s="18"/>
      <c r="X1134" s="18"/>
      <c r="Y1134" s="18"/>
      <c r="Z1134" s="18"/>
    </row>
    <row r="1135" spans="1:26" ht="16.5" customHeight="1" x14ac:dyDescent="0.35">
      <c r="A1135" s="230"/>
      <c r="B1135" s="230"/>
      <c r="C1135" s="227" t="s">
        <v>99</v>
      </c>
      <c r="D1135" s="218">
        <v>3</v>
      </c>
      <c r="E1135" s="216">
        <v>3</v>
      </c>
      <c r="F1135" s="218" t="s">
        <v>33</v>
      </c>
      <c r="G1135" s="218" t="s">
        <v>76</v>
      </c>
      <c r="H1135" s="74" t="s">
        <v>35</v>
      </c>
      <c r="I1135" s="74" t="s">
        <v>36</v>
      </c>
      <c r="J1135" s="74" t="s">
        <v>92</v>
      </c>
      <c r="K1135" s="218" t="s">
        <v>38</v>
      </c>
      <c r="L1135" s="66"/>
      <c r="M1135" s="18"/>
      <c r="N1135" s="18"/>
      <c r="O1135" s="18"/>
      <c r="P1135" s="293"/>
      <c r="Q1135" s="295"/>
      <c r="R1135" s="294"/>
      <c r="S1135" s="18"/>
      <c r="T1135" s="293"/>
      <c r="U1135" s="295"/>
      <c r="V1135" s="294"/>
      <c r="W1135" s="18"/>
      <c r="X1135" s="18"/>
      <c r="Y1135" s="18"/>
      <c r="Z1135" s="18"/>
    </row>
    <row r="1136" spans="1:26" ht="16.5" customHeight="1" x14ac:dyDescent="0.35">
      <c r="A1136" s="230"/>
      <c r="B1136" s="230"/>
      <c r="C1136" s="217"/>
      <c r="D1136" s="217"/>
      <c r="E1136" s="217"/>
      <c r="F1136" s="217"/>
      <c r="G1136" s="217"/>
      <c r="H1136" s="74" t="s">
        <v>39</v>
      </c>
      <c r="I1136" s="74" t="s">
        <v>36</v>
      </c>
      <c r="J1136" s="74" t="s">
        <v>92</v>
      </c>
      <c r="K1136" s="217"/>
      <c r="L1136" s="66"/>
      <c r="M1136" s="18"/>
      <c r="N1136" s="18"/>
      <c r="O1136" s="18"/>
      <c r="P1136" s="284"/>
      <c r="Q1136" s="284"/>
      <c r="R1136" s="284"/>
      <c r="S1136" s="18"/>
      <c r="T1136" s="284"/>
      <c r="U1136" s="284"/>
      <c r="V1136" s="284"/>
      <c r="W1136" s="18"/>
      <c r="X1136" s="18"/>
      <c r="Y1136" s="18"/>
      <c r="Z1136" s="18"/>
    </row>
    <row r="1137" spans="1:26" ht="16.5" customHeight="1" x14ac:dyDescent="0.35">
      <c r="A1137" s="230"/>
      <c r="B1137" s="230"/>
      <c r="C1137" s="227" t="s">
        <v>281</v>
      </c>
      <c r="D1137" s="218">
        <v>3</v>
      </c>
      <c r="E1137" s="216">
        <v>3</v>
      </c>
      <c r="F1137" s="218" t="s">
        <v>33</v>
      </c>
      <c r="G1137" s="218" t="s">
        <v>103</v>
      </c>
      <c r="H1137" s="74" t="s">
        <v>39</v>
      </c>
      <c r="I1137" s="74" t="s">
        <v>36</v>
      </c>
      <c r="J1137" s="74" t="s">
        <v>92</v>
      </c>
      <c r="K1137" s="218" t="s">
        <v>54</v>
      </c>
      <c r="L1137" s="66"/>
      <c r="M1137" s="18"/>
      <c r="N1137" s="18"/>
      <c r="O1137" s="18"/>
      <c r="P1137" s="293"/>
      <c r="Q1137" s="295"/>
      <c r="R1137" s="294"/>
      <c r="S1137" s="18"/>
      <c r="T1137" s="293"/>
      <c r="U1137" s="295"/>
      <c r="V1137" s="294"/>
      <c r="W1137" s="18"/>
      <c r="X1137" s="18"/>
      <c r="Y1137" s="18"/>
      <c r="Z1137" s="18"/>
    </row>
    <row r="1138" spans="1:26" ht="16.5" customHeight="1" x14ac:dyDescent="0.35">
      <c r="A1138" s="230"/>
      <c r="B1138" s="230"/>
      <c r="C1138" s="217"/>
      <c r="D1138" s="217"/>
      <c r="E1138" s="217"/>
      <c r="F1138" s="217"/>
      <c r="G1138" s="217"/>
      <c r="H1138" s="67" t="s">
        <v>55</v>
      </c>
      <c r="I1138" s="74" t="s">
        <v>36</v>
      </c>
      <c r="J1138" s="74" t="s">
        <v>92</v>
      </c>
      <c r="K1138" s="217"/>
      <c r="L1138" s="66"/>
      <c r="M1138" s="18"/>
      <c r="N1138" s="18"/>
      <c r="O1138" s="18"/>
      <c r="P1138" s="284"/>
      <c r="Q1138" s="284"/>
      <c r="R1138" s="284"/>
      <c r="S1138" s="18"/>
      <c r="T1138" s="284"/>
      <c r="U1138" s="284"/>
      <c r="V1138" s="284"/>
      <c r="W1138" s="18"/>
      <c r="X1138" s="18"/>
      <c r="Y1138" s="18"/>
      <c r="Z1138" s="18"/>
    </row>
    <row r="1139" spans="1:26" ht="16.5" customHeight="1" x14ac:dyDescent="0.35">
      <c r="A1139" s="230"/>
      <c r="B1139" s="230"/>
      <c r="C1139" s="227" t="s">
        <v>281</v>
      </c>
      <c r="D1139" s="218">
        <v>3</v>
      </c>
      <c r="E1139" s="216">
        <v>3</v>
      </c>
      <c r="F1139" s="218" t="s">
        <v>33</v>
      </c>
      <c r="G1139" s="239" t="s">
        <v>104</v>
      </c>
      <c r="H1139" s="74" t="s">
        <v>39</v>
      </c>
      <c r="I1139" s="74" t="s">
        <v>40</v>
      </c>
      <c r="J1139" s="74" t="s">
        <v>47</v>
      </c>
      <c r="K1139" s="249" t="s">
        <v>54</v>
      </c>
      <c r="L1139" s="66"/>
      <c r="M1139" s="18"/>
      <c r="N1139" s="18"/>
      <c r="O1139" s="18"/>
      <c r="P1139" s="293"/>
      <c r="Q1139" s="295"/>
      <c r="R1139" s="294"/>
      <c r="S1139" s="18"/>
      <c r="T1139" s="293"/>
      <c r="U1139" s="295"/>
      <c r="V1139" s="294"/>
      <c r="W1139" s="18"/>
      <c r="X1139" s="18"/>
      <c r="Y1139" s="18"/>
      <c r="Z1139" s="18"/>
    </row>
    <row r="1140" spans="1:26" ht="16.5" customHeight="1" x14ac:dyDescent="0.35">
      <c r="A1140" s="230"/>
      <c r="B1140" s="217"/>
      <c r="C1140" s="217"/>
      <c r="D1140" s="217"/>
      <c r="E1140" s="217"/>
      <c r="F1140" s="217"/>
      <c r="G1140" s="240"/>
      <c r="H1140" s="74" t="s">
        <v>55</v>
      </c>
      <c r="I1140" s="74" t="s">
        <v>44</v>
      </c>
      <c r="J1140" s="74" t="s">
        <v>47</v>
      </c>
      <c r="K1140" s="250"/>
      <c r="L1140" s="66"/>
      <c r="M1140" s="18"/>
      <c r="N1140" s="18"/>
      <c r="O1140" s="18"/>
      <c r="P1140" s="284"/>
      <c r="Q1140" s="284"/>
      <c r="R1140" s="284"/>
      <c r="S1140" s="18"/>
      <c r="T1140" s="284"/>
      <c r="U1140" s="284"/>
      <c r="V1140" s="284"/>
      <c r="W1140" s="18"/>
      <c r="X1140" s="18"/>
      <c r="Y1140" s="18"/>
      <c r="Z1140" s="18"/>
    </row>
    <row r="1141" spans="1:26" ht="16.5" customHeight="1" x14ac:dyDescent="0.35">
      <c r="A1141" s="217"/>
      <c r="B1141" s="228" t="s">
        <v>72</v>
      </c>
      <c r="C1141" s="221"/>
      <c r="D1141" s="222"/>
      <c r="E1141" s="71">
        <f>SUM(E1127:E1140)</f>
        <v>17</v>
      </c>
      <c r="F1141" s="220"/>
      <c r="G1141" s="221"/>
      <c r="H1141" s="221"/>
      <c r="I1141" s="221"/>
      <c r="J1141" s="221"/>
      <c r="K1141" s="222"/>
      <c r="L1141" s="66"/>
      <c r="M1141" s="18"/>
      <c r="N1141" s="18"/>
      <c r="O1141" s="18"/>
      <c r="P1141" s="25"/>
      <c r="Q1141" s="25"/>
      <c r="R1141" s="25"/>
      <c r="S1141" s="18"/>
      <c r="T1141" s="293"/>
      <c r="U1141" s="295"/>
      <c r="V1141" s="294"/>
      <c r="W1141" s="18"/>
      <c r="X1141" s="18"/>
      <c r="Y1141" s="18"/>
      <c r="Z1141" s="18"/>
    </row>
    <row r="1142" spans="1:26" ht="16.5" customHeight="1" x14ac:dyDescent="0.35">
      <c r="A1142" s="229">
        <v>69</v>
      </c>
      <c r="B1142" s="238" t="s">
        <v>438</v>
      </c>
      <c r="C1142" s="227" t="s">
        <v>109</v>
      </c>
      <c r="D1142" s="218">
        <v>3</v>
      </c>
      <c r="E1142" s="216">
        <v>3</v>
      </c>
      <c r="F1142" s="218" t="s">
        <v>75</v>
      </c>
      <c r="G1142" s="218" t="s">
        <v>272</v>
      </c>
      <c r="H1142" s="74" t="s">
        <v>46</v>
      </c>
      <c r="I1142" s="74" t="s">
        <v>123</v>
      </c>
      <c r="J1142" s="74" t="s">
        <v>53</v>
      </c>
      <c r="K1142" s="218" t="s">
        <v>38</v>
      </c>
      <c r="L1142" s="66"/>
      <c r="M1142" s="22"/>
      <c r="N1142" s="22"/>
      <c r="O1142" s="22"/>
      <c r="P1142" s="293"/>
      <c r="Q1142" s="295"/>
      <c r="R1142" s="294"/>
      <c r="S1142" s="22"/>
      <c r="T1142" s="284"/>
      <c r="U1142" s="284"/>
      <c r="V1142" s="284"/>
      <c r="W1142" s="18"/>
      <c r="X1142" s="18"/>
      <c r="Y1142" s="18"/>
      <c r="Z1142" s="18"/>
    </row>
    <row r="1143" spans="1:26" ht="16.5" customHeight="1" x14ac:dyDescent="0.35">
      <c r="A1143" s="230"/>
      <c r="B1143" s="230"/>
      <c r="C1143" s="217"/>
      <c r="D1143" s="217"/>
      <c r="E1143" s="217"/>
      <c r="F1143" s="217"/>
      <c r="G1143" s="217"/>
      <c r="H1143" s="74" t="s">
        <v>48</v>
      </c>
      <c r="I1143" s="74" t="s">
        <v>123</v>
      </c>
      <c r="J1143" s="74" t="s">
        <v>169</v>
      </c>
      <c r="K1143" s="217"/>
      <c r="L1143" s="66"/>
      <c r="M1143" s="18"/>
      <c r="N1143" s="18"/>
      <c r="O1143" s="18"/>
      <c r="P1143" s="284"/>
      <c r="Q1143" s="284"/>
      <c r="R1143" s="284"/>
      <c r="S1143" s="18"/>
      <c r="T1143" s="293"/>
      <c r="U1143" s="295"/>
      <c r="V1143" s="294"/>
      <c r="W1143" s="18"/>
      <c r="X1143" s="18"/>
      <c r="Y1143" s="18"/>
      <c r="Z1143" s="18"/>
    </row>
    <row r="1144" spans="1:26" ht="16.5" customHeight="1" x14ac:dyDescent="0.35">
      <c r="A1144" s="230"/>
      <c r="B1144" s="230"/>
      <c r="C1144" s="227" t="s">
        <v>276</v>
      </c>
      <c r="D1144" s="218">
        <v>2</v>
      </c>
      <c r="E1144" s="216">
        <v>2</v>
      </c>
      <c r="F1144" s="218" t="s">
        <v>75</v>
      </c>
      <c r="G1144" s="218" t="s">
        <v>45</v>
      </c>
      <c r="H1144" s="74" t="s">
        <v>46</v>
      </c>
      <c r="I1144" s="74" t="s">
        <v>52</v>
      </c>
      <c r="J1144" s="74" t="s">
        <v>159</v>
      </c>
      <c r="K1144" s="218" t="s">
        <v>38</v>
      </c>
      <c r="L1144" s="66"/>
      <c r="M1144" s="18"/>
      <c r="N1144" s="18"/>
      <c r="O1144" s="18"/>
      <c r="P1144" s="293"/>
      <c r="Q1144" s="295"/>
      <c r="R1144" s="294"/>
      <c r="S1144" s="18"/>
      <c r="T1144" s="284"/>
      <c r="U1144" s="284"/>
      <c r="V1144" s="284"/>
      <c r="W1144" s="18"/>
      <c r="X1144" s="18"/>
      <c r="Y1144" s="18"/>
      <c r="Z1144" s="18"/>
    </row>
    <row r="1145" spans="1:26" ht="16.5" customHeight="1" x14ac:dyDescent="0.35">
      <c r="A1145" s="230"/>
      <c r="B1145" s="230"/>
      <c r="C1145" s="217"/>
      <c r="D1145" s="217"/>
      <c r="E1145" s="217"/>
      <c r="F1145" s="217"/>
      <c r="G1145" s="217"/>
      <c r="H1145" s="74" t="s">
        <v>48</v>
      </c>
      <c r="I1145" s="74" t="s">
        <v>131</v>
      </c>
      <c r="J1145" s="74" t="s">
        <v>155</v>
      </c>
      <c r="K1145" s="217"/>
      <c r="L1145" s="66"/>
      <c r="M1145" s="18"/>
      <c r="N1145" s="18"/>
      <c r="O1145" s="18"/>
      <c r="P1145" s="284"/>
      <c r="Q1145" s="284"/>
      <c r="R1145" s="284"/>
      <c r="S1145" s="18"/>
      <c r="T1145" s="18"/>
      <c r="U1145" s="18"/>
      <c r="V1145" s="18"/>
      <c r="W1145" s="18"/>
      <c r="X1145" s="18"/>
      <c r="Y1145" s="18"/>
      <c r="Z1145" s="18"/>
    </row>
    <row r="1146" spans="1:26" ht="16.5" customHeight="1" x14ac:dyDescent="0.35">
      <c r="A1146" s="230"/>
      <c r="B1146" s="230"/>
      <c r="C1146" s="227" t="s">
        <v>50</v>
      </c>
      <c r="D1146" s="218">
        <v>3</v>
      </c>
      <c r="E1146" s="216">
        <v>1.5</v>
      </c>
      <c r="F1146" s="218" t="s">
        <v>260</v>
      </c>
      <c r="G1146" s="218" t="s">
        <v>34</v>
      </c>
      <c r="H1146" s="74" t="s">
        <v>439</v>
      </c>
      <c r="I1146" s="74" t="s">
        <v>61</v>
      </c>
      <c r="J1146" s="74" t="s">
        <v>329</v>
      </c>
      <c r="K1146" s="218" t="s">
        <v>54</v>
      </c>
      <c r="L1146" s="66"/>
      <c r="M1146" s="18"/>
      <c r="N1146" s="18"/>
      <c r="O1146" s="18"/>
      <c r="P1146" s="293"/>
      <c r="Q1146" s="295"/>
      <c r="R1146" s="294"/>
      <c r="S1146" s="18"/>
      <c r="T1146" s="293"/>
      <c r="U1146" s="295"/>
      <c r="V1146" s="294"/>
      <c r="W1146" s="18"/>
      <c r="X1146" s="18"/>
      <c r="Y1146" s="18"/>
      <c r="Z1146" s="18"/>
    </row>
    <row r="1147" spans="1:26" ht="16.5" customHeight="1" x14ac:dyDescent="0.35">
      <c r="A1147" s="230"/>
      <c r="B1147" s="230"/>
      <c r="C1147" s="217"/>
      <c r="D1147" s="217"/>
      <c r="E1147" s="217"/>
      <c r="F1147" s="217"/>
      <c r="G1147" s="217"/>
      <c r="H1147" s="74" t="s">
        <v>48</v>
      </c>
      <c r="I1147" s="74" t="s">
        <v>59</v>
      </c>
      <c r="J1147" s="74" t="s">
        <v>264</v>
      </c>
      <c r="K1147" s="217"/>
      <c r="L1147" s="66"/>
      <c r="M1147" s="18"/>
      <c r="N1147" s="18"/>
      <c r="O1147" s="18"/>
      <c r="P1147" s="284"/>
      <c r="Q1147" s="284"/>
      <c r="R1147" s="284"/>
      <c r="S1147" s="18"/>
      <c r="T1147" s="284"/>
      <c r="U1147" s="284"/>
      <c r="V1147" s="284"/>
      <c r="W1147" s="18"/>
      <c r="X1147" s="18"/>
      <c r="Y1147" s="18"/>
      <c r="Z1147" s="18"/>
    </row>
    <row r="1148" spans="1:26" ht="16.5" customHeight="1" x14ac:dyDescent="0.35">
      <c r="A1148" s="230"/>
      <c r="B1148" s="230"/>
      <c r="C1148" s="227" t="s">
        <v>58</v>
      </c>
      <c r="D1148" s="218">
        <v>3</v>
      </c>
      <c r="E1148" s="216">
        <v>1.5</v>
      </c>
      <c r="F1148" s="218" t="s">
        <v>260</v>
      </c>
      <c r="G1148" s="218" t="s">
        <v>49</v>
      </c>
      <c r="H1148" s="74" t="s">
        <v>46</v>
      </c>
      <c r="I1148" s="74" t="s">
        <v>131</v>
      </c>
      <c r="J1148" s="74" t="s">
        <v>252</v>
      </c>
      <c r="K1148" s="218" t="s">
        <v>54</v>
      </c>
      <c r="L1148" s="66"/>
      <c r="M1148" s="18"/>
      <c r="N1148" s="18"/>
      <c r="O1148" s="18"/>
      <c r="P1148" s="293"/>
      <c r="Q1148" s="295"/>
      <c r="R1148" s="294"/>
      <c r="S1148" s="18"/>
      <c r="T1148" s="293"/>
      <c r="U1148" s="295"/>
      <c r="V1148" s="294"/>
      <c r="W1148" s="18"/>
      <c r="X1148" s="18"/>
      <c r="Y1148" s="18"/>
      <c r="Z1148" s="18"/>
    </row>
    <row r="1149" spans="1:26" ht="16.5" customHeight="1" x14ac:dyDescent="0.35">
      <c r="A1149" s="230"/>
      <c r="B1149" s="230"/>
      <c r="C1149" s="217"/>
      <c r="D1149" s="217"/>
      <c r="E1149" s="217"/>
      <c r="F1149" s="217"/>
      <c r="G1149" s="217"/>
      <c r="H1149" s="74" t="s">
        <v>48</v>
      </c>
      <c r="I1149" s="74" t="s">
        <v>131</v>
      </c>
      <c r="J1149" s="74">
        <v>4.42</v>
      </c>
      <c r="K1149" s="217"/>
      <c r="L1149" s="66"/>
      <c r="M1149" s="18"/>
      <c r="N1149" s="18"/>
      <c r="O1149" s="18"/>
      <c r="P1149" s="284"/>
      <c r="Q1149" s="284"/>
      <c r="R1149" s="284"/>
      <c r="S1149" s="18"/>
      <c r="T1149" s="284"/>
      <c r="U1149" s="284"/>
      <c r="V1149" s="284"/>
      <c r="W1149" s="18"/>
      <c r="X1149" s="18"/>
      <c r="Y1149" s="18"/>
      <c r="Z1149" s="18"/>
    </row>
    <row r="1150" spans="1:26" ht="16.5" customHeight="1" x14ac:dyDescent="0.35">
      <c r="A1150" s="230"/>
      <c r="B1150" s="230"/>
      <c r="C1150" s="227" t="s">
        <v>50</v>
      </c>
      <c r="D1150" s="218">
        <v>3</v>
      </c>
      <c r="E1150" s="216">
        <v>1.5</v>
      </c>
      <c r="F1150" s="218" t="s">
        <v>294</v>
      </c>
      <c r="G1150" s="218" t="s">
        <v>42</v>
      </c>
      <c r="H1150" s="74" t="s">
        <v>39</v>
      </c>
      <c r="I1150" s="74" t="s">
        <v>44</v>
      </c>
      <c r="J1150" s="74" t="s">
        <v>327</v>
      </c>
      <c r="K1150" s="218" t="s">
        <v>54</v>
      </c>
      <c r="L1150" s="66"/>
      <c r="M1150" s="18"/>
      <c r="N1150" s="18"/>
      <c r="O1150" s="18"/>
      <c r="P1150" s="293"/>
      <c r="Q1150" s="295"/>
      <c r="R1150" s="294"/>
      <c r="S1150" s="18"/>
      <c r="T1150" s="293"/>
      <c r="U1150" s="295"/>
      <c r="V1150" s="294"/>
      <c r="W1150" s="18"/>
      <c r="X1150" s="18"/>
      <c r="Y1150" s="18"/>
      <c r="Z1150" s="18"/>
    </row>
    <row r="1151" spans="1:26" ht="16.5" customHeight="1" x14ac:dyDescent="0.35">
      <c r="A1151" s="230"/>
      <c r="B1151" s="230"/>
      <c r="C1151" s="217"/>
      <c r="D1151" s="217"/>
      <c r="E1151" s="217"/>
      <c r="F1151" s="217"/>
      <c r="G1151" s="217"/>
      <c r="H1151" s="74" t="s">
        <v>119</v>
      </c>
      <c r="I1151" s="74" t="s">
        <v>36</v>
      </c>
      <c r="J1151" s="74" t="s">
        <v>440</v>
      </c>
      <c r="K1151" s="217"/>
      <c r="L1151" s="66"/>
      <c r="M1151" s="18"/>
      <c r="N1151" s="18"/>
      <c r="O1151" s="18"/>
      <c r="P1151" s="284"/>
      <c r="Q1151" s="284"/>
      <c r="R1151" s="284"/>
      <c r="S1151" s="18"/>
      <c r="T1151" s="284"/>
      <c r="U1151" s="284"/>
      <c r="V1151" s="284"/>
      <c r="W1151" s="18"/>
      <c r="X1151" s="18"/>
      <c r="Y1151" s="18"/>
      <c r="Z1151" s="18"/>
    </row>
    <row r="1152" spans="1:26" ht="16.5" customHeight="1" x14ac:dyDescent="0.35">
      <c r="A1152" s="230"/>
      <c r="B1152" s="230"/>
      <c r="C1152" s="227" t="s">
        <v>58</v>
      </c>
      <c r="D1152" s="218">
        <v>3</v>
      </c>
      <c r="E1152" s="216">
        <v>1.5</v>
      </c>
      <c r="F1152" s="218" t="s">
        <v>294</v>
      </c>
      <c r="G1152" s="218" t="s">
        <v>45</v>
      </c>
      <c r="H1152" s="74" t="s">
        <v>48</v>
      </c>
      <c r="I1152" s="74" t="s">
        <v>61</v>
      </c>
      <c r="J1152" s="74" t="s">
        <v>60</v>
      </c>
      <c r="K1152" s="218" t="s">
        <v>54</v>
      </c>
      <c r="L1152" s="66"/>
      <c r="M1152" s="18"/>
      <c r="N1152" s="18"/>
      <c r="O1152" s="18"/>
      <c r="P1152" s="293"/>
      <c r="Q1152" s="295"/>
      <c r="R1152" s="294"/>
      <c r="S1152" s="18"/>
      <c r="T1152" s="293"/>
      <c r="U1152" s="295"/>
      <c r="V1152" s="294"/>
      <c r="W1152" s="18"/>
      <c r="X1152" s="18"/>
      <c r="Y1152" s="18"/>
      <c r="Z1152" s="18"/>
    </row>
    <row r="1153" spans="1:26" ht="16.5" customHeight="1" x14ac:dyDescent="0.35">
      <c r="A1153" s="230"/>
      <c r="B1153" s="230"/>
      <c r="C1153" s="217"/>
      <c r="D1153" s="217"/>
      <c r="E1153" s="217"/>
      <c r="F1153" s="217"/>
      <c r="G1153" s="217"/>
      <c r="H1153" s="74" t="s">
        <v>55</v>
      </c>
      <c r="I1153" s="74" t="s">
        <v>61</v>
      </c>
      <c r="J1153" s="74" t="s">
        <v>60</v>
      </c>
      <c r="K1153" s="217"/>
      <c r="L1153" s="66"/>
      <c r="M1153" s="18"/>
      <c r="N1153" s="18"/>
      <c r="O1153" s="18"/>
      <c r="P1153" s="284"/>
      <c r="Q1153" s="284"/>
      <c r="R1153" s="284"/>
      <c r="S1153" s="18"/>
      <c r="T1153" s="284"/>
      <c r="U1153" s="284"/>
      <c r="V1153" s="284"/>
      <c r="W1153" s="18"/>
      <c r="X1153" s="18"/>
      <c r="Y1153" s="18"/>
      <c r="Z1153" s="18"/>
    </row>
    <row r="1154" spans="1:26" ht="16.5" customHeight="1" x14ac:dyDescent="0.35">
      <c r="A1154" s="230"/>
      <c r="B1154" s="217"/>
      <c r="C1154" s="94" t="s">
        <v>89</v>
      </c>
      <c r="D1154" s="74">
        <v>3</v>
      </c>
      <c r="E1154" s="81">
        <v>3</v>
      </c>
      <c r="F1154" s="74" t="s">
        <v>75</v>
      </c>
      <c r="G1154" s="74" t="s">
        <v>192</v>
      </c>
      <c r="H1154" s="74" t="s">
        <v>46</v>
      </c>
      <c r="I1154" s="74" t="s">
        <v>91</v>
      </c>
      <c r="J1154" s="74" t="s">
        <v>267</v>
      </c>
      <c r="K1154" s="74" t="s">
        <v>93</v>
      </c>
      <c r="L1154" s="66"/>
      <c r="M1154" s="18"/>
      <c r="N1154" s="18"/>
      <c r="O1154" s="18"/>
      <c r="P1154" s="18"/>
      <c r="Q1154" s="18"/>
      <c r="R1154" s="18"/>
      <c r="S1154" s="18"/>
      <c r="T1154" s="293"/>
      <c r="U1154" s="295"/>
      <c r="V1154" s="294"/>
      <c r="W1154" s="18"/>
      <c r="X1154" s="18"/>
      <c r="Y1154" s="18"/>
      <c r="Z1154" s="18"/>
    </row>
    <row r="1155" spans="1:26" ht="16.5" customHeight="1" x14ac:dyDescent="0.35">
      <c r="A1155" s="217"/>
      <c r="B1155" s="228" t="s">
        <v>72</v>
      </c>
      <c r="C1155" s="221"/>
      <c r="D1155" s="222"/>
      <c r="E1155" s="71">
        <f>SUM(E1142:E1154)</f>
        <v>14</v>
      </c>
      <c r="F1155" s="220"/>
      <c r="G1155" s="221"/>
      <c r="H1155" s="221"/>
      <c r="I1155" s="221"/>
      <c r="J1155" s="221"/>
      <c r="K1155" s="222"/>
      <c r="L1155" s="66"/>
      <c r="M1155" s="18"/>
      <c r="N1155" s="18"/>
      <c r="O1155" s="18"/>
      <c r="P1155" s="18"/>
      <c r="Q1155" s="18"/>
      <c r="R1155" s="18"/>
      <c r="S1155" s="18"/>
      <c r="T1155" s="284"/>
      <c r="U1155" s="284"/>
      <c r="V1155" s="284"/>
      <c r="W1155" s="18"/>
      <c r="X1155" s="18"/>
      <c r="Y1155" s="18"/>
      <c r="Z1155" s="18"/>
    </row>
    <row r="1156" spans="1:26" ht="16.5" customHeight="1" x14ac:dyDescent="0.35">
      <c r="A1156" s="86"/>
      <c r="B1156" s="60"/>
      <c r="C1156" s="60"/>
      <c r="D1156" s="61"/>
      <c r="E1156" s="62"/>
      <c r="F1156" s="61"/>
      <c r="G1156" s="61"/>
      <c r="H1156" s="61"/>
      <c r="I1156" s="61"/>
      <c r="J1156" s="61"/>
      <c r="K1156" s="61"/>
      <c r="L1156" s="66"/>
      <c r="M1156" s="18"/>
      <c r="N1156" s="18"/>
      <c r="O1156" s="18"/>
      <c r="P1156" s="18"/>
      <c r="Q1156" s="18"/>
      <c r="R1156" s="18"/>
      <c r="S1156" s="18"/>
      <c r="T1156" s="7"/>
      <c r="U1156" s="7"/>
      <c r="V1156" s="7"/>
      <c r="W1156" s="18"/>
      <c r="X1156" s="18"/>
      <c r="Y1156" s="18"/>
      <c r="Z1156" s="18"/>
    </row>
    <row r="1157" spans="1:26" ht="16.5" customHeight="1" x14ac:dyDescent="0.35">
      <c r="A1157" s="90"/>
      <c r="B1157" s="66"/>
      <c r="C1157" s="66"/>
      <c r="D1157" s="67"/>
      <c r="E1157" s="68"/>
      <c r="F1157" s="67"/>
      <c r="G1157" s="67"/>
      <c r="H1157" s="67"/>
      <c r="I1157" s="67"/>
      <c r="J1157" s="67"/>
      <c r="K1157" s="67"/>
      <c r="L1157" s="66"/>
      <c r="M1157" s="18"/>
      <c r="N1157" s="18"/>
      <c r="O1157" s="18"/>
      <c r="P1157" s="18"/>
      <c r="Q1157" s="18"/>
      <c r="R1157" s="18"/>
      <c r="S1157" s="18"/>
      <c r="T1157" s="7"/>
      <c r="U1157" s="7"/>
      <c r="V1157" s="7"/>
      <c r="W1157" s="18"/>
      <c r="X1157" s="18"/>
      <c r="Y1157" s="18"/>
      <c r="Z1157" s="18"/>
    </row>
    <row r="1158" spans="1:26" ht="16.5" customHeight="1" x14ac:dyDescent="0.35">
      <c r="A1158" s="90"/>
      <c r="B1158" s="66"/>
      <c r="C1158" s="66"/>
      <c r="D1158" s="67"/>
      <c r="E1158" s="68"/>
      <c r="F1158" s="67"/>
      <c r="G1158" s="67"/>
      <c r="H1158" s="67"/>
      <c r="I1158" s="67"/>
      <c r="J1158" s="67"/>
      <c r="K1158" s="67"/>
      <c r="L1158" s="66"/>
      <c r="M1158" s="18"/>
      <c r="N1158" s="18"/>
      <c r="O1158" s="18"/>
      <c r="P1158" s="18"/>
      <c r="Q1158" s="18"/>
      <c r="R1158" s="18"/>
      <c r="S1158" s="18"/>
      <c r="T1158" s="7"/>
      <c r="U1158" s="7"/>
      <c r="V1158" s="7"/>
      <c r="W1158" s="18"/>
      <c r="X1158" s="18"/>
      <c r="Y1158" s="18"/>
      <c r="Z1158" s="18"/>
    </row>
    <row r="1159" spans="1:26" ht="16.5" customHeight="1" x14ac:dyDescent="0.35">
      <c r="A1159" s="90"/>
      <c r="B1159" s="66"/>
      <c r="C1159" s="66"/>
      <c r="D1159" s="67"/>
      <c r="E1159" s="68"/>
      <c r="F1159" s="67"/>
      <c r="G1159" s="67"/>
      <c r="H1159" s="67"/>
      <c r="I1159" s="67"/>
      <c r="J1159" s="67"/>
      <c r="K1159" s="67"/>
      <c r="L1159" s="66"/>
      <c r="M1159" s="18"/>
      <c r="N1159" s="18"/>
      <c r="O1159" s="18"/>
      <c r="P1159" s="18"/>
      <c r="Q1159" s="18"/>
      <c r="R1159" s="18"/>
      <c r="S1159" s="18"/>
      <c r="T1159" s="7"/>
      <c r="U1159" s="7"/>
      <c r="V1159" s="7"/>
      <c r="W1159" s="18"/>
      <c r="X1159" s="18"/>
      <c r="Y1159" s="18"/>
      <c r="Z1159" s="18"/>
    </row>
    <row r="1160" spans="1:26" ht="16.5" customHeight="1" x14ac:dyDescent="0.35">
      <c r="A1160" s="90"/>
      <c r="B1160" s="66"/>
      <c r="C1160" s="66"/>
      <c r="D1160" s="67"/>
      <c r="E1160" s="68"/>
      <c r="F1160" s="67"/>
      <c r="G1160" s="67"/>
      <c r="H1160" s="67"/>
      <c r="I1160" s="67"/>
      <c r="J1160" s="67"/>
      <c r="K1160" s="67"/>
      <c r="L1160" s="66"/>
      <c r="M1160" s="18"/>
      <c r="N1160" s="18"/>
      <c r="O1160" s="18"/>
      <c r="P1160" s="18"/>
      <c r="Q1160" s="18"/>
      <c r="R1160" s="18"/>
      <c r="S1160" s="18"/>
      <c r="T1160" s="7"/>
      <c r="U1160" s="7"/>
      <c r="V1160" s="7"/>
      <c r="W1160" s="18"/>
      <c r="X1160" s="18"/>
      <c r="Y1160" s="18"/>
      <c r="Z1160" s="18"/>
    </row>
    <row r="1161" spans="1:26" ht="16.5" customHeight="1" x14ac:dyDescent="0.35">
      <c r="A1161" s="223" t="s">
        <v>7</v>
      </c>
      <c r="B1161" s="223" t="s">
        <v>8</v>
      </c>
      <c r="C1161" s="223" t="s">
        <v>9</v>
      </c>
      <c r="D1161" s="220" t="s">
        <v>10</v>
      </c>
      <c r="E1161" s="222"/>
      <c r="F1161" s="223" t="s">
        <v>11</v>
      </c>
      <c r="G1161" s="223" t="s">
        <v>12</v>
      </c>
      <c r="H1161" s="226" t="s">
        <v>13</v>
      </c>
      <c r="I1161" s="221"/>
      <c r="J1161" s="221"/>
      <c r="K1161" s="222"/>
      <c r="L1161" s="66"/>
      <c r="M1161" s="18"/>
      <c r="N1161" s="18"/>
      <c r="O1161" s="18"/>
      <c r="P1161" s="18"/>
      <c r="Q1161" s="18"/>
      <c r="R1161" s="18"/>
      <c r="S1161" s="18"/>
      <c r="T1161" s="7"/>
      <c r="U1161" s="7"/>
      <c r="V1161" s="7"/>
      <c r="W1161" s="18"/>
      <c r="X1161" s="18"/>
      <c r="Y1161" s="18"/>
      <c r="Z1161" s="18"/>
    </row>
    <row r="1162" spans="1:26" ht="16.5" customHeight="1" x14ac:dyDescent="0.35">
      <c r="A1162" s="217"/>
      <c r="B1162" s="217"/>
      <c r="C1162" s="217"/>
      <c r="D1162" s="70" t="s">
        <v>14</v>
      </c>
      <c r="E1162" s="71" t="s">
        <v>15</v>
      </c>
      <c r="F1162" s="217"/>
      <c r="G1162" s="217"/>
      <c r="H1162" s="70" t="s">
        <v>16</v>
      </c>
      <c r="I1162" s="70" t="s">
        <v>17</v>
      </c>
      <c r="J1162" s="70" t="s">
        <v>18</v>
      </c>
      <c r="K1162" s="70" t="s">
        <v>19</v>
      </c>
      <c r="L1162" s="66"/>
      <c r="M1162" s="18"/>
      <c r="N1162" s="18"/>
      <c r="O1162" s="18"/>
      <c r="P1162" s="18"/>
      <c r="Q1162" s="18"/>
      <c r="R1162" s="18"/>
      <c r="S1162" s="18"/>
      <c r="T1162" s="7"/>
      <c r="U1162" s="7"/>
      <c r="V1162" s="7"/>
      <c r="W1162" s="18"/>
      <c r="X1162" s="18"/>
      <c r="Y1162" s="18"/>
      <c r="Z1162" s="18"/>
    </row>
    <row r="1163" spans="1:26" ht="16.5" customHeight="1" x14ac:dyDescent="0.35">
      <c r="A1163" s="72" t="s">
        <v>20</v>
      </c>
      <c r="B1163" s="73" t="s">
        <v>21</v>
      </c>
      <c r="C1163" s="73" t="s">
        <v>22</v>
      </c>
      <c r="D1163" s="70" t="s">
        <v>23</v>
      </c>
      <c r="E1163" s="71" t="s">
        <v>24</v>
      </c>
      <c r="F1163" s="70" t="s">
        <v>25</v>
      </c>
      <c r="G1163" s="70" t="s">
        <v>26</v>
      </c>
      <c r="H1163" s="70" t="s">
        <v>27</v>
      </c>
      <c r="I1163" s="70" t="s">
        <v>28</v>
      </c>
      <c r="J1163" s="70" t="s">
        <v>29</v>
      </c>
      <c r="K1163" s="70" t="s">
        <v>30</v>
      </c>
      <c r="L1163" s="66"/>
      <c r="M1163" s="18"/>
      <c r="N1163" s="18"/>
      <c r="O1163" s="18"/>
      <c r="P1163" s="18"/>
      <c r="Q1163" s="18"/>
      <c r="R1163" s="18"/>
      <c r="S1163" s="18"/>
      <c r="T1163" s="7"/>
      <c r="U1163" s="7"/>
      <c r="V1163" s="7"/>
      <c r="W1163" s="18"/>
      <c r="X1163" s="18"/>
      <c r="Y1163" s="18"/>
      <c r="Z1163" s="18"/>
    </row>
    <row r="1164" spans="1:26" ht="16.5" customHeight="1" x14ac:dyDescent="0.35">
      <c r="A1164" s="229">
        <v>70</v>
      </c>
      <c r="B1164" s="238" t="s">
        <v>441</v>
      </c>
      <c r="C1164" s="227" t="s">
        <v>186</v>
      </c>
      <c r="D1164" s="218">
        <v>3</v>
      </c>
      <c r="E1164" s="216">
        <v>3</v>
      </c>
      <c r="F1164" s="218" t="s">
        <v>75</v>
      </c>
      <c r="G1164" s="218" t="s">
        <v>247</v>
      </c>
      <c r="H1164" s="74" t="s">
        <v>39</v>
      </c>
      <c r="I1164" s="74" t="s">
        <v>44</v>
      </c>
      <c r="J1164" s="74" t="s">
        <v>98</v>
      </c>
      <c r="K1164" s="218" t="s">
        <v>38</v>
      </c>
      <c r="L1164" s="66"/>
      <c r="M1164" s="17"/>
      <c r="N1164" s="17"/>
      <c r="O1164" s="17"/>
      <c r="P1164" s="293"/>
      <c r="Q1164" s="295"/>
      <c r="R1164" s="294"/>
      <c r="S1164" s="17"/>
      <c r="T1164" s="293"/>
      <c r="U1164" s="295"/>
      <c r="V1164" s="294"/>
      <c r="W1164" s="18"/>
      <c r="X1164" s="18"/>
      <c r="Y1164" s="18"/>
      <c r="Z1164" s="18"/>
    </row>
    <row r="1165" spans="1:26" ht="16.5" customHeight="1" x14ac:dyDescent="0.35">
      <c r="A1165" s="230"/>
      <c r="B1165" s="230"/>
      <c r="C1165" s="217"/>
      <c r="D1165" s="217"/>
      <c r="E1165" s="217"/>
      <c r="F1165" s="217"/>
      <c r="G1165" s="217"/>
      <c r="H1165" s="74" t="s">
        <v>55</v>
      </c>
      <c r="I1165" s="74" t="s">
        <v>44</v>
      </c>
      <c r="J1165" s="67" t="s">
        <v>78</v>
      </c>
      <c r="K1165" s="217"/>
      <c r="L1165" s="66"/>
      <c r="M1165" s="17"/>
      <c r="N1165" s="17"/>
      <c r="O1165" s="17"/>
      <c r="P1165" s="284"/>
      <c r="Q1165" s="284"/>
      <c r="R1165" s="284"/>
      <c r="S1165" s="18"/>
      <c r="T1165" s="284"/>
      <c r="U1165" s="284"/>
      <c r="V1165" s="284"/>
      <c r="W1165" s="18"/>
      <c r="X1165" s="18"/>
      <c r="Y1165" s="18"/>
      <c r="Z1165" s="18"/>
    </row>
    <row r="1166" spans="1:26" ht="16.5" customHeight="1" x14ac:dyDescent="0.35">
      <c r="A1166" s="230"/>
      <c r="B1166" s="230"/>
      <c r="C1166" s="227" t="s">
        <v>442</v>
      </c>
      <c r="D1166" s="218">
        <v>2</v>
      </c>
      <c r="E1166" s="216">
        <v>2</v>
      </c>
      <c r="F1166" s="218" t="s">
        <v>75</v>
      </c>
      <c r="G1166" s="218" t="s">
        <v>178</v>
      </c>
      <c r="H1166" s="74" t="s">
        <v>35</v>
      </c>
      <c r="I1166" s="74" t="s">
        <v>59</v>
      </c>
      <c r="J1166" s="74" t="s">
        <v>53</v>
      </c>
      <c r="K1166" s="218" t="s">
        <v>38</v>
      </c>
      <c r="L1166" s="66"/>
      <c r="M1166" s="18"/>
      <c r="N1166" s="18"/>
      <c r="O1166" s="18"/>
      <c r="P1166" s="293"/>
      <c r="Q1166" s="295"/>
      <c r="R1166" s="294"/>
      <c r="S1166" s="18"/>
      <c r="T1166" s="293"/>
      <c r="U1166" s="295"/>
      <c r="V1166" s="294"/>
      <c r="W1166" s="18"/>
      <c r="X1166" s="18"/>
      <c r="Y1166" s="18"/>
      <c r="Z1166" s="18"/>
    </row>
    <row r="1167" spans="1:26" ht="16.5" customHeight="1" x14ac:dyDescent="0.35">
      <c r="A1167" s="230"/>
      <c r="B1167" s="230"/>
      <c r="C1167" s="217"/>
      <c r="D1167" s="217"/>
      <c r="E1167" s="217"/>
      <c r="F1167" s="217"/>
      <c r="G1167" s="217"/>
      <c r="H1167" s="74" t="s">
        <v>55</v>
      </c>
      <c r="I1167" s="74" t="s">
        <v>56</v>
      </c>
      <c r="J1167" s="74" t="s">
        <v>208</v>
      </c>
      <c r="K1167" s="217"/>
      <c r="L1167" s="66"/>
      <c r="M1167" s="18"/>
      <c r="N1167" s="18"/>
      <c r="O1167" s="18"/>
      <c r="P1167" s="284"/>
      <c r="Q1167" s="284"/>
      <c r="R1167" s="284"/>
      <c r="S1167" s="18"/>
      <c r="T1167" s="284"/>
      <c r="U1167" s="284"/>
      <c r="V1167" s="284"/>
      <c r="W1167" s="18"/>
      <c r="X1167" s="18"/>
      <c r="Y1167" s="18"/>
      <c r="Z1167" s="18"/>
    </row>
    <row r="1168" spans="1:26" ht="16.5" customHeight="1" x14ac:dyDescent="0.35">
      <c r="A1168" s="230"/>
      <c r="B1168" s="230"/>
      <c r="C1168" s="227" t="s">
        <v>58</v>
      </c>
      <c r="D1168" s="218">
        <v>3</v>
      </c>
      <c r="E1168" s="216">
        <v>1.5</v>
      </c>
      <c r="F1168" s="218" t="s">
        <v>260</v>
      </c>
      <c r="G1168" s="218" t="s">
        <v>34</v>
      </c>
      <c r="H1168" s="74" t="s">
        <v>39</v>
      </c>
      <c r="I1168" s="74" t="s">
        <v>61</v>
      </c>
      <c r="J1168" s="74" t="s">
        <v>329</v>
      </c>
      <c r="K1168" s="218" t="s">
        <v>54</v>
      </c>
      <c r="L1168" s="66"/>
      <c r="M1168" s="18"/>
      <c r="N1168" s="18"/>
      <c r="O1168" s="18"/>
      <c r="P1168" s="293"/>
      <c r="Q1168" s="295"/>
      <c r="R1168" s="294"/>
      <c r="S1168" s="18"/>
      <c r="T1168" s="293"/>
      <c r="U1168" s="295"/>
      <c r="V1168" s="294"/>
      <c r="W1168" s="18"/>
      <c r="X1168" s="18"/>
      <c r="Y1168" s="18"/>
      <c r="Z1168" s="18"/>
    </row>
    <row r="1169" spans="1:26" ht="16.5" customHeight="1" x14ac:dyDescent="0.35">
      <c r="A1169" s="230"/>
      <c r="B1169" s="230"/>
      <c r="C1169" s="217"/>
      <c r="D1169" s="217"/>
      <c r="E1169" s="217"/>
      <c r="F1169" s="217"/>
      <c r="G1169" s="217"/>
      <c r="H1169" s="74" t="s">
        <v>55</v>
      </c>
      <c r="I1169" s="74" t="s">
        <v>59</v>
      </c>
      <c r="J1169" s="74" t="s">
        <v>264</v>
      </c>
      <c r="K1169" s="217"/>
      <c r="L1169" s="66"/>
      <c r="M1169" s="18"/>
      <c r="N1169" s="18"/>
      <c r="O1169" s="18"/>
      <c r="P1169" s="284"/>
      <c r="Q1169" s="284"/>
      <c r="R1169" s="284"/>
      <c r="S1169" s="18"/>
      <c r="T1169" s="284"/>
      <c r="U1169" s="284"/>
      <c r="V1169" s="284"/>
      <c r="W1169" s="18"/>
      <c r="X1169" s="18"/>
      <c r="Y1169" s="18"/>
      <c r="Z1169" s="18"/>
    </row>
    <row r="1170" spans="1:26" ht="16.5" customHeight="1" x14ac:dyDescent="0.35">
      <c r="A1170" s="230"/>
      <c r="B1170" s="230"/>
      <c r="C1170" s="227" t="s">
        <v>50</v>
      </c>
      <c r="D1170" s="218">
        <v>3</v>
      </c>
      <c r="E1170" s="216">
        <v>1.5</v>
      </c>
      <c r="F1170" s="218" t="s">
        <v>260</v>
      </c>
      <c r="G1170" s="218" t="s">
        <v>49</v>
      </c>
      <c r="H1170" s="74" t="s">
        <v>35</v>
      </c>
      <c r="I1170" s="74" t="s">
        <v>123</v>
      </c>
      <c r="J1170" s="74" t="s">
        <v>252</v>
      </c>
      <c r="K1170" s="218" t="s">
        <v>54</v>
      </c>
      <c r="L1170" s="66"/>
      <c r="M1170" s="18"/>
      <c r="N1170" s="18"/>
      <c r="O1170" s="18"/>
      <c r="P1170" s="293"/>
      <c r="Q1170" s="295"/>
      <c r="R1170" s="294"/>
      <c r="S1170" s="18"/>
      <c r="T1170" s="293"/>
      <c r="U1170" s="295"/>
      <c r="V1170" s="294"/>
      <c r="W1170" s="18"/>
      <c r="X1170" s="18"/>
      <c r="Y1170" s="18"/>
      <c r="Z1170" s="18"/>
    </row>
    <row r="1171" spans="1:26" ht="16.5" customHeight="1" x14ac:dyDescent="0.35">
      <c r="A1171" s="230"/>
      <c r="B1171" s="230"/>
      <c r="C1171" s="217"/>
      <c r="D1171" s="217"/>
      <c r="E1171" s="217"/>
      <c r="F1171" s="217"/>
      <c r="G1171" s="217"/>
      <c r="H1171" s="74" t="s">
        <v>39</v>
      </c>
      <c r="I1171" s="74" t="s">
        <v>131</v>
      </c>
      <c r="J1171" s="74">
        <v>4.42</v>
      </c>
      <c r="K1171" s="217"/>
      <c r="L1171" s="66"/>
      <c r="M1171" s="18"/>
      <c r="N1171" s="18"/>
      <c r="O1171" s="18"/>
      <c r="P1171" s="284"/>
      <c r="Q1171" s="284"/>
      <c r="R1171" s="284"/>
      <c r="S1171" s="18"/>
      <c r="T1171" s="284"/>
      <c r="U1171" s="284"/>
      <c r="V1171" s="284"/>
      <c r="W1171" s="18"/>
      <c r="X1171" s="18"/>
      <c r="Y1171" s="18"/>
      <c r="Z1171" s="18"/>
    </row>
    <row r="1172" spans="1:26" ht="16.5" customHeight="1" x14ac:dyDescent="0.35">
      <c r="A1172" s="230"/>
      <c r="B1172" s="230"/>
      <c r="C1172" s="227" t="s">
        <v>58</v>
      </c>
      <c r="D1172" s="218">
        <v>3</v>
      </c>
      <c r="E1172" s="216">
        <v>1.5</v>
      </c>
      <c r="F1172" s="218" t="s">
        <v>294</v>
      </c>
      <c r="G1172" s="218" t="s">
        <v>42</v>
      </c>
      <c r="H1172" s="74" t="s">
        <v>48</v>
      </c>
      <c r="I1172" s="74" t="s">
        <v>61</v>
      </c>
      <c r="J1172" s="74" t="s">
        <v>60</v>
      </c>
      <c r="K1172" s="218" t="s">
        <v>54</v>
      </c>
      <c r="L1172" s="66" t="s">
        <v>102</v>
      </c>
      <c r="M1172" s="18"/>
      <c r="N1172" s="18"/>
      <c r="O1172" s="18"/>
      <c r="P1172" s="293"/>
      <c r="Q1172" s="295"/>
      <c r="R1172" s="294"/>
      <c r="S1172" s="18"/>
      <c r="T1172" s="293"/>
      <c r="U1172" s="295"/>
      <c r="V1172" s="294"/>
      <c r="W1172" s="18"/>
      <c r="X1172" s="18"/>
      <c r="Y1172" s="18"/>
      <c r="Z1172" s="18"/>
    </row>
    <row r="1173" spans="1:26" ht="16.5" customHeight="1" x14ac:dyDescent="0.35">
      <c r="A1173" s="230"/>
      <c r="B1173" s="230"/>
      <c r="C1173" s="217"/>
      <c r="D1173" s="217"/>
      <c r="E1173" s="217"/>
      <c r="F1173" s="217"/>
      <c r="G1173" s="217"/>
      <c r="H1173" s="74" t="s">
        <v>55</v>
      </c>
      <c r="I1173" s="74" t="s">
        <v>61</v>
      </c>
      <c r="J1173" s="74" t="s">
        <v>60</v>
      </c>
      <c r="K1173" s="217"/>
      <c r="L1173" s="66"/>
      <c r="M1173" s="18"/>
      <c r="N1173" s="18"/>
      <c r="O1173" s="18"/>
      <c r="P1173" s="284"/>
      <c r="Q1173" s="284"/>
      <c r="R1173" s="284"/>
      <c r="S1173" s="18"/>
      <c r="T1173" s="284"/>
      <c r="U1173" s="284"/>
      <c r="V1173" s="284"/>
      <c r="W1173" s="18"/>
      <c r="X1173" s="18"/>
      <c r="Y1173" s="18"/>
      <c r="Z1173" s="18"/>
    </row>
    <row r="1174" spans="1:26" ht="16.5" customHeight="1" x14ac:dyDescent="0.35">
      <c r="A1174" s="230"/>
      <c r="B1174" s="230"/>
      <c r="C1174" s="227" t="s">
        <v>50</v>
      </c>
      <c r="D1174" s="218">
        <v>3</v>
      </c>
      <c r="E1174" s="216">
        <v>1.5</v>
      </c>
      <c r="F1174" s="218" t="s">
        <v>294</v>
      </c>
      <c r="G1174" s="218" t="s">
        <v>45</v>
      </c>
      <c r="H1174" s="74" t="s">
        <v>39</v>
      </c>
      <c r="I1174" s="74" t="s">
        <v>44</v>
      </c>
      <c r="J1174" s="74" t="s">
        <v>328</v>
      </c>
      <c r="K1174" s="218" t="s">
        <v>54</v>
      </c>
      <c r="L1174" s="66" t="s">
        <v>102</v>
      </c>
      <c r="M1174" s="18"/>
      <c r="N1174" s="18"/>
      <c r="O1174" s="18"/>
      <c r="P1174" s="293"/>
      <c r="Q1174" s="295"/>
      <c r="R1174" s="294"/>
      <c r="S1174" s="18"/>
      <c r="T1174" s="293"/>
      <c r="U1174" s="295"/>
      <c r="V1174" s="294"/>
      <c r="W1174" s="18"/>
      <c r="X1174" s="18"/>
      <c r="Y1174" s="18"/>
      <c r="Z1174" s="18"/>
    </row>
    <row r="1175" spans="1:26" ht="16.5" customHeight="1" x14ac:dyDescent="0.35">
      <c r="A1175" s="230"/>
      <c r="B1175" s="230"/>
      <c r="C1175" s="217"/>
      <c r="D1175" s="217"/>
      <c r="E1175" s="217"/>
      <c r="F1175" s="217"/>
      <c r="G1175" s="217"/>
      <c r="H1175" s="74" t="s">
        <v>119</v>
      </c>
      <c r="I1175" s="74" t="s">
        <v>443</v>
      </c>
      <c r="J1175" s="74" t="s">
        <v>295</v>
      </c>
      <c r="K1175" s="217"/>
      <c r="L1175" s="66"/>
      <c r="M1175" s="18"/>
      <c r="N1175" s="18"/>
      <c r="O1175" s="18"/>
      <c r="P1175" s="284"/>
      <c r="Q1175" s="284"/>
      <c r="R1175" s="284"/>
      <c r="S1175" s="18"/>
      <c r="T1175" s="284"/>
      <c r="U1175" s="284"/>
      <c r="V1175" s="284"/>
      <c r="W1175" s="18"/>
      <c r="X1175" s="18"/>
      <c r="Y1175" s="18"/>
      <c r="Z1175" s="18"/>
    </row>
    <row r="1176" spans="1:26" ht="16.5" customHeight="1" x14ac:dyDescent="0.35">
      <c r="A1176" s="230"/>
      <c r="B1176" s="217"/>
      <c r="C1176" s="94" t="s">
        <v>191</v>
      </c>
      <c r="D1176" s="74">
        <v>3</v>
      </c>
      <c r="E1176" s="81">
        <v>3</v>
      </c>
      <c r="F1176" s="74" t="s">
        <v>75</v>
      </c>
      <c r="G1176" s="74" t="s">
        <v>444</v>
      </c>
      <c r="H1176" s="74" t="s">
        <v>119</v>
      </c>
      <c r="I1176" s="74" t="s">
        <v>82</v>
      </c>
      <c r="J1176" s="74" t="s">
        <v>445</v>
      </c>
      <c r="K1176" s="74" t="s">
        <v>93</v>
      </c>
      <c r="L1176" s="66"/>
      <c r="M1176" s="18"/>
      <c r="N1176" s="18"/>
      <c r="O1176" s="18"/>
      <c r="P1176" s="18"/>
      <c r="Q1176" s="18"/>
      <c r="R1176" s="18"/>
      <c r="S1176" s="18"/>
      <c r="T1176" s="293"/>
      <c r="U1176" s="295"/>
      <c r="V1176" s="294"/>
      <c r="W1176" s="18"/>
      <c r="X1176" s="18"/>
      <c r="Y1176" s="18"/>
      <c r="Z1176" s="18"/>
    </row>
    <row r="1177" spans="1:26" ht="16.5" customHeight="1" x14ac:dyDescent="0.35">
      <c r="A1177" s="217"/>
      <c r="B1177" s="228" t="s">
        <v>72</v>
      </c>
      <c r="C1177" s="221"/>
      <c r="D1177" s="222"/>
      <c r="E1177" s="71">
        <f>SUM(E1164:E1176)</f>
        <v>14</v>
      </c>
      <c r="F1177" s="220"/>
      <c r="G1177" s="221"/>
      <c r="H1177" s="221"/>
      <c r="I1177" s="221"/>
      <c r="J1177" s="221"/>
      <c r="K1177" s="222"/>
      <c r="L1177" s="66"/>
      <c r="M1177" s="18"/>
      <c r="N1177" s="18"/>
      <c r="O1177" s="18"/>
      <c r="P1177" s="18"/>
      <c r="Q1177" s="18"/>
      <c r="R1177" s="18"/>
      <c r="S1177" s="18"/>
      <c r="T1177" s="284"/>
      <c r="U1177" s="284"/>
      <c r="V1177" s="284"/>
      <c r="W1177" s="18"/>
      <c r="X1177" s="18"/>
      <c r="Y1177" s="18"/>
      <c r="Z1177" s="18"/>
    </row>
    <row r="1178" spans="1:26" ht="16.5" customHeight="1" x14ac:dyDescent="0.35">
      <c r="A1178" s="229">
        <v>71</v>
      </c>
      <c r="B1178" s="238" t="s">
        <v>446</v>
      </c>
      <c r="C1178" s="227" t="s">
        <v>122</v>
      </c>
      <c r="D1178" s="218">
        <v>2</v>
      </c>
      <c r="E1178" s="216">
        <v>2</v>
      </c>
      <c r="F1178" s="218" t="s">
        <v>106</v>
      </c>
      <c r="G1178" s="218" t="s">
        <v>34</v>
      </c>
      <c r="H1178" s="74" t="s">
        <v>35</v>
      </c>
      <c r="I1178" s="74" t="s">
        <v>59</v>
      </c>
      <c r="J1178" s="74" t="s">
        <v>143</v>
      </c>
      <c r="K1178" s="218" t="s">
        <v>54</v>
      </c>
      <c r="L1178" s="66"/>
      <c r="M1178" s="18"/>
      <c r="N1178" s="18"/>
      <c r="O1178" s="18"/>
      <c r="P1178" s="293"/>
      <c r="Q1178" s="295"/>
      <c r="R1178" s="294"/>
      <c r="S1178" s="18"/>
      <c r="T1178" s="18"/>
      <c r="U1178" s="18"/>
      <c r="V1178" s="18"/>
      <c r="W1178" s="18"/>
      <c r="X1178" s="18"/>
      <c r="Y1178" s="18"/>
      <c r="Z1178" s="18"/>
    </row>
    <row r="1179" spans="1:26" ht="16.5" customHeight="1" x14ac:dyDescent="0.35">
      <c r="A1179" s="230"/>
      <c r="B1179" s="230"/>
      <c r="C1179" s="217"/>
      <c r="D1179" s="217"/>
      <c r="E1179" s="217"/>
      <c r="F1179" s="217"/>
      <c r="G1179" s="217"/>
      <c r="H1179" s="74" t="s">
        <v>55</v>
      </c>
      <c r="I1179" s="74" t="s">
        <v>56</v>
      </c>
      <c r="J1179" s="74" t="s">
        <v>107</v>
      </c>
      <c r="K1179" s="217"/>
      <c r="L1179" s="66"/>
      <c r="M1179" s="18"/>
      <c r="N1179" s="18"/>
      <c r="O1179" s="18"/>
      <c r="P1179" s="284"/>
      <c r="Q1179" s="284"/>
      <c r="R1179" s="284"/>
      <c r="S1179" s="18"/>
      <c r="T1179" s="293"/>
      <c r="U1179" s="295"/>
      <c r="V1179" s="294"/>
      <c r="W1179" s="18"/>
      <c r="X1179" s="18"/>
      <c r="Y1179" s="18"/>
      <c r="Z1179" s="18"/>
    </row>
    <row r="1180" spans="1:26" ht="16.5" customHeight="1" x14ac:dyDescent="0.35">
      <c r="A1180" s="230"/>
      <c r="B1180" s="230"/>
      <c r="C1180" s="227" t="s">
        <v>447</v>
      </c>
      <c r="D1180" s="218">
        <v>2</v>
      </c>
      <c r="E1180" s="216">
        <v>2</v>
      </c>
      <c r="F1180" s="218" t="s">
        <v>106</v>
      </c>
      <c r="G1180" s="218" t="s">
        <v>136</v>
      </c>
      <c r="H1180" s="74" t="s">
        <v>46</v>
      </c>
      <c r="I1180" s="74" t="s">
        <v>131</v>
      </c>
      <c r="J1180" s="74" t="s">
        <v>107</v>
      </c>
      <c r="K1180" s="218" t="s">
        <v>38</v>
      </c>
      <c r="L1180" s="66"/>
      <c r="M1180" s="18"/>
      <c r="N1180" s="18"/>
      <c r="O1180" s="18"/>
      <c r="P1180" s="293"/>
      <c r="Q1180" s="295"/>
      <c r="R1180" s="294"/>
      <c r="S1180" s="18"/>
      <c r="T1180" s="284"/>
      <c r="U1180" s="284"/>
      <c r="V1180" s="284"/>
      <c r="W1180" s="18"/>
      <c r="X1180" s="18"/>
      <c r="Y1180" s="18"/>
      <c r="Z1180" s="18"/>
    </row>
    <row r="1181" spans="1:26" ht="16.5" customHeight="1" x14ac:dyDescent="0.35">
      <c r="A1181" s="230"/>
      <c r="B1181" s="230"/>
      <c r="C1181" s="217"/>
      <c r="D1181" s="217"/>
      <c r="E1181" s="217"/>
      <c r="F1181" s="217"/>
      <c r="G1181" s="217"/>
      <c r="H1181" s="74" t="s">
        <v>39</v>
      </c>
      <c r="I1181" s="74" t="s">
        <v>123</v>
      </c>
      <c r="J1181" s="74" t="s">
        <v>107</v>
      </c>
      <c r="K1181" s="217"/>
      <c r="L1181" s="66"/>
      <c r="M1181" s="18"/>
      <c r="N1181" s="18"/>
      <c r="O1181" s="18"/>
      <c r="P1181" s="284"/>
      <c r="Q1181" s="284"/>
      <c r="R1181" s="284"/>
      <c r="S1181" s="18"/>
      <c r="T1181" s="293"/>
      <c r="U1181" s="295"/>
      <c r="V1181" s="294"/>
      <c r="W1181" s="18"/>
      <c r="X1181" s="18"/>
      <c r="Y1181" s="18"/>
      <c r="Z1181" s="18"/>
    </row>
    <row r="1182" spans="1:26" ht="16.5" customHeight="1" x14ac:dyDescent="0.35">
      <c r="A1182" s="230"/>
      <c r="B1182" s="230"/>
      <c r="C1182" s="227" t="s">
        <v>448</v>
      </c>
      <c r="D1182" s="218">
        <v>2</v>
      </c>
      <c r="E1182" s="216">
        <v>2</v>
      </c>
      <c r="F1182" s="218" t="s">
        <v>106</v>
      </c>
      <c r="G1182" s="218" t="s">
        <v>136</v>
      </c>
      <c r="H1182" s="74" t="s">
        <v>35</v>
      </c>
      <c r="I1182" s="74" t="s">
        <v>56</v>
      </c>
      <c r="J1182" s="74" t="s">
        <v>107</v>
      </c>
      <c r="K1182" s="218" t="s">
        <v>38</v>
      </c>
      <c r="L1182" s="66"/>
      <c r="M1182" s="18"/>
      <c r="N1182" s="18"/>
      <c r="O1182" s="18"/>
      <c r="P1182" s="293"/>
      <c r="Q1182" s="295"/>
      <c r="R1182" s="294"/>
      <c r="S1182" s="18"/>
      <c r="T1182" s="284"/>
      <c r="U1182" s="284"/>
      <c r="V1182" s="284"/>
      <c r="W1182" s="18"/>
      <c r="X1182" s="18"/>
      <c r="Y1182" s="18"/>
      <c r="Z1182" s="18"/>
    </row>
    <row r="1183" spans="1:26" ht="16.5" customHeight="1" x14ac:dyDescent="0.35">
      <c r="A1183" s="230"/>
      <c r="B1183" s="230"/>
      <c r="C1183" s="217"/>
      <c r="D1183" s="217"/>
      <c r="E1183" s="217"/>
      <c r="F1183" s="217"/>
      <c r="G1183" s="217"/>
      <c r="H1183" s="74" t="s">
        <v>48</v>
      </c>
      <c r="I1183" s="74" t="s">
        <v>59</v>
      </c>
      <c r="J1183" s="74" t="s">
        <v>197</v>
      </c>
      <c r="K1183" s="217"/>
      <c r="L1183" s="66"/>
      <c r="M1183" s="18"/>
      <c r="N1183" s="18"/>
      <c r="O1183" s="18"/>
      <c r="P1183" s="284"/>
      <c r="Q1183" s="284"/>
      <c r="R1183" s="284"/>
      <c r="S1183" s="18"/>
      <c r="T1183" s="293"/>
      <c r="U1183" s="295"/>
      <c r="V1183" s="294"/>
      <c r="W1183" s="18"/>
      <c r="X1183" s="18"/>
      <c r="Y1183" s="18"/>
      <c r="Z1183" s="18"/>
    </row>
    <row r="1184" spans="1:26" ht="16.5" customHeight="1" x14ac:dyDescent="0.35">
      <c r="A1184" s="230"/>
      <c r="B1184" s="230"/>
      <c r="C1184" s="227" t="s">
        <v>424</v>
      </c>
      <c r="D1184" s="218">
        <v>2</v>
      </c>
      <c r="E1184" s="216">
        <v>2</v>
      </c>
      <c r="F1184" s="218" t="s">
        <v>106</v>
      </c>
      <c r="G1184" s="218" t="s">
        <v>136</v>
      </c>
      <c r="H1184" s="74" t="s">
        <v>46</v>
      </c>
      <c r="I1184" s="74" t="s">
        <v>52</v>
      </c>
      <c r="J1184" s="74" t="s">
        <v>98</v>
      </c>
      <c r="K1184" s="218" t="s">
        <v>54</v>
      </c>
      <c r="L1184" s="66"/>
      <c r="M1184" s="18"/>
      <c r="N1184" s="18"/>
      <c r="O1184" s="18"/>
      <c r="P1184" s="293"/>
      <c r="Q1184" s="295"/>
      <c r="R1184" s="294"/>
      <c r="S1184" s="18"/>
      <c r="T1184" s="284"/>
      <c r="U1184" s="284"/>
      <c r="V1184" s="284"/>
      <c r="W1184" s="18"/>
      <c r="X1184" s="18"/>
      <c r="Y1184" s="18"/>
      <c r="Z1184" s="18"/>
    </row>
    <row r="1185" spans="1:26" ht="16.5" customHeight="1" x14ac:dyDescent="0.35">
      <c r="A1185" s="230"/>
      <c r="B1185" s="230"/>
      <c r="C1185" s="217"/>
      <c r="D1185" s="217"/>
      <c r="E1185" s="217"/>
      <c r="F1185" s="217"/>
      <c r="G1185" s="217"/>
      <c r="H1185" s="74" t="s">
        <v>48</v>
      </c>
      <c r="I1185" s="74" t="s">
        <v>52</v>
      </c>
      <c r="J1185" s="74" t="s">
        <v>98</v>
      </c>
      <c r="K1185" s="217"/>
      <c r="L1185" s="66"/>
      <c r="M1185" s="18"/>
      <c r="N1185" s="18"/>
      <c r="O1185" s="18"/>
      <c r="P1185" s="284"/>
      <c r="Q1185" s="284"/>
      <c r="R1185" s="284"/>
      <c r="S1185" s="18"/>
      <c r="T1185" s="293"/>
      <c r="U1185" s="295"/>
      <c r="V1185" s="294"/>
      <c r="W1185" s="18"/>
      <c r="X1185" s="18"/>
      <c r="Y1185" s="18"/>
      <c r="Z1185" s="18"/>
    </row>
    <row r="1186" spans="1:26" ht="16.5" customHeight="1" x14ac:dyDescent="0.35">
      <c r="A1186" s="230"/>
      <c r="B1186" s="230"/>
      <c r="C1186" s="227" t="s">
        <v>449</v>
      </c>
      <c r="D1186" s="218">
        <v>3</v>
      </c>
      <c r="E1186" s="216">
        <v>3</v>
      </c>
      <c r="F1186" s="218" t="s">
        <v>51</v>
      </c>
      <c r="G1186" s="218" t="s">
        <v>136</v>
      </c>
      <c r="H1186" s="74" t="s">
        <v>35</v>
      </c>
      <c r="I1186" s="74" t="s">
        <v>44</v>
      </c>
      <c r="J1186" s="74" t="s">
        <v>132</v>
      </c>
      <c r="K1186" s="218" t="s">
        <v>54</v>
      </c>
      <c r="L1186" s="66"/>
      <c r="M1186" s="18"/>
      <c r="N1186" s="18"/>
      <c r="O1186" s="18"/>
      <c r="P1186" s="293"/>
      <c r="Q1186" s="295"/>
      <c r="R1186" s="294"/>
      <c r="S1186" s="18"/>
      <c r="T1186" s="284"/>
      <c r="U1186" s="284"/>
      <c r="V1186" s="284"/>
      <c r="W1186" s="18"/>
      <c r="X1186" s="18"/>
      <c r="Y1186" s="18"/>
      <c r="Z1186" s="18"/>
    </row>
    <row r="1187" spans="1:26" ht="16.5" customHeight="1" x14ac:dyDescent="0.35">
      <c r="A1187" s="230"/>
      <c r="B1187" s="230"/>
      <c r="C1187" s="217"/>
      <c r="D1187" s="217"/>
      <c r="E1187" s="217"/>
      <c r="F1187" s="217"/>
      <c r="G1187" s="217"/>
      <c r="H1187" s="74" t="s">
        <v>39</v>
      </c>
      <c r="I1187" s="74" t="s">
        <v>44</v>
      </c>
      <c r="J1187" s="74" t="s">
        <v>152</v>
      </c>
      <c r="K1187" s="217"/>
      <c r="L1187" s="66"/>
      <c r="M1187" s="7"/>
      <c r="N1187" s="7"/>
      <c r="O1187" s="7"/>
      <c r="P1187" s="284"/>
      <c r="Q1187" s="284"/>
      <c r="R1187" s="284"/>
      <c r="S1187" s="18"/>
      <c r="T1187" s="293"/>
      <c r="U1187" s="295"/>
      <c r="V1187" s="294"/>
      <c r="W1187" s="18"/>
      <c r="X1187" s="18"/>
      <c r="Y1187" s="18"/>
      <c r="Z1187" s="18"/>
    </row>
    <row r="1188" spans="1:26" ht="16.5" customHeight="1" x14ac:dyDescent="0.35">
      <c r="A1188" s="230"/>
      <c r="B1188" s="230"/>
      <c r="C1188" s="227" t="s">
        <v>449</v>
      </c>
      <c r="D1188" s="218">
        <v>3</v>
      </c>
      <c r="E1188" s="216">
        <v>3</v>
      </c>
      <c r="F1188" s="218" t="s">
        <v>51</v>
      </c>
      <c r="G1188" s="218" t="s">
        <v>76</v>
      </c>
      <c r="H1188" s="74" t="s">
        <v>35</v>
      </c>
      <c r="I1188" s="74" t="s">
        <v>36</v>
      </c>
      <c r="J1188" s="74" t="s">
        <v>132</v>
      </c>
      <c r="K1188" s="218" t="s">
        <v>54</v>
      </c>
      <c r="L1188" s="66"/>
      <c r="M1188" s="18"/>
      <c r="N1188" s="18"/>
      <c r="O1188" s="18"/>
      <c r="P1188" s="293"/>
      <c r="Q1188" s="295"/>
      <c r="R1188" s="294"/>
      <c r="S1188" s="18"/>
      <c r="T1188" s="284"/>
      <c r="U1188" s="284"/>
      <c r="V1188" s="284"/>
      <c r="W1188" s="18"/>
      <c r="X1188" s="18"/>
      <c r="Y1188" s="18"/>
      <c r="Z1188" s="18"/>
    </row>
    <row r="1189" spans="1:26" ht="16.5" customHeight="1" x14ac:dyDescent="0.35">
      <c r="A1189" s="230"/>
      <c r="B1189" s="230"/>
      <c r="C1189" s="217"/>
      <c r="D1189" s="217"/>
      <c r="E1189" s="217"/>
      <c r="F1189" s="217"/>
      <c r="G1189" s="217"/>
      <c r="H1189" s="74" t="s">
        <v>48</v>
      </c>
      <c r="I1189" s="74" t="s">
        <v>44</v>
      </c>
      <c r="J1189" s="74" t="s">
        <v>132</v>
      </c>
      <c r="K1189" s="217"/>
      <c r="L1189" s="66" t="s">
        <v>102</v>
      </c>
      <c r="M1189" s="18"/>
      <c r="N1189" s="18"/>
      <c r="O1189" s="18"/>
      <c r="P1189" s="284"/>
      <c r="Q1189" s="284"/>
      <c r="R1189" s="284"/>
      <c r="S1189" s="18"/>
      <c r="T1189" s="18"/>
      <c r="U1189" s="18"/>
      <c r="V1189" s="18"/>
      <c r="W1189" s="18"/>
      <c r="X1189" s="18"/>
      <c r="Y1189" s="18"/>
      <c r="Z1189" s="18"/>
    </row>
    <row r="1190" spans="1:26" ht="16.5" customHeight="1" x14ac:dyDescent="0.35">
      <c r="A1190" s="230"/>
      <c r="B1190" s="230"/>
      <c r="C1190" s="227" t="s">
        <v>449</v>
      </c>
      <c r="D1190" s="218">
        <v>3</v>
      </c>
      <c r="E1190" s="216">
        <v>3</v>
      </c>
      <c r="F1190" s="218" t="s">
        <v>51</v>
      </c>
      <c r="G1190" s="218" t="s">
        <v>79</v>
      </c>
      <c r="H1190" s="74" t="s">
        <v>46</v>
      </c>
      <c r="I1190" s="74" t="s">
        <v>66</v>
      </c>
      <c r="J1190" s="74" t="s">
        <v>78</v>
      </c>
      <c r="K1190" s="218" t="s">
        <v>38</v>
      </c>
      <c r="L1190" s="66"/>
      <c r="M1190" s="18"/>
      <c r="N1190" s="18"/>
      <c r="O1190" s="18"/>
      <c r="P1190" s="293"/>
      <c r="Q1190" s="295"/>
      <c r="R1190" s="294"/>
      <c r="S1190" s="18"/>
      <c r="T1190" s="18"/>
      <c r="U1190" s="18"/>
      <c r="V1190" s="18"/>
      <c r="W1190" s="18"/>
      <c r="X1190" s="18"/>
      <c r="Y1190" s="18"/>
      <c r="Z1190" s="18"/>
    </row>
    <row r="1191" spans="1:26" ht="16.5" customHeight="1" x14ac:dyDescent="0.35">
      <c r="A1191" s="230"/>
      <c r="B1191" s="230"/>
      <c r="C1191" s="217"/>
      <c r="D1191" s="217"/>
      <c r="E1191" s="217"/>
      <c r="F1191" s="217"/>
      <c r="G1191" s="217"/>
      <c r="H1191" s="74" t="s">
        <v>48</v>
      </c>
      <c r="I1191" s="74" t="s">
        <v>44</v>
      </c>
      <c r="J1191" s="74" t="s">
        <v>107</v>
      </c>
      <c r="K1191" s="217"/>
      <c r="L1191" s="66"/>
      <c r="M1191" s="18"/>
      <c r="N1191" s="18"/>
      <c r="O1191" s="18"/>
      <c r="P1191" s="284"/>
      <c r="Q1191" s="284"/>
      <c r="R1191" s="284"/>
      <c r="S1191" s="18"/>
      <c r="T1191" s="293"/>
      <c r="U1191" s="295"/>
      <c r="V1191" s="294"/>
      <c r="W1191" s="18"/>
      <c r="X1191" s="18"/>
      <c r="Y1191" s="18"/>
      <c r="Z1191" s="18"/>
    </row>
    <row r="1192" spans="1:26" ht="16.5" customHeight="1" x14ac:dyDescent="0.35">
      <c r="A1192" s="230"/>
      <c r="B1192" s="217"/>
      <c r="C1192" s="94" t="s">
        <v>89</v>
      </c>
      <c r="D1192" s="74">
        <v>3</v>
      </c>
      <c r="E1192" s="81">
        <v>3</v>
      </c>
      <c r="F1192" s="85" t="s">
        <v>51</v>
      </c>
      <c r="G1192" s="85" t="s">
        <v>178</v>
      </c>
      <c r="H1192" s="74" t="s">
        <v>48</v>
      </c>
      <c r="I1192" s="74" t="s">
        <v>91</v>
      </c>
      <c r="J1192" s="74" t="s">
        <v>190</v>
      </c>
      <c r="K1192" s="85" t="s">
        <v>93</v>
      </c>
      <c r="L1192" s="66"/>
      <c r="M1192" s="18"/>
      <c r="N1192" s="18"/>
      <c r="O1192" s="18"/>
      <c r="P1192" s="18"/>
      <c r="Q1192" s="18"/>
      <c r="R1192" s="18"/>
      <c r="S1192" s="18"/>
      <c r="T1192" s="284"/>
      <c r="U1192" s="284"/>
      <c r="V1192" s="284"/>
      <c r="W1192" s="18"/>
      <c r="X1192" s="18"/>
      <c r="Y1192" s="18"/>
      <c r="Z1192" s="18"/>
    </row>
    <row r="1193" spans="1:26" ht="16.5" customHeight="1" x14ac:dyDescent="0.35">
      <c r="A1193" s="217"/>
      <c r="B1193" s="228" t="s">
        <v>72</v>
      </c>
      <c r="C1193" s="221"/>
      <c r="D1193" s="222"/>
      <c r="E1193" s="71">
        <f>SUM(E1178:E1192)</f>
        <v>20</v>
      </c>
      <c r="F1193" s="220"/>
      <c r="G1193" s="221"/>
      <c r="H1193" s="221"/>
      <c r="I1193" s="221"/>
      <c r="J1193" s="221"/>
      <c r="K1193" s="222"/>
      <c r="L1193" s="66"/>
      <c r="M1193" s="18"/>
      <c r="N1193" s="18"/>
      <c r="O1193" s="18"/>
      <c r="P1193" s="18"/>
      <c r="Q1193" s="18"/>
      <c r="R1193" s="18"/>
      <c r="S1193" s="18"/>
      <c r="T1193" s="293"/>
      <c r="U1193" s="295"/>
      <c r="V1193" s="294"/>
      <c r="W1193" s="18"/>
      <c r="X1193" s="18"/>
      <c r="Y1193" s="18"/>
      <c r="Z1193" s="18"/>
    </row>
    <row r="1194" spans="1:26" ht="16.5" customHeight="1" x14ac:dyDescent="0.35">
      <c r="A1194" s="229">
        <v>72</v>
      </c>
      <c r="B1194" s="238" t="s">
        <v>450</v>
      </c>
      <c r="C1194" s="227" t="s">
        <v>255</v>
      </c>
      <c r="D1194" s="218">
        <v>3</v>
      </c>
      <c r="E1194" s="216">
        <v>3</v>
      </c>
      <c r="F1194" s="218" t="s">
        <v>106</v>
      </c>
      <c r="G1194" s="218" t="s">
        <v>34</v>
      </c>
      <c r="H1194" s="74" t="s">
        <v>46</v>
      </c>
      <c r="I1194" s="74" t="s">
        <v>108</v>
      </c>
      <c r="J1194" s="74" t="s">
        <v>57</v>
      </c>
      <c r="K1194" s="218" t="s">
        <v>54</v>
      </c>
      <c r="L1194" s="66"/>
      <c r="M1194" s="18"/>
      <c r="N1194" s="18"/>
      <c r="O1194" s="18"/>
      <c r="P1194" s="293"/>
      <c r="Q1194" s="295"/>
      <c r="R1194" s="294"/>
      <c r="S1194" s="18"/>
      <c r="T1194" s="284"/>
      <c r="U1194" s="284"/>
      <c r="V1194" s="284"/>
      <c r="W1194" s="18"/>
      <c r="X1194" s="18"/>
      <c r="Y1194" s="18"/>
      <c r="Z1194" s="18"/>
    </row>
    <row r="1195" spans="1:26" ht="16.5" customHeight="1" x14ac:dyDescent="0.35">
      <c r="A1195" s="230"/>
      <c r="B1195" s="230"/>
      <c r="C1195" s="217"/>
      <c r="D1195" s="217"/>
      <c r="E1195" s="217"/>
      <c r="F1195" s="217"/>
      <c r="G1195" s="217"/>
      <c r="H1195" s="74" t="s">
        <v>48</v>
      </c>
      <c r="I1195" s="74" t="s">
        <v>232</v>
      </c>
      <c r="J1195" s="74" t="s">
        <v>196</v>
      </c>
      <c r="K1195" s="217"/>
      <c r="L1195" s="66"/>
      <c r="M1195" s="18"/>
      <c r="N1195" s="18"/>
      <c r="O1195" s="18"/>
      <c r="P1195" s="284"/>
      <c r="Q1195" s="284"/>
      <c r="R1195" s="284"/>
      <c r="S1195" s="18"/>
      <c r="T1195" s="293"/>
      <c r="U1195" s="295"/>
      <c r="V1195" s="294"/>
      <c r="W1195" s="18"/>
      <c r="X1195" s="18"/>
      <c r="Y1195" s="18"/>
      <c r="Z1195" s="18"/>
    </row>
    <row r="1196" spans="1:26" ht="16.5" customHeight="1" x14ac:dyDescent="0.35">
      <c r="A1196" s="230"/>
      <c r="B1196" s="230"/>
      <c r="C1196" s="227" t="s">
        <v>434</v>
      </c>
      <c r="D1196" s="218">
        <v>3</v>
      </c>
      <c r="E1196" s="216">
        <v>3</v>
      </c>
      <c r="F1196" s="218" t="s">
        <v>106</v>
      </c>
      <c r="G1196" s="218" t="s">
        <v>136</v>
      </c>
      <c r="H1196" s="74" t="s">
        <v>35</v>
      </c>
      <c r="I1196" s="74" t="s">
        <v>44</v>
      </c>
      <c r="J1196" s="74" t="s">
        <v>80</v>
      </c>
      <c r="K1196" s="218" t="s">
        <v>54</v>
      </c>
      <c r="L1196" s="66"/>
      <c r="M1196" s="18"/>
      <c r="N1196" s="18"/>
      <c r="O1196" s="18"/>
      <c r="P1196" s="293"/>
      <c r="Q1196" s="295"/>
      <c r="R1196" s="294"/>
      <c r="S1196" s="18"/>
      <c r="T1196" s="284"/>
      <c r="U1196" s="284"/>
      <c r="V1196" s="284"/>
      <c r="W1196" s="18"/>
      <c r="X1196" s="18"/>
      <c r="Y1196" s="18"/>
      <c r="Z1196" s="18"/>
    </row>
    <row r="1197" spans="1:26" ht="16.5" customHeight="1" x14ac:dyDescent="0.35">
      <c r="A1197" s="230"/>
      <c r="B1197" s="230"/>
      <c r="C1197" s="217"/>
      <c r="D1197" s="217"/>
      <c r="E1197" s="217"/>
      <c r="F1197" s="217"/>
      <c r="G1197" s="217"/>
      <c r="H1197" s="74" t="s">
        <v>48</v>
      </c>
      <c r="I1197" s="74" t="s">
        <v>36</v>
      </c>
      <c r="J1197" s="74" t="s">
        <v>197</v>
      </c>
      <c r="K1197" s="217"/>
      <c r="L1197" s="66"/>
      <c r="M1197" s="18"/>
      <c r="N1197" s="18"/>
      <c r="O1197" s="18"/>
      <c r="P1197" s="284"/>
      <c r="Q1197" s="284"/>
      <c r="R1197" s="284"/>
      <c r="S1197" s="18"/>
      <c r="T1197" s="293"/>
      <c r="U1197" s="295"/>
      <c r="V1197" s="294"/>
      <c r="W1197" s="18"/>
      <c r="X1197" s="18"/>
      <c r="Y1197" s="18"/>
      <c r="Z1197" s="18"/>
    </row>
    <row r="1198" spans="1:26" ht="16.5" customHeight="1" x14ac:dyDescent="0.35">
      <c r="A1198" s="230"/>
      <c r="B1198" s="230"/>
      <c r="C1198" s="227" t="s">
        <v>216</v>
      </c>
      <c r="D1198" s="218">
        <v>2</v>
      </c>
      <c r="E1198" s="216">
        <v>2</v>
      </c>
      <c r="F1198" s="218" t="s">
        <v>106</v>
      </c>
      <c r="G1198" s="218" t="s">
        <v>76</v>
      </c>
      <c r="H1198" s="74" t="s">
        <v>46</v>
      </c>
      <c r="I1198" s="74" t="s">
        <v>56</v>
      </c>
      <c r="J1198" s="74" t="s">
        <v>41</v>
      </c>
      <c r="K1198" s="218" t="s">
        <v>38</v>
      </c>
      <c r="L1198" s="66"/>
      <c r="M1198" s="18"/>
      <c r="N1198" s="18"/>
      <c r="O1198" s="18"/>
      <c r="P1198" s="293"/>
      <c r="Q1198" s="295"/>
      <c r="R1198" s="294"/>
      <c r="S1198" s="18"/>
      <c r="T1198" s="284"/>
      <c r="U1198" s="284"/>
      <c r="V1198" s="284"/>
      <c r="W1198" s="18"/>
      <c r="X1198" s="18"/>
      <c r="Y1198" s="18"/>
      <c r="Z1198" s="18"/>
    </row>
    <row r="1199" spans="1:26" ht="16.5" customHeight="1" x14ac:dyDescent="0.35">
      <c r="A1199" s="230"/>
      <c r="B1199" s="230"/>
      <c r="C1199" s="217"/>
      <c r="D1199" s="217"/>
      <c r="E1199" s="217"/>
      <c r="F1199" s="217"/>
      <c r="G1199" s="217"/>
      <c r="H1199" s="74" t="s">
        <v>55</v>
      </c>
      <c r="I1199" s="67" t="s">
        <v>56</v>
      </c>
      <c r="J1199" s="74" t="s">
        <v>197</v>
      </c>
      <c r="K1199" s="217"/>
      <c r="L1199" s="66"/>
      <c r="M1199" s="18"/>
      <c r="N1199" s="18"/>
      <c r="O1199" s="18"/>
      <c r="P1199" s="284"/>
      <c r="Q1199" s="284"/>
      <c r="R1199" s="284"/>
      <c r="S1199" s="18"/>
      <c r="T1199" s="293"/>
      <c r="U1199" s="295"/>
      <c r="V1199" s="294"/>
      <c r="W1199" s="18"/>
      <c r="X1199" s="18"/>
      <c r="Y1199" s="18"/>
      <c r="Z1199" s="18"/>
    </row>
    <row r="1200" spans="1:26" ht="16.5" customHeight="1" x14ac:dyDescent="0.35">
      <c r="A1200" s="230"/>
      <c r="B1200" s="230"/>
      <c r="C1200" s="227" t="s">
        <v>399</v>
      </c>
      <c r="D1200" s="218">
        <v>3</v>
      </c>
      <c r="E1200" s="216">
        <v>3</v>
      </c>
      <c r="F1200" s="218" t="s">
        <v>106</v>
      </c>
      <c r="G1200" s="218" t="s">
        <v>136</v>
      </c>
      <c r="H1200" s="74" t="s">
        <v>35</v>
      </c>
      <c r="I1200" s="74" t="s">
        <v>36</v>
      </c>
      <c r="J1200" s="74" t="s">
        <v>143</v>
      </c>
      <c r="K1200" s="218" t="s">
        <v>38</v>
      </c>
      <c r="L1200" s="66"/>
      <c r="M1200" s="18"/>
      <c r="N1200" s="18"/>
      <c r="O1200" s="18"/>
      <c r="P1200" s="293"/>
      <c r="Q1200" s="295"/>
      <c r="R1200" s="294"/>
      <c r="S1200" s="18"/>
      <c r="T1200" s="284"/>
      <c r="U1200" s="284"/>
      <c r="V1200" s="284"/>
      <c r="W1200" s="18"/>
      <c r="X1200" s="18"/>
      <c r="Y1200" s="18"/>
      <c r="Z1200" s="18"/>
    </row>
    <row r="1201" spans="1:26" ht="16.5" customHeight="1" x14ac:dyDescent="0.35">
      <c r="A1201" s="230"/>
      <c r="B1201" s="230"/>
      <c r="C1201" s="217"/>
      <c r="D1201" s="217"/>
      <c r="E1201" s="217"/>
      <c r="F1201" s="217"/>
      <c r="G1201" s="217"/>
      <c r="H1201" s="74" t="s">
        <v>46</v>
      </c>
      <c r="I1201" s="74" t="s">
        <v>40</v>
      </c>
      <c r="J1201" s="74" t="s">
        <v>369</v>
      </c>
      <c r="K1201" s="217"/>
      <c r="L1201" s="66"/>
      <c r="M1201" s="18"/>
      <c r="N1201" s="18"/>
      <c r="O1201" s="18"/>
      <c r="P1201" s="284"/>
      <c r="Q1201" s="284"/>
      <c r="R1201" s="284"/>
      <c r="S1201" s="18"/>
      <c r="T1201" s="18"/>
      <c r="U1201" s="18"/>
      <c r="V1201" s="18"/>
      <c r="W1201" s="18"/>
      <c r="X1201" s="18"/>
      <c r="Y1201" s="18"/>
      <c r="Z1201" s="18"/>
    </row>
    <row r="1202" spans="1:26" ht="16.5" customHeight="1" x14ac:dyDescent="0.35">
      <c r="A1202" s="230"/>
      <c r="B1202" s="217"/>
      <c r="C1202" s="94" t="s">
        <v>89</v>
      </c>
      <c r="D1202" s="74">
        <v>3</v>
      </c>
      <c r="E1202" s="81">
        <v>3</v>
      </c>
      <c r="F1202" s="85" t="s">
        <v>33</v>
      </c>
      <c r="G1202" s="85" t="s">
        <v>90</v>
      </c>
      <c r="H1202" s="74" t="s">
        <v>48</v>
      </c>
      <c r="I1202" s="74" t="s">
        <v>91</v>
      </c>
      <c r="J1202" s="74" t="s">
        <v>163</v>
      </c>
      <c r="K1202" s="85" t="s">
        <v>93</v>
      </c>
      <c r="L1202" s="66"/>
      <c r="M1202" s="18"/>
      <c r="N1202" s="18"/>
      <c r="O1202" s="18"/>
      <c r="P1202" s="18"/>
      <c r="Q1202" s="18"/>
      <c r="R1202" s="18"/>
      <c r="S1202" s="18"/>
      <c r="T1202" s="293"/>
      <c r="U1202" s="295"/>
      <c r="V1202" s="294"/>
      <c r="W1202" s="18"/>
      <c r="X1202" s="18"/>
      <c r="Y1202" s="18"/>
      <c r="Z1202" s="18"/>
    </row>
    <row r="1203" spans="1:26" ht="16.5" customHeight="1" x14ac:dyDescent="0.35">
      <c r="A1203" s="217"/>
      <c r="B1203" s="228" t="s">
        <v>72</v>
      </c>
      <c r="C1203" s="221"/>
      <c r="D1203" s="222"/>
      <c r="E1203" s="71">
        <f>SUM(E1194:E1202)</f>
        <v>14</v>
      </c>
      <c r="F1203" s="220"/>
      <c r="G1203" s="221"/>
      <c r="H1203" s="221"/>
      <c r="I1203" s="221"/>
      <c r="J1203" s="221"/>
      <c r="K1203" s="222"/>
      <c r="L1203" s="66"/>
      <c r="M1203" s="18"/>
      <c r="N1203" s="18"/>
      <c r="O1203" s="18"/>
      <c r="P1203" s="18"/>
      <c r="Q1203" s="18"/>
      <c r="R1203" s="18"/>
      <c r="S1203" s="18"/>
      <c r="T1203" s="284"/>
      <c r="U1203" s="284"/>
      <c r="V1203" s="284"/>
      <c r="W1203" s="18"/>
      <c r="X1203" s="18"/>
      <c r="Y1203" s="18"/>
      <c r="Z1203" s="18"/>
    </row>
    <row r="1204" spans="1:26" ht="16.5" customHeight="1" x14ac:dyDescent="0.35">
      <c r="A1204" s="229">
        <v>73</v>
      </c>
      <c r="B1204" s="238" t="s">
        <v>451</v>
      </c>
      <c r="C1204" s="227" t="s">
        <v>32</v>
      </c>
      <c r="D1204" s="218">
        <v>3</v>
      </c>
      <c r="E1204" s="216">
        <v>1.5</v>
      </c>
      <c r="F1204" s="218" t="s">
        <v>33</v>
      </c>
      <c r="G1204" s="218" t="s">
        <v>34</v>
      </c>
      <c r="H1204" s="74" t="s">
        <v>35</v>
      </c>
      <c r="I1204" s="74" t="s">
        <v>36</v>
      </c>
      <c r="J1204" s="74" t="s">
        <v>37</v>
      </c>
      <c r="K1204" s="218" t="s">
        <v>38</v>
      </c>
      <c r="L1204" s="66"/>
      <c r="M1204" s="18"/>
      <c r="N1204" s="18"/>
      <c r="O1204" s="18"/>
      <c r="P1204" s="293"/>
      <c r="Q1204" s="295"/>
      <c r="R1204" s="294"/>
      <c r="S1204" s="18"/>
      <c r="T1204" s="293"/>
      <c r="U1204" s="295"/>
      <c r="V1204" s="294"/>
      <c r="W1204" s="18"/>
      <c r="X1204" s="18"/>
      <c r="Y1204" s="18"/>
      <c r="Z1204" s="18"/>
    </row>
    <row r="1205" spans="1:26" ht="16.5" customHeight="1" x14ac:dyDescent="0.35">
      <c r="A1205" s="230"/>
      <c r="B1205" s="230"/>
      <c r="C1205" s="217"/>
      <c r="D1205" s="217"/>
      <c r="E1205" s="217"/>
      <c r="F1205" s="217"/>
      <c r="G1205" s="217"/>
      <c r="H1205" s="74" t="s">
        <v>39</v>
      </c>
      <c r="I1205" s="74" t="s">
        <v>40</v>
      </c>
      <c r="J1205" s="74" t="s">
        <v>41</v>
      </c>
      <c r="K1205" s="217"/>
      <c r="L1205" s="66"/>
      <c r="M1205" s="18"/>
      <c r="N1205" s="18"/>
      <c r="O1205" s="18"/>
      <c r="P1205" s="284"/>
      <c r="Q1205" s="284"/>
      <c r="R1205" s="284"/>
      <c r="S1205" s="18"/>
      <c r="T1205" s="284"/>
      <c r="U1205" s="284"/>
      <c r="V1205" s="284"/>
      <c r="W1205" s="18"/>
      <c r="X1205" s="18"/>
      <c r="Y1205" s="18"/>
      <c r="Z1205" s="18"/>
    </row>
    <row r="1206" spans="1:26" ht="16.5" customHeight="1" x14ac:dyDescent="0.35">
      <c r="A1206" s="230"/>
      <c r="B1206" s="230"/>
      <c r="C1206" s="227" t="s">
        <v>32</v>
      </c>
      <c r="D1206" s="218">
        <v>3</v>
      </c>
      <c r="E1206" s="216">
        <v>1.5</v>
      </c>
      <c r="F1206" s="218" t="s">
        <v>33</v>
      </c>
      <c r="G1206" s="218" t="s">
        <v>42</v>
      </c>
      <c r="H1206" s="74" t="s">
        <v>35</v>
      </c>
      <c r="I1206" s="74" t="s">
        <v>91</v>
      </c>
      <c r="J1206" s="74" t="s">
        <v>77</v>
      </c>
      <c r="K1206" s="218" t="s">
        <v>38</v>
      </c>
      <c r="L1206" s="66"/>
      <c r="M1206" s="18"/>
      <c r="N1206" s="18"/>
      <c r="O1206" s="18"/>
      <c r="P1206" s="293"/>
      <c r="Q1206" s="295"/>
      <c r="R1206" s="294"/>
      <c r="S1206" s="18"/>
      <c r="T1206" s="293"/>
      <c r="U1206" s="295"/>
      <c r="V1206" s="294"/>
      <c r="W1206" s="18"/>
      <c r="X1206" s="18"/>
      <c r="Y1206" s="18"/>
      <c r="Z1206" s="18"/>
    </row>
    <row r="1207" spans="1:26" ht="16.5" customHeight="1" x14ac:dyDescent="0.35">
      <c r="A1207" s="230"/>
      <c r="B1207" s="230"/>
      <c r="C1207" s="217"/>
      <c r="D1207" s="217"/>
      <c r="E1207" s="217"/>
      <c r="F1207" s="217"/>
      <c r="G1207" s="217"/>
      <c r="H1207" s="74" t="s">
        <v>39</v>
      </c>
      <c r="I1207" s="74" t="s">
        <v>44</v>
      </c>
      <c r="J1207" s="74" t="s">
        <v>43</v>
      </c>
      <c r="K1207" s="217"/>
      <c r="L1207" s="66"/>
      <c r="M1207" s="18"/>
      <c r="N1207" s="18"/>
      <c r="O1207" s="18"/>
      <c r="P1207" s="284"/>
      <c r="Q1207" s="284"/>
      <c r="R1207" s="284"/>
      <c r="S1207" s="18"/>
      <c r="T1207" s="284"/>
      <c r="U1207" s="284"/>
      <c r="V1207" s="284"/>
      <c r="W1207" s="18"/>
      <c r="X1207" s="18"/>
      <c r="Y1207" s="18"/>
      <c r="Z1207" s="18"/>
    </row>
    <row r="1208" spans="1:26" ht="16.5" customHeight="1" x14ac:dyDescent="0.35">
      <c r="A1208" s="230"/>
      <c r="B1208" s="230"/>
      <c r="C1208" s="227" t="s">
        <v>32</v>
      </c>
      <c r="D1208" s="218">
        <v>3</v>
      </c>
      <c r="E1208" s="216">
        <v>1.5</v>
      </c>
      <c r="F1208" s="218" t="s">
        <v>33</v>
      </c>
      <c r="G1208" s="218" t="s">
        <v>45</v>
      </c>
      <c r="H1208" s="74" t="s">
        <v>46</v>
      </c>
      <c r="I1208" s="74" t="s">
        <v>40</v>
      </c>
      <c r="J1208" s="74" t="s">
        <v>47</v>
      </c>
      <c r="K1208" s="218" t="s">
        <v>38</v>
      </c>
      <c r="L1208" s="66"/>
      <c r="M1208" s="18"/>
      <c r="N1208" s="18"/>
      <c r="O1208" s="18"/>
      <c r="P1208" s="293"/>
      <c r="Q1208" s="295"/>
      <c r="R1208" s="294"/>
      <c r="S1208" s="18"/>
      <c r="T1208" s="293"/>
      <c r="U1208" s="295"/>
      <c r="V1208" s="294"/>
      <c r="W1208" s="18"/>
      <c r="X1208" s="18"/>
      <c r="Y1208" s="18"/>
      <c r="Z1208" s="18"/>
    </row>
    <row r="1209" spans="1:26" ht="16.5" customHeight="1" x14ac:dyDescent="0.35">
      <c r="A1209" s="230"/>
      <c r="B1209" s="230"/>
      <c r="C1209" s="217"/>
      <c r="D1209" s="217"/>
      <c r="E1209" s="217"/>
      <c r="F1209" s="217"/>
      <c r="G1209" s="217"/>
      <c r="H1209" s="74" t="s">
        <v>48</v>
      </c>
      <c r="I1209" s="74" t="s">
        <v>40</v>
      </c>
      <c r="J1209" s="74" t="s">
        <v>47</v>
      </c>
      <c r="K1209" s="217"/>
      <c r="L1209" s="66"/>
      <c r="M1209" s="18"/>
      <c r="N1209" s="18"/>
      <c r="O1209" s="18"/>
      <c r="P1209" s="284"/>
      <c r="Q1209" s="284"/>
      <c r="R1209" s="284"/>
      <c r="S1209" s="18"/>
      <c r="T1209" s="284"/>
      <c r="U1209" s="284"/>
      <c r="V1209" s="284"/>
      <c r="W1209" s="18"/>
      <c r="X1209" s="18"/>
      <c r="Y1209" s="18"/>
      <c r="Z1209" s="18"/>
    </row>
    <row r="1210" spans="1:26" ht="16.5" customHeight="1" x14ac:dyDescent="0.35">
      <c r="A1210" s="230"/>
      <c r="B1210" s="230"/>
      <c r="C1210" s="227" t="s">
        <v>32</v>
      </c>
      <c r="D1210" s="218">
        <v>3</v>
      </c>
      <c r="E1210" s="216">
        <v>1.5</v>
      </c>
      <c r="F1210" s="218" t="s">
        <v>33</v>
      </c>
      <c r="G1210" s="218" t="s">
        <v>49</v>
      </c>
      <c r="H1210" s="74" t="s">
        <v>46</v>
      </c>
      <c r="I1210" s="74" t="s">
        <v>44</v>
      </c>
      <c r="J1210" s="74" t="s">
        <v>43</v>
      </c>
      <c r="K1210" s="218" t="s">
        <v>38</v>
      </c>
      <c r="L1210" s="66"/>
      <c r="M1210" s="18"/>
      <c r="N1210" s="18"/>
      <c r="O1210" s="18"/>
      <c r="P1210" s="293"/>
      <c r="Q1210" s="295"/>
      <c r="R1210" s="294"/>
      <c r="S1210" s="18"/>
      <c r="T1210" s="293"/>
      <c r="U1210" s="295"/>
      <c r="V1210" s="294"/>
      <c r="W1210" s="18"/>
      <c r="X1210" s="18"/>
      <c r="Y1210" s="18"/>
      <c r="Z1210" s="18"/>
    </row>
    <row r="1211" spans="1:26" ht="16.5" customHeight="1" x14ac:dyDescent="0.35">
      <c r="A1211" s="230"/>
      <c r="B1211" s="230"/>
      <c r="C1211" s="217"/>
      <c r="D1211" s="217"/>
      <c r="E1211" s="217"/>
      <c r="F1211" s="217"/>
      <c r="G1211" s="217"/>
      <c r="H1211" s="74" t="s">
        <v>48</v>
      </c>
      <c r="I1211" s="74" t="s">
        <v>44</v>
      </c>
      <c r="J1211" s="74" t="s">
        <v>43</v>
      </c>
      <c r="K1211" s="217"/>
      <c r="L1211" s="66"/>
      <c r="M1211" s="18"/>
      <c r="N1211" s="18"/>
      <c r="O1211" s="18"/>
      <c r="P1211" s="284"/>
      <c r="Q1211" s="284"/>
      <c r="R1211" s="284"/>
      <c r="S1211" s="18"/>
      <c r="T1211" s="284"/>
      <c r="U1211" s="284"/>
      <c r="V1211" s="284"/>
      <c r="W1211" s="18"/>
      <c r="X1211" s="18"/>
      <c r="Y1211" s="18"/>
      <c r="Z1211" s="18"/>
    </row>
    <row r="1212" spans="1:26" ht="16.5" customHeight="1" x14ac:dyDescent="0.35">
      <c r="A1212" s="230"/>
      <c r="B1212" s="230"/>
      <c r="C1212" s="227" t="s">
        <v>318</v>
      </c>
      <c r="D1212" s="218">
        <v>3</v>
      </c>
      <c r="E1212" s="216">
        <v>3</v>
      </c>
      <c r="F1212" s="218" t="s">
        <v>33</v>
      </c>
      <c r="G1212" s="218" t="s">
        <v>79</v>
      </c>
      <c r="H1212" s="74" t="s">
        <v>35</v>
      </c>
      <c r="I1212" s="74" t="s">
        <v>36</v>
      </c>
      <c r="J1212" s="74" t="s">
        <v>43</v>
      </c>
      <c r="K1212" s="218" t="s">
        <v>54</v>
      </c>
      <c r="L1212" s="66"/>
      <c r="M1212" s="18"/>
      <c r="N1212" s="18"/>
      <c r="O1212" s="18"/>
      <c r="P1212" s="293"/>
      <c r="Q1212" s="295"/>
      <c r="R1212" s="294"/>
      <c r="S1212" s="18"/>
      <c r="T1212" s="293"/>
      <c r="U1212" s="295"/>
      <c r="V1212" s="294"/>
      <c r="W1212" s="18"/>
      <c r="X1212" s="18"/>
      <c r="Y1212" s="18"/>
      <c r="Z1212" s="18"/>
    </row>
    <row r="1213" spans="1:26" ht="16.5" customHeight="1" x14ac:dyDescent="0.35">
      <c r="A1213" s="230"/>
      <c r="B1213" s="230"/>
      <c r="C1213" s="217"/>
      <c r="D1213" s="217"/>
      <c r="E1213" s="217"/>
      <c r="F1213" s="217"/>
      <c r="G1213" s="217"/>
      <c r="H1213" s="74" t="s">
        <v>39</v>
      </c>
      <c r="I1213" s="74" t="s">
        <v>36</v>
      </c>
      <c r="J1213" s="74" t="s">
        <v>43</v>
      </c>
      <c r="K1213" s="217"/>
      <c r="L1213" s="66"/>
      <c r="M1213" s="18"/>
      <c r="N1213" s="18"/>
      <c r="O1213" s="18"/>
      <c r="P1213" s="284"/>
      <c r="Q1213" s="284"/>
      <c r="R1213" s="284"/>
      <c r="S1213" s="18"/>
      <c r="T1213" s="284"/>
      <c r="U1213" s="284"/>
      <c r="V1213" s="284"/>
      <c r="W1213" s="18"/>
      <c r="X1213" s="18"/>
      <c r="Y1213" s="18"/>
      <c r="Z1213" s="18"/>
    </row>
    <row r="1214" spans="1:26" ht="16.5" customHeight="1" x14ac:dyDescent="0.35">
      <c r="A1214" s="230"/>
      <c r="B1214" s="230"/>
      <c r="C1214" s="234" t="s">
        <v>58</v>
      </c>
      <c r="D1214" s="232">
        <v>3</v>
      </c>
      <c r="E1214" s="233">
        <v>1.5</v>
      </c>
      <c r="F1214" s="232" t="s">
        <v>51</v>
      </c>
      <c r="G1214" s="232" t="s">
        <v>34</v>
      </c>
      <c r="H1214" s="118" t="s">
        <v>39</v>
      </c>
      <c r="I1214" s="118" t="s">
        <v>61</v>
      </c>
      <c r="J1214" s="118" t="s">
        <v>60</v>
      </c>
      <c r="K1214" s="232" t="s">
        <v>54</v>
      </c>
      <c r="L1214" s="119"/>
      <c r="M1214" s="18"/>
      <c r="N1214" s="18"/>
      <c r="O1214" s="18"/>
      <c r="P1214" s="293"/>
      <c r="Q1214" s="295"/>
      <c r="R1214" s="294"/>
      <c r="S1214" s="18"/>
      <c r="T1214" s="18"/>
      <c r="U1214" s="18"/>
      <c r="V1214" s="18"/>
      <c r="W1214" s="18"/>
      <c r="X1214" s="18"/>
      <c r="Y1214" s="18"/>
      <c r="Z1214" s="18"/>
    </row>
    <row r="1215" spans="1:26" ht="16.5" customHeight="1" x14ac:dyDescent="0.35">
      <c r="A1215" s="230"/>
      <c r="B1215" s="230"/>
      <c r="C1215" s="217"/>
      <c r="D1215" s="217"/>
      <c r="E1215" s="217"/>
      <c r="F1215" s="217"/>
      <c r="G1215" s="217"/>
      <c r="H1215" s="118" t="s">
        <v>55</v>
      </c>
      <c r="I1215" s="118" t="s">
        <v>61</v>
      </c>
      <c r="J1215" s="118" t="s">
        <v>60</v>
      </c>
      <c r="K1215" s="217"/>
      <c r="L1215" s="119"/>
      <c r="M1215" s="18"/>
      <c r="N1215" s="18"/>
      <c r="O1215" s="18"/>
      <c r="P1215" s="284"/>
      <c r="Q1215" s="284"/>
      <c r="R1215" s="284"/>
      <c r="S1215" s="18"/>
      <c r="T1215" s="293"/>
      <c r="U1215" s="295"/>
      <c r="V1215" s="294"/>
      <c r="W1215" s="18"/>
      <c r="X1215" s="18"/>
      <c r="Y1215" s="18"/>
      <c r="Z1215" s="18"/>
    </row>
    <row r="1216" spans="1:26" ht="16.5" customHeight="1" x14ac:dyDescent="0.35">
      <c r="A1216" s="230"/>
      <c r="B1216" s="230"/>
      <c r="C1216" s="234" t="s">
        <v>50</v>
      </c>
      <c r="D1216" s="232">
        <v>3</v>
      </c>
      <c r="E1216" s="233">
        <v>1.5</v>
      </c>
      <c r="F1216" s="232" t="s">
        <v>51</v>
      </c>
      <c r="G1216" s="232" t="s">
        <v>42</v>
      </c>
      <c r="H1216" s="118" t="s">
        <v>46</v>
      </c>
      <c r="I1216" s="118" t="s">
        <v>123</v>
      </c>
      <c r="J1216" s="118" t="s">
        <v>160</v>
      </c>
      <c r="K1216" s="232" t="s">
        <v>54</v>
      </c>
      <c r="L1216" s="119"/>
      <c r="M1216" s="18"/>
      <c r="N1216" s="18"/>
      <c r="O1216" s="18"/>
      <c r="P1216" s="293"/>
      <c r="Q1216" s="295"/>
      <c r="R1216" s="294"/>
      <c r="S1216" s="18"/>
      <c r="T1216" s="284"/>
      <c r="U1216" s="284"/>
      <c r="V1216" s="284"/>
      <c r="W1216" s="18"/>
      <c r="X1216" s="18"/>
      <c r="Y1216" s="18"/>
      <c r="Z1216" s="18"/>
    </row>
    <row r="1217" spans="1:26" ht="16.5" customHeight="1" x14ac:dyDescent="0.35">
      <c r="A1217" s="230"/>
      <c r="B1217" s="230"/>
      <c r="C1217" s="217"/>
      <c r="D1217" s="217"/>
      <c r="E1217" s="217"/>
      <c r="F1217" s="217"/>
      <c r="G1217" s="217"/>
      <c r="H1217" s="118" t="s">
        <v>48</v>
      </c>
      <c r="I1217" s="118" t="s">
        <v>52</v>
      </c>
      <c r="J1217" s="118" t="s">
        <v>208</v>
      </c>
      <c r="K1217" s="217"/>
      <c r="L1217" s="119"/>
      <c r="M1217" s="18"/>
      <c r="N1217" s="18"/>
      <c r="O1217" s="18"/>
      <c r="P1217" s="284"/>
      <c r="Q1217" s="284"/>
      <c r="R1217" s="284"/>
      <c r="S1217" s="18"/>
      <c r="T1217" s="293"/>
      <c r="U1217" s="295"/>
      <c r="V1217" s="294"/>
      <c r="W1217" s="18"/>
      <c r="X1217" s="18"/>
      <c r="Y1217" s="18"/>
      <c r="Z1217" s="18"/>
    </row>
    <row r="1218" spans="1:26" ht="16.5" customHeight="1" x14ac:dyDescent="0.35">
      <c r="A1218" s="230"/>
      <c r="B1218" s="230"/>
      <c r="C1218" s="227" t="s">
        <v>276</v>
      </c>
      <c r="D1218" s="218">
        <v>2</v>
      </c>
      <c r="E1218" s="216">
        <v>2</v>
      </c>
      <c r="F1218" s="218" t="s">
        <v>51</v>
      </c>
      <c r="G1218" s="218" t="s">
        <v>34</v>
      </c>
      <c r="H1218" s="74" t="s">
        <v>35</v>
      </c>
      <c r="I1218" s="74" t="s">
        <v>52</v>
      </c>
      <c r="J1218" s="74" t="s">
        <v>124</v>
      </c>
      <c r="K1218" s="218" t="s">
        <v>38</v>
      </c>
      <c r="L1218" s="97"/>
      <c r="M1218" s="103"/>
      <c r="N1218" s="103"/>
      <c r="O1218" s="103"/>
      <c r="P1218" s="293"/>
      <c r="Q1218" s="295"/>
      <c r="R1218" s="294"/>
      <c r="S1218" s="18"/>
      <c r="T1218" s="284"/>
      <c r="U1218" s="284"/>
      <c r="V1218" s="284"/>
      <c r="W1218" s="18"/>
      <c r="X1218" s="18"/>
      <c r="Y1218" s="18"/>
      <c r="Z1218" s="18"/>
    </row>
    <row r="1219" spans="1:26" ht="16.5" customHeight="1" x14ac:dyDescent="0.35">
      <c r="A1219" s="230"/>
      <c r="B1219" s="230"/>
      <c r="C1219" s="217"/>
      <c r="D1219" s="217"/>
      <c r="E1219" s="217"/>
      <c r="F1219" s="217"/>
      <c r="G1219" s="217"/>
      <c r="H1219" s="74" t="s">
        <v>55</v>
      </c>
      <c r="I1219" s="74" t="s">
        <v>123</v>
      </c>
      <c r="J1219" s="74" t="s">
        <v>114</v>
      </c>
      <c r="K1219" s="217"/>
      <c r="L1219" s="66"/>
      <c r="M1219" s="18"/>
      <c r="N1219" s="18"/>
      <c r="O1219" s="18"/>
      <c r="P1219" s="284"/>
      <c r="Q1219" s="284"/>
      <c r="R1219" s="284"/>
      <c r="S1219" s="18"/>
      <c r="T1219" s="293"/>
      <c r="U1219" s="295"/>
      <c r="V1219" s="294"/>
      <c r="W1219" s="18"/>
      <c r="X1219" s="18"/>
      <c r="Y1219" s="18"/>
      <c r="Z1219" s="18"/>
    </row>
    <row r="1220" spans="1:26" ht="16.5" customHeight="1" x14ac:dyDescent="0.35">
      <c r="A1220" s="230"/>
      <c r="B1220" s="217"/>
      <c r="C1220" s="94" t="s">
        <v>89</v>
      </c>
      <c r="D1220" s="74">
        <v>3</v>
      </c>
      <c r="E1220" s="81">
        <v>3</v>
      </c>
      <c r="F1220" s="85" t="s">
        <v>33</v>
      </c>
      <c r="G1220" s="85" t="s">
        <v>173</v>
      </c>
      <c r="H1220" s="74" t="s">
        <v>452</v>
      </c>
      <c r="I1220" s="74" t="s">
        <v>91</v>
      </c>
      <c r="J1220" s="74" t="s">
        <v>267</v>
      </c>
      <c r="K1220" s="85" t="s">
        <v>93</v>
      </c>
      <c r="L1220" s="66"/>
      <c r="M1220" s="18"/>
      <c r="N1220" s="18"/>
      <c r="O1220" s="18"/>
      <c r="P1220" s="18"/>
      <c r="Q1220" s="18"/>
      <c r="R1220" s="18"/>
      <c r="S1220" s="18"/>
      <c r="T1220" s="284"/>
      <c r="U1220" s="284"/>
      <c r="V1220" s="284"/>
      <c r="W1220" s="18"/>
      <c r="X1220" s="18"/>
      <c r="Y1220" s="18"/>
      <c r="Z1220" s="18"/>
    </row>
    <row r="1221" spans="1:26" ht="16.5" customHeight="1" x14ac:dyDescent="0.35">
      <c r="A1221" s="217"/>
      <c r="B1221" s="228" t="s">
        <v>72</v>
      </c>
      <c r="C1221" s="221"/>
      <c r="D1221" s="222"/>
      <c r="E1221" s="71">
        <f>SUM(E1204:E1220)</f>
        <v>17</v>
      </c>
      <c r="F1221" s="220"/>
      <c r="G1221" s="221"/>
      <c r="H1221" s="221"/>
      <c r="I1221" s="221"/>
      <c r="J1221" s="221"/>
      <c r="K1221" s="222"/>
      <c r="L1221" s="66"/>
      <c r="M1221" s="18"/>
      <c r="N1221" s="18"/>
      <c r="O1221" s="18"/>
      <c r="P1221" s="18"/>
      <c r="Q1221" s="18"/>
      <c r="R1221" s="18"/>
      <c r="S1221" s="18"/>
      <c r="T1221" s="293"/>
      <c r="U1221" s="295"/>
      <c r="V1221" s="294"/>
      <c r="W1221" s="18"/>
      <c r="X1221" s="18"/>
      <c r="Y1221" s="18"/>
      <c r="Z1221" s="18"/>
    </row>
    <row r="1222" spans="1:26" ht="16.5" customHeight="1" x14ac:dyDescent="0.35">
      <c r="A1222" s="229">
        <v>74</v>
      </c>
      <c r="B1222" s="238" t="s">
        <v>453</v>
      </c>
      <c r="C1222" s="227" t="s">
        <v>201</v>
      </c>
      <c r="D1222" s="218">
        <v>3</v>
      </c>
      <c r="E1222" s="216">
        <v>1.5</v>
      </c>
      <c r="F1222" s="218" t="s">
        <v>51</v>
      </c>
      <c r="G1222" s="218" t="s">
        <v>101</v>
      </c>
      <c r="H1222" s="74" t="s">
        <v>35</v>
      </c>
      <c r="I1222" s="74" t="s">
        <v>36</v>
      </c>
      <c r="J1222" s="74">
        <v>2.0099999999999998</v>
      </c>
      <c r="K1222" s="218" t="s">
        <v>38</v>
      </c>
      <c r="L1222" s="66"/>
      <c r="M1222" s="18"/>
      <c r="N1222" s="18"/>
      <c r="O1222" s="18"/>
      <c r="P1222" s="293"/>
      <c r="Q1222" s="295"/>
      <c r="R1222" s="294"/>
      <c r="S1222" s="18"/>
      <c r="T1222" s="284"/>
      <c r="U1222" s="284"/>
      <c r="V1222" s="284"/>
      <c r="W1222" s="18"/>
      <c r="X1222" s="18"/>
      <c r="Y1222" s="18"/>
      <c r="Z1222" s="18"/>
    </row>
    <row r="1223" spans="1:26" ht="16.5" customHeight="1" x14ac:dyDescent="0.35">
      <c r="A1223" s="230"/>
      <c r="B1223" s="230"/>
      <c r="C1223" s="217"/>
      <c r="D1223" s="217"/>
      <c r="E1223" s="217"/>
      <c r="F1223" s="217"/>
      <c r="G1223" s="217"/>
      <c r="H1223" s="74" t="s">
        <v>55</v>
      </c>
      <c r="I1223" s="74" t="s">
        <v>44</v>
      </c>
      <c r="J1223" s="74" t="s">
        <v>221</v>
      </c>
      <c r="K1223" s="217"/>
      <c r="L1223" s="66"/>
      <c r="M1223" s="18"/>
      <c r="N1223" s="18"/>
      <c r="O1223" s="18"/>
      <c r="P1223" s="284"/>
      <c r="Q1223" s="284"/>
      <c r="R1223" s="284"/>
      <c r="S1223" s="18"/>
      <c r="T1223" s="293"/>
      <c r="U1223" s="295"/>
      <c r="V1223" s="294"/>
      <c r="W1223" s="18"/>
      <c r="X1223" s="18"/>
      <c r="Y1223" s="18"/>
      <c r="Z1223" s="18"/>
    </row>
    <row r="1224" spans="1:26" ht="16.5" customHeight="1" x14ac:dyDescent="0.35">
      <c r="A1224" s="230"/>
      <c r="B1224" s="230"/>
      <c r="C1224" s="227" t="s">
        <v>32</v>
      </c>
      <c r="D1224" s="218">
        <v>3</v>
      </c>
      <c r="E1224" s="216">
        <v>3</v>
      </c>
      <c r="F1224" s="218" t="s">
        <v>75</v>
      </c>
      <c r="G1224" s="218" t="s">
        <v>289</v>
      </c>
      <c r="H1224" s="74" t="s">
        <v>46</v>
      </c>
      <c r="I1224" s="74" t="s">
        <v>40</v>
      </c>
      <c r="J1224" s="74" t="s">
        <v>169</v>
      </c>
      <c r="K1224" s="218" t="s">
        <v>38</v>
      </c>
      <c r="L1224" s="66"/>
      <c r="M1224" s="18"/>
      <c r="N1224" s="18"/>
      <c r="O1224" s="18"/>
      <c r="P1224" s="293"/>
      <c r="Q1224" s="295"/>
      <c r="R1224" s="294"/>
      <c r="S1224" s="18"/>
      <c r="T1224" s="284"/>
      <c r="U1224" s="284"/>
      <c r="V1224" s="284"/>
      <c r="W1224" s="18"/>
      <c r="X1224" s="18"/>
      <c r="Y1224" s="18"/>
      <c r="Z1224" s="18"/>
    </row>
    <row r="1225" spans="1:26" ht="16.5" customHeight="1" x14ac:dyDescent="0.35">
      <c r="A1225" s="230"/>
      <c r="B1225" s="230"/>
      <c r="C1225" s="217"/>
      <c r="D1225" s="217"/>
      <c r="E1225" s="217"/>
      <c r="F1225" s="217"/>
      <c r="G1225" s="217"/>
      <c r="H1225" s="74" t="s">
        <v>48</v>
      </c>
      <c r="I1225" s="74" t="s">
        <v>36</v>
      </c>
      <c r="J1225" s="74" t="s">
        <v>126</v>
      </c>
      <c r="K1225" s="217"/>
      <c r="L1225" s="66"/>
      <c r="M1225" s="18"/>
      <c r="N1225" s="18"/>
      <c r="O1225" s="18"/>
      <c r="P1225" s="284"/>
      <c r="Q1225" s="284"/>
      <c r="R1225" s="284"/>
      <c r="S1225" s="18"/>
      <c r="T1225" s="293"/>
      <c r="U1225" s="295"/>
      <c r="V1225" s="294"/>
      <c r="W1225" s="18"/>
      <c r="X1225" s="18"/>
      <c r="Y1225" s="18"/>
      <c r="Z1225" s="18"/>
    </row>
    <row r="1226" spans="1:26" ht="16.5" customHeight="1" x14ac:dyDescent="0.35">
      <c r="A1226" s="230"/>
      <c r="B1226" s="230"/>
      <c r="C1226" s="227" t="s">
        <v>32</v>
      </c>
      <c r="D1226" s="218">
        <v>3</v>
      </c>
      <c r="E1226" s="216">
        <v>3</v>
      </c>
      <c r="F1226" s="218" t="s">
        <v>75</v>
      </c>
      <c r="G1226" s="218" t="s">
        <v>272</v>
      </c>
      <c r="H1226" s="74" t="s">
        <v>46</v>
      </c>
      <c r="I1226" s="74" t="s">
        <v>36</v>
      </c>
      <c r="J1226" s="74" t="s">
        <v>150</v>
      </c>
      <c r="K1226" s="218" t="s">
        <v>54</v>
      </c>
      <c r="L1226" s="66"/>
      <c r="M1226" s="18"/>
      <c r="N1226" s="18"/>
      <c r="O1226" s="18"/>
      <c r="P1226" s="293"/>
      <c r="Q1226" s="295"/>
      <c r="R1226" s="294"/>
      <c r="S1226" s="18"/>
      <c r="T1226" s="284"/>
      <c r="U1226" s="284"/>
      <c r="V1226" s="284"/>
      <c r="W1226" s="18"/>
      <c r="X1226" s="18"/>
      <c r="Y1226" s="18"/>
      <c r="Z1226" s="18"/>
    </row>
    <row r="1227" spans="1:26" ht="16.5" customHeight="1" x14ac:dyDescent="0.35">
      <c r="A1227" s="230"/>
      <c r="B1227" s="230"/>
      <c r="C1227" s="217"/>
      <c r="D1227" s="217"/>
      <c r="E1227" s="217"/>
      <c r="F1227" s="217"/>
      <c r="G1227" s="217"/>
      <c r="H1227" s="74" t="s">
        <v>55</v>
      </c>
      <c r="I1227" s="74" t="s">
        <v>36</v>
      </c>
      <c r="J1227" s="74" t="s">
        <v>78</v>
      </c>
      <c r="K1227" s="217"/>
      <c r="L1227" s="66"/>
      <c r="M1227" s="18"/>
      <c r="N1227" s="18"/>
      <c r="O1227" s="18"/>
      <c r="P1227" s="284"/>
      <c r="Q1227" s="284"/>
      <c r="R1227" s="284"/>
      <c r="S1227" s="18"/>
      <c r="T1227" s="18"/>
      <c r="U1227" s="18"/>
      <c r="V1227" s="18"/>
      <c r="W1227" s="18"/>
      <c r="X1227" s="18"/>
      <c r="Y1227" s="18"/>
      <c r="Z1227" s="18"/>
    </row>
    <row r="1228" spans="1:26" ht="16.5" customHeight="1" x14ac:dyDescent="0.35">
      <c r="A1228" s="230"/>
      <c r="B1228" s="230"/>
      <c r="C1228" s="227" t="s">
        <v>58</v>
      </c>
      <c r="D1228" s="218">
        <v>3</v>
      </c>
      <c r="E1228" s="216">
        <v>1.5</v>
      </c>
      <c r="F1228" s="218" t="s">
        <v>454</v>
      </c>
      <c r="G1228" s="218" t="s">
        <v>34</v>
      </c>
      <c r="H1228" s="74" t="s">
        <v>46</v>
      </c>
      <c r="I1228" s="74" t="s">
        <v>131</v>
      </c>
      <c r="J1228" s="74" t="s">
        <v>60</v>
      </c>
      <c r="K1228" s="218" t="s">
        <v>38</v>
      </c>
      <c r="L1228" s="66"/>
      <c r="M1228" s="18"/>
      <c r="N1228" s="18"/>
      <c r="O1228" s="18"/>
      <c r="P1228" s="293"/>
      <c r="Q1228" s="295"/>
      <c r="R1228" s="294"/>
      <c r="S1228" s="18"/>
      <c r="T1228" s="293"/>
      <c r="U1228" s="295"/>
      <c r="V1228" s="294"/>
      <c r="W1228" s="18"/>
      <c r="X1228" s="18"/>
      <c r="Y1228" s="18"/>
      <c r="Z1228" s="18"/>
    </row>
    <row r="1229" spans="1:26" ht="16.5" customHeight="1" x14ac:dyDescent="0.35">
      <c r="A1229" s="230"/>
      <c r="B1229" s="230"/>
      <c r="C1229" s="217"/>
      <c r="D1229" s="217"/>
      <c r="E1229" s="217"/>
      <c r="F1229" s="217"/>
      <c r="G1229" s="217"/>
      <c r="H1229" s="74" t="s">
        <v>48</v>
      </c>
      <c r="I1229" s="74" t="s">
        <v>56</v>
      </c>
      <c r="J1229" s="74" t="s">
        <v>60</v>
      </c>
      <c r="K1229" s="217"/>
      <c r="L1229" s="66"/>
      <c r="M1229" s="18"/>
      <c r="N1229" s="18"/>
      <c r="O1229" s="18"/>
      <c r="P1229" s="284"/>
      <c r="Q1229" s="284"/>
      <c r="R1229" s="284"/>
      <c r="S1229" s="18"/>
      <c r="T1229" s="284"/>
      <c r="U1229" s="284"/>
      <c r="V1229" s="284"/>
      <c r="W1229" s="18"/>
      <c r="X1229" s="18"/>
      <c r="Y1229" s="18"/>
      <c r="Z1229" s="18"/>
    </row>
    <row r="1230" spans="1:26" ht="16.5" customHeight="1" x14ac:dyDescent="0.35">
      <c r="A1230" s="230"/>
      <c r="B1230" s="230"/>
      <c r="C1230" s="227" t="s">
        <v>50</v>
      </c>
      <c r="D1230" s="218">
        <v>3</v>
      </c>
      <c r="E1230" s="216">
        <v>1.5</v>
      </c>
      <c r="F1230" s="218" t="s">
        <v>375</v>
      </c>
      <c r="G1230" s="218" t="s">
        <v>34</v>
      </c>
      <c r="H1230" s="74" t="s">
        <v>39</v>
      </c>
      <c r="I1230" s="74" t="s">
        <v>36</v>
      </c>
      <c r="J1230" s="74" t="s">
        <v>338</v>
      </c>
      <c r="K1230" s="218" t="s">
        <v>54</v>
      </c>
      <c r="L1230" s="66"/>
      <c r="M1230" s="18"/>
      <c r="N1230" s="18"/>
      <c r="O1230" s="18"/>
      <c r="P1230" s="293"/>
      <c r="Q1230" s="295"/>
      <c r="R1230" s="294"/>
      <c r="S1230" s="18"/>
      <c r="T1230" s="293"/>
      <c r="U1230" s="295"/>
      <c r="V1230" s="294"/>
      <c r="W1230" s="18"/>
      <c r="X1230" s="18"/>
      <c r="Y1230" s="18"/>
      <c r="Z1230" s="18"/>
    </row>
    <row r="1231" spans="1:26" ht="16.5" customHeight="1" x14ac:dyDescent="0.35">
      <c r="A1231" s="217"/>
      <c r="B1231" s="217"/>
      <c r="C1231" s="219"/>
      <c r="D1231" s="219"/>
      <c r="E1231" s="219"/>
      <c r="F1231" s="219"/>
      <c r="G1231" s="219"/>
      <c r="H1231" s="67" t="s">
        <v>119</v>
      </c>
      <c r="I1231" s="84" t="s">
        <v>44</v>
      </c>
      <c r="J1231" s="84" t="s">
        <v>296</v>
      </c>
      <c r="K1231" s="219"/>
      <c r="L1231" s="66"/>
      <c r="M1231" s="18"/>
      <c r="N1231" s="18"/>
      <c r="O1231" s="18"/>
      <c r="P1231" s="284"/>
      <c r="Q1231" s="284"/>
      <c r="R1231" s="284"/>
      <c r="S1231" s="18"/>
      <c r="T1231" s="284"/>
      <c r="U1231" s="284"/>
      <c r="V1231" s="284"/>
      <c r="W1231" s="18"/>
      <c r="X1231" s="18"/>
      <c r="Y1231" s="18"/>
      <c r="Z1231" s="18"/>
    </row>
    <row r="1232" spans="1:26" ht="16.5" customHeight="1" x14ac:dyDescent="0.35">
      <c r="A1232" s="59"/>
      <c r="B1232" s="59"/>
      <c r="C1232" s="60"/>
      <c r="D1232" s="61"/>
      <c r="E1232" s="62"/>
      <c r="F1232" s="61"/>
      <c r="G1232" s="61"/>
      <c r="H1232" s="61"/>
      <c r="I1232" s="61"/>
      <c r="J1232" s="61"/>
      <c r="K1232" s="61"/>
      <c r="L1232" s="66"/>
      <c r="M1232" s="18"/>
      <c r="N1232" s="18"/>
      <c r="O1232" s="18"/>
      <c r="P1232" s="7"/>
      <c r="Q1232" s="7"/>
      <c r="R1232" s="7"/>
      <c r="S1232" s="18"/>
      <c r="T1232" s="7"/>
      <c r="U1232" s="7"/>
      <c r="V1232" s="7"/>
      <c r="W1232" s="18"/>
      <c r="X1232" s="18"/>
      <c r="Y1232" s="18"/>
      <c r="Z1232" s="18"/>
    </row>
    <row r="1233" spans="1:26" ht="16.5" customHeight="1" x14ac:dyDescent="0.35">
      <c r="A1233" s="65"/>
      <c r="B1233" s="65"/>
      <c r="C1233" s="66"/>
      <c r="D1233" s="67"/>
      <c r="E1233" s="68"/>
      <c r="F1233" s="67"/>
      <c r="G1233" s="67"/>
      <c r="H1233" s="67"/>
      <c r="I1233" s="67"/>
      <c r="J1233" s="67"/>
      <c r="K1233" s="67"/>
      <c r="L1233" s="66"/>
      <c r="M1233" s="18"/>
      <c r="N1233" s="18"/>
      <c r="O1233" s="18"/>
      <c r="P1233" s="7"/>
      <c r="Q1233" s="7"/>
      <c r="R1233" s="7"/>
      <c r="S1233" s="18"/>
      <c r="T1233" s="7"/>
      <c r="U1233" s="7"/>
      <c r="V1233" s="7"/>
      <c r="W1233" s="18"/>
      <c r="X1233" s="18"/>
      <c r="Y1233" s="18"/>
      <c r="Z1233" s="18"/>
    </row>
    <row r="1234" spans="1:26" ht="16.5" customHeight="1" x14ac:dyDescent="0.35">
      <c r="A1234" s="65"/>
      <c r="B1234" s="65"/>
      <c r="C1234" s="66"/>
      <c r="D1234" s="67"/>
      <c r="E1234" s="68"/>
      <c r="F1234" s="67"/>
      <c r="G1234" s="67"/>
      <c r="H1234" s="67"/>
      <c r="I1234" s="67"/>
      <c r="J1234" s="67"/>
      <c r="K1234" s="67"/>
      <c r="L1234" s="66"/>
      <c r="M1234" s="18"/>
      <c r="N1234" s="18"/>
      <c r="O1234" s="18"/>
      <c r="P1234" s="7"/>
      <c r="Q1234" s="7"/>
      <c r="R1234" s="7"/>
      <c r="S1234" s="18"/>
      <c r="T1234" s="7"/>
      <c r="U1234" s="7"/>
      <c r="V1234" s="7"/>
      <c r="W1234" s="18"/>
      <c r="X1234" s="18"/>
      <c r="Y1234" s="18"/>
      <c r="Z1234" s="18"/>
    </row>
    <row r="1235" spans="1:26" ht="16.5" customHeight="1" x14ac:dyDescent="0.35">
      <c r="A1235" s="65"/>
      <c r="B1235" s="65"/>
      <c r="C1235" s="66"/>
      <c r="D1235" s="67"/>
      <c r="E1235" s="68"/>
      <c r="F1235" s="67"/>
      <c r="G1235" s="67"/>
      <c r="H1235" s="67"/>
      <c r="I1235" s="67"/>
      <c r="J1235" s="67"/>
      <c r="K1235" s="67"/>
      <c r="L1235" s="66"/>
      <c r="M1235" s="18"/>
      <c r="N1235" s="18"/>
      <c r="O1235" s="18"/>
      <c r="P1235" s="7"/>
      <c r="Q1235" s="7"/>
      <c r="R1235" s="7"/>
      <c r="S1235" s="18"/>
      <c r="T1235" s="7"/>
      <c r="U1235" s="7"/>
      <c r="V1235" s="7"/>
      <c r="W1235" s="18"/>
      <c r="X1235" s="18"/>
      <c r="Y1235" s="18"/>
      <c r="Z1235" s="18"/>
    </row>
    <row r="1236" spans="1:26" ht="16.5" customHeight="1" x14ac:dyDescent="0.35">
      <c r="A1236" s="65"/>
      <c r="B1236" s="65"/>
      <c r="C1236" s="66"/>
      <c r="D1236" s="67"/>
      <c r="E1236" s="68"/>
      <c r="F1236" s="67"/>
      <c r="G1236" s="67"/>
      <c r="H1236" s="67"/>
      <c r="I1236" s="67"/>
      <c r="J1236" s="67"/>
      <c r="K1236" s="67"/>
      <c r="L1236" s="66"/>
      <c r="M1236" s="18"/>
      <c r="N1236" s="18"/>
      <c r="O1236" s="18"/>
      <c r="P1236" s="7"/>
      <c r="Q1236" s="7"/>
      <c r="R1236" s="7"/>
      <c r="S1236" s="18"/>
      <c r="T1236" s="7"/>
      <c r="U1236" s="7"/>
      <c r="V1236" s="7"/>
      <c r="W1236" s="18"/>
      <c r="X1236" s="18"/>
      <c r="Y1236" s="18"/>
      <c r="Z1236" s="18"/>
    </row>
    <row r="1237" spans="1:26" ht="16.5" customHeight="1" x14ac:dyDescent="0.35">
      <c r="A1237" s="65"/>
      <c r="B1237" s="65"/>
      <c r="C1237" s="66"/>
      <c r="D1237" s="67"/>
      <c r="E1237" s="68"/>
      <c r="F1237" s="67"/>
      <c r="G1237" s="67"/>
      <c r="H1237" s="67"/>
      <c r="I1237" s="67"/>
      <c r="J1237" s="67"/>
      <c r="K1237" s="67"/>
      <c r="L1237" s="66"/>
      <c r="M1237" s="18"/>
      <c r="N1237" s="18"/>
      <c r="O1237" s="18"/>
      <c r="P1237" s="7"/>
      <c r="Q1237" s="7"/>
      <c r="R1237" s="7"/>
      <c r="S1237" s="18"/>
      <c r="T1237" s="7"/>
      <c r="U1237" s="7"/>
      <c r="V1237" s="7"/>
      <c r="W1237" s="18"/>
      <c r="X1237" s="18"/>
      <c r="Y1237" s="18"/>
      <c r="Z1237" s="18"/>
    </row>
    <row r="1238" spans="1:26" ht="16.5" customHeight="1" x14ac:dyDescent="0.35">
      <c r="A1238" s="223" t="s">
        <v>7</v>
      </c>
      <c r="B1238" s="223" t="s">
        <v>8</v>
      </c>
      <c r="C1238" s="223" t="s">
        <v>9</v>
      </c>
      <c r="D1238" s="220" t="s">
        <v>10</v>
      </c>
      <c r="E1238" s="222"/>
      <c r="F1238" s="223" t="s">
        <v>11</v>
      </c>
      <c r="G1238" s="223" t="s">
        <v>12</v>
      </c>
      <c r="H1238" s="226" t="s">
        <v>13</v>
      </c>
      <c r="I1238" s="221"/>
      <c r="J1238" s="221"/>
      <c r="K1238" s="222"/>
      <c r="L1238" s="66"/>
      <c r="M1238" s="18"/>
      <c r="N1238" s="18"/>
      <c r="O1238" s="18"/>
      <c r="P1238" s="7"/>
      <c r="Q1238" s="7"/>
      <c r="R1238" s="7"/>
      <c r="S1238" s="18"/>
      <c r="T1238" s="7"/>
      <c r="U1238" s="7"/>
      <c r="V1238" s="7"/>
      <c r="W1238" s="18"/>
      <c r="X1238" s="18"/>
      <c r="Y1238" s="18"/>
      <c r="Z1238" s="18"/>
    </row>
    <row r="1239" spans="1:26" ht="16.5" customHeight="1" x14ac:dyDescent="0.35">
      <c r="A1239" s="217"/>
      <c r="B1239" s="217"/>
      <c r="C1239" s="217"/>
      <c r="D1239" s="70" t="s">
        <v>14</v>
      </c>
      <c r="E1239" s="71" t="s">
        <v>15</v>
      </c>
      <c r="F1239" s="217"/>
      <c r="G1239" s="217"/>
      <c r="H1239" s="70" t="s">
        <v>16</v>
      </c>
      <c r="I1239" s="70" t="s">
        <v>17</v>
      </c>
      <c r="J1239" s="70" t="s">
        <v>18</v>
      </c>
      <c r="K1239" s="70" t="s">
        <v>19</v>
      </c>
      <c r="L1239" s="66"/>
      <c r="M1239" s="18"/>
      <c r="N1239" s="18"/>
      <c r="O1239" s="18"/>
      <c r="P1239" s="7"/>
      <c r="Q1239" s="7"/>
      <c r="R1239" s="7"/>
      <c r="S1239" s="18"/>
      <c r="T1239" s="7"/>
      <c r="U1239" s="7"/>
      <c r="V1239" s="7"/>
      <c r="W1239" s="18"/>
      <c r="X1239" s="18"/>
      <c r="Y1239" s="18"/>
      <c r="Z1239" s="18"/>
    </row>
    <row r="1240" spans="1:26" ht="16.5" customHeight="1" x14ac:dyDescent="0.35">
      <c r="A1240" s="72" t="s">
        <v>20</v>
      </c>
      <c r="B1240" s="73" t="s">
        <v>21</v>
      </c>
      <c r="C1240" s="73" t="s">
        <v>22</v>
      </c>
      <c r="D1240" s="70" t="s">
        <v>23</v>
      </c>
      <c r="E1240" s="71" t="s">
        <v>24</v>
      </c>
      <c r="F1240" s="70" t="s">
        <v>25</v>
      </c>
      <c r="G1240" s="70" t="s">
        <v>26</v>
      </c>
      <c r="H1240" s="70" t="s">
        <v>27</v>
      </c>
      <c r="I1240" s="70" t="s">
        <v>28</v>
      </c>
      <c r="J1240" s="70" t="s">
        <v>29</v>
      </c>
      <c r="K1240" s="70" t="s">
        <v>30</v>
      </c>
      <c r="L1240" s="66"/>
      <c r="M1240" s="18"/>
      <c r="N1240" s="18"/>
      <c r="O1240" s="18"/>
      <c r="P1240" s="7"/>
      <c r="Q1240" s="7"/>
      <c r="R1240" s="7"/>
      <c r="S1240" s="18"/>
      <c r="T1240" s="7"/>
      <c r="U1240" s="7"/>
      <c r="V1240" s="7"/>
      <c r="W1240" s="18"/>
      <c r="X1240" s="18"/>
      <c r="Y1240" s="18"/>
      <c r="Z1240" s="18"/>
    </row>
    <row r="1241" spans="1:26" ht="16.5" customHeight="1" x14ac:dyDescent="0.35">
      <c r="A1241" s="229">
        <v>74</v>
      </c>
      <c r="B1241" s="238" t="s">
        <v>453</v>
      </c>
      <c r="C1241" s="245" t="s">
        <v>50</v>
      </c>
      <c r="D1241" s="224">
        <v>3</v>
      </c>
      <c r="E1241" s="225">
        <v>1.5</v>
      </c>
      <c r="F1241" s="224" t="s">
        <v>33</v>
      </c>
      <c r="G1241" s="224" t="s">
        <v>34</v>
      </c>
      <c r="H1241" s="85" t="s">
        <v>39</v>
      </c>
      <c r="I1241" s="85" t="s">
        <v>56</v>
      </c>
      <c r="J1241" s="85" t="s">
        <v>77</v>
      </c>
      <c r="K1241" s="224" t="s">
        <v>54</v>
      </c>
      <c r="L1241" s="66"/>
      <c r="M1241" s="18"/>
      <c r="N1241" s="18"/>
      <c r="O1241" s="18"/>
      <c r="P1241" s="293"/>
      <c r="Q1241" s="295"/>
      <c r="R1241" s="294"/>
      <c r="S1241" s="18"/>
      <c r="T1241" s="293"/>
      <c r="U1241" s="295"/>
      <c r="V1241" s="294"/>
      <c r="W1241" s="18"/>
      <c r="X1241" s="18"/>
      <c r="Y1241" s="18"/>
      <c r="Z1241" s="18"/>
    </row>
    <row r="1242" spans="1:26" ht="16.5" customHeight="1" x14ac:dyDescent="0.35">
      <c r="A1242" s="230"/>
      <c r="B1242" s="230"/>
      <c r="C1242" s="217"/>
      <c r="D1242" s="217"/>
      <c r="E1242" s="217"/>
      <c r="F1242" s="217"/>
      <c r="G1242" s="217"/>
      <c r="H1242" s="74" t="s">
        <v>55</v>
      </c>
      <c r="I1242" s="74" t="s">
        <v>123</v>
      </c>
      <c r="J1242" s="74" t="s">
        <v>77</v>
      </c>
      <c r="K1242" s="217"/>
      <c r="L1242" s="66"/>
      <c r="M1242" s="18"/>
      <c r="N1242" s="18"/>
      <c r="O1242" s="18"/>
      <c r="P1242" s="284"/>
      <c r="Q1242" s="284"/>
      <c r="R1242" s="284"/>
      <c r="S1242" s="18"/>
      <c r="T1242" s="284"/>
      <c r="U1242" s="284"/>
      <c r="V1242" s="284"/>
      <c r="W1242" s="18"/>
      <c r="X1242" s="18"/>
      <c r="Y1242" s="18"/>
      <c r="Z1242" s="18"/>
    </row>
    <row r="1243" spans="1:26" ht="16.5" customHeight="1" x14ac:dyDescent="0.35">
      <c r="A1243" s="230"/>
      <c r="B1243" s="230"/>
      <c r="C1243" s="245" t="s">
        <v>58</v>
      </c>
      <c r="D1243" s="224">
        <v>3</v>
      </c>
      <c r="E1243" s="225">
        <v>1.5</v>
      </c>
      <c r="F1243" s="224" t="s">
        <v>33</v>
      </c>
      <c r="G1243" s="224" t="s">
        <v>42</v>
      </c>
      <c r="H1243" s="74" t="s">
        <v>35</v>
      </c>
      <c r="I1243" s="74" t="s">
        <v>61</v>
      </c>
      <c r="J1243" s="74" t="s">
        <v>60</v>
      </c>
      <c r="K1243" s="224" t="s">
        <v>54</v>
      </c>
      <c r="L1243" s="66"/>
      <c r="M1243" s="18"/>
      <c r="N1243" s="18"/>
      <c r="O1243" s="18"/>
      <c r="P1243" s="25"/>
      <c r="Q1243" s="26"/>
      <c r="R1243" s="27"/>
      <c r="S1243" s="18"/>
      <c r="T1243" s="25"/>
      <c r="U1243" s="26"/>
      <c r="V1243" s="27"/>
      <c r="W1243" s="18"/>
      <c r="X1243" s="18"/>
      <c r="Y1243" s="18"/>
      <c r="Z1243" s="18"/>
    </row>
    <row r="1244" spans="1:26" ht="16.5" customHeight="1" x14ac:dyDescent="0.35">
      <c r="A1244" s="230"/>
      <c r="B1244" s="217"/>
      <c r="C1244" s="217"/>
      <c r="D1244" s="217"/>
      <c r="E1244" s="217"/>
      <c r="F1244" s="217"/>
      <c r="G1244" s="217"/>
      <c r="H1244" s="74" t="s">
        <v>48</v>
      </c>
      <c r="I1244" s="74" t="s">
        <v>61</v>
      </c>
      <c r="J1244" s="74" t="s">
        <v>60</v>
      </c>
      <c r="K1244" s="217"/>
      <c r="L1244" s="66"/>
      <c r="M1244" s="18"/>
      <c r="N1244" s="18"/>
      <c r="O1244" s="18"/>
      <c r="P1244" s="25"/>
      <c r="Q1244" s="26"/>
      <c r="R1244" s="27"/>
      <c r="S1244" s="18"/>
      <c r="T1244" s="25"/>
      <c r="U1244" s="26"/>
      <c r="V1244" s="27"/>
      <c r="W1244" s="18"/>
      <c r="X1244" s="18"/>
      <c r="Y1244" s="18"/>
      <c r="Z1244" s="18"/>
    </row>
    <row r="1245" spans="1:26" ht="16.5" customHeight="1" x14ac:dyDescent="0.35">
      <c r="A1245" s="217"/>
      <c r="B1245" s="228" t="s">
        <v>72</v>
      </c>
      <c r="C1245" s="221"/>
      <c r="D1245" s="222"/>
      <c r="E1245" s="71">
        <f>SUM(E1222:E1242)</f>
        <v>12</v>
      </c>
      <c r="F1245" s="306"/>
      <c r="G1245" s="221"/>
      <c r="H1245" s="221"/>
      <c r="I1245" s="221"/>
      <c r="J1245" s="221"/>
      <c r="K1245" s="222"/>
      <c r="L1245" s="66"/>
      <c r="M1245" s="18"/>
      <c r="N1245" s="18"/>
      <c r="O1245" s="18"/>
      <c r="P1245" s="18"/>
      <c r="Q1245" s="18"/>
      <c r="R1245" s="18"/>
      <c r="S1245" s="18"/>
      <c r="T1245" s="293"/>
      <c r="U1245" s="295"/>
      <c r="V1245" s="294"/>
      <c r="W1245" s="18"/>
      <c r="X1245" s="18"/>
      <c r="Y1245" s="18"/>
      <c r="Z1245" s="18"/>
    </row>
    <row r="1246" spans="1:26" ht="16.5" customHeight="1" x14ac:dyDescent="0.35">
      <c r="A1246" s="229">
        <v>75</v>
      </c>
      <c r="B1246" s="238" t="s">
        <v>455</v>
      </c>
      <c r="C1246" s="227" t="s">
        <v>374</v>
      </c>
      <c r="D1246" s="218">
        <v>2</v>
      </c>
      <c r="E1246" s="216">
        <v>2</v>
      </c>
      <c r="F1246" s="218" t="s">
        <v>75</v>
      </c>
      <c r="G1246" s="218" t="s">
        <v>177</v>
      </c>
      <c r="H1246" s="74" t="s">
        <v>35</v>
      </c>
      <c r="I1246" s="74" t="s">
        <v>56</v>
      </c>
      <c r="J1246" s="74" t="s">
        <v>126</v>
      </c>
      <c r="K1246" s="218" t="s">
        <v>54</v>
      </c>
      <c r="L1246" s="66"/>
      <c r="M1246" s="18"/>
      <c r="N1246" s="18"/>
      <c r="O1246" s="18"/>
      <c r="P1246" s="293"/>
      <c r="Q1246" s="295"/>
      <c r="R1246" s="294"/>
      <c r="S1246" s="18"/>
      <c r="T1246" s="284"/>
      <c r="U1246" s="284"/>
      <c r="V1246" s="284"/>
      <c r="W1246" s="18"/>
      <c r="X1246" s="18"/>
      <c r="Y1246" s="18"/>
      <c r="Z1246" s="18"/>
    </row>
    <row r="1247" spans="1:26" ht="16.5" customHeight="1" x14ac:dyDescent="0.35">
      <c r="A1247" s="230"/>
      <c r="B1247" s="230"/>
      <c r="C1247" s="217"/>
      <c r="D1247" s="217"/>
      <c r="E1247" s="217"/>
      <c r="F1247" s="217"/>
      <c r="G1247" s="217"/>
      <c r="H1247" s="74" t="s">
        <v>48</v>
      </c>
      <c r="I1247" s="74" t="s">
        <v>52</v>
      </c>
      <c r="J1247" s="74" t="s">
        <v>150</v>
      </c>
      <c r="K1247" s="217"/>
      <c r="L1247" s="66"/>
      <c r="M1247" s="18"/>
      <c r="N1247" s="18"/>
      <c r="O1247" s="18"/>
      <c r="P1247" s="284"/>
      <c r="Q1247" s="284"/>
      <c r="R1247" s="284"/>
      <c r="S1247" s="18"/>
      <c r="T1247" s="293"/>
      <c r="U1247" s="295"/>
      <c r="V1247" s="294"/>
      <c r="W1247" s="18"/>
      <c r="X1247" s="18"/>
      <c r="Y1247" s="18"/>
      <c r="Z1247" s="18"/>
    </row>
    <row r="1248" spans="1:26" ht="16.5" customHeight="1" x14ac:dyDescent="0.35">
      <c r="A1248" s="230"/>
      <c r="B1248" s="230"/>
      <c r="C1248" s="227" t="s">
        <v>353</v>
      </c>
      <c r="D1248" s="218">
        <v>3</v>
      </c>
      <c r="E1248" s="216">
        <v>3</v>
      </c>
      <c r="F1248" s="218" t="s">
        <v>51</v>
      </c>
      <c r="G1248" s="218" t="s">
        <v>136</v>
      </c>
      <c r="H1248" s="74" t="s">
        <v>35</v>
      </c>
      <c r="I1248" s="74" t="s">
        <v>40</v>
      </c>
      <c r="J1248" s="74" t="s">
        <v>132</v>
      </c>
      <c r="K1248" s="218" t="s">
        <v>38</v>
      </c>
      <c r="L1248" s="66"/>
      <c r="M1248" s="18"/>
      <c r="N1248" s="18"/>
      <c r="O1248" s="18"/>
      <c r="P1248" s="293"/>
      <c r="Q1248" s="295"/>
      <c r="R1248" s="294"/>
      <c r="S1248" s="18"/>
      <c r="T1248" s="284"/>
      <c r="U1248" s="284"/>
      <c r="V1248" s="284"/>
      <c r="W1248" s="18"/>
      <c r="X1248" s="18"/>
      <c r="Y1248" s="18"/>
      <c r="Z1248" s="18"/>
    </row>
    <row r="1249" spans="1:26" ht="16.5" customHeight="1" x14ac:dyDescent="0.35">
      <c r="A1249" s="230"/>
      <c r="B1249" s="217"/>
      <c r="C1249" s="217"/>
      <c r="D1249" s="217"/>
      <c r="E1249" s="217"/>
      <c r="F1249" s="217"/>
      <c r="G1249" s="217"/>
      <c r="H1249" s="74" t="s">
        <v>55</v>
      </c>
      <c r="I1249" s="74" t="s">
        <v>44</v>
      </c>
      <c r="J1249" s="74" t="s">
        <v>196</v>
      </c>
      <c r="K1249" s="217"/>
      <c r="L1249" s="66"/>
      <c r="M1249" s="18"/>
      <c r="N1249" s="18"/>
      <c r="O1249" s="18"/>
      <c r="P1249" s="284"/>
      <c r="Q1249" s="284"/>
      <c r="R1249" s="284"/>
      <c r="S1249" s="18"/>
      <c r="T1249" s="293"/>
      <c r="U1249" s="295"/>
      <c r="V1249" s="294"/>
      <c r="W1249" s="18"/>
      <c r="X1249" s="18"/>
      <c r="Y1249" s="18"/>
      <c r="Z1249" s="18"/>
    </row>
    <row r="1250" spans="1:26" ht="16.5" customHeight="1" x14ac:dyDescent="0.35">
      <c r="A1250" s="217"/>
      <c r="B1250" s="228" t="s">
        <v>72</v>
      </c>
      <c r="C1250" s="221"/>
      <c r="D1250" s="222"/>
      <c r="E1250" s="71">
        <f>SUM(E1246:E1248)</f>
        <v>5</v>
      </c>
      <c r="F1250" s="220"/>
      <c r="G1250" s="221"/>
      <c r="H1250" s="221"/>
      <c r="I1250" s="221"/>
      <c r="J1250" s="221"/>
      <c r="K1250" s="222"/>
      <c r="L1250" s="66"/>
      <c r="M1250" s="18"/>
      <c r="N1250" s="18"/>
      <c r="O1250" s="18"/>
      <c r="P1250" s="18"/>
      <c r="Q1250" s="18"/>
      <c r="R1250" s="18"/>
      <c r="S1250" s="18"/>
      <c r="T1250" s="284"/>
      <c r="U1250" s="284"/>
      <c r="V1250" s="284"/>
      <c r="W1250" s="18"/>
      <c r="X1250" s="18"/>
      <c r="Y1250" s="18"/>
      <c r="Z1250" s="18"/>
    </row>
    <row r="1251" spans="1:26" ht="16.5" customHeight="1" x14ac:dyDescent="0.35">
      <c r="A1251" s="229">
        <v>76</v>
      </c>
      <c r="B1251" s="235" t="s">
        <v>456</v>
      </c>
      <c r="C1251" s="227" t="s">
        <v>32</v>
      </c>
      <c r="D1251" s="218">
        <v>3</v>
      </c>
      <c r="E1251" s="216">
        <v>1.5</v>
      </c>
      <c r="F1251" s="218" t="s">
        <v>158</v>
      </c>
      <c r="G1251" s="218" t="s">
        <v>34</v>
      </c>
      <c r="H1251" s="74" t="s">
        <v>46</v>
      </c>
      <c r="I1251" s="74" t="s">
        <v>36</v>
      </c>
      <c r="J1251" s="74" t="s">
        <v>159</v>
      </c>
      <c r="K1251" s="218" t="s">
        <v>38</v>
      </c>
      <c r="L1251" s="66"/>
      <c r="M1251" s="18"/>
      <c r="N1251" s="18"/>
      <c r="O1251" s="18"/>
      <c r="P1251" s="293"/>
      <c r="Q1251" s="295"/>
      <c r="R1251" s="294"/>
      <c r="S1251" s="18"/>
      <c r="T1251" s="18"/>
      <c r="U1251" s="18"/>
      <c r="V1251" s="18"/>
      <c r="W1251" s="18"/>
      <c r="X1251" s="18"/>
      <c r="Y1251" s="18"/>
      <c r="Z1251" s="18"/>
    </row>
    <row r="1252" spans="1:26" ht="16.5" customHeight="1" x14ac:dyDescent="0.35">
      <c r="A1252" s="230"/>
      <c r="B1252" s="236"/>
      <c r="C1252" s="217"/>
      <c r="D1252" s="217"/>
      <c r="E1252" s="217"/>
      <c r="F1252" s="217"/>
      <c r="G1252" s="217"/>
      <c r="H1252" s="74" t="s">
        <v>55</v>
      </c>
      <c r="I1252" s="74" t="s">
        <v>36</v>
      </c>
      <c r="J1252" s="74" t="s">
        <v>124</v>
      </c>
      <c r="K1252" s="217"/>
      <c r="L1252" s="66"/>
      <c r="M1252" s="18"/>
      <c r="N1252" s="18"/>
      <c r="O1252" s="18"/>
      <c r="P1252" s="284"/>
      <c r="Q1252" s="284"/>
      <c r="R1252" s="284"/>
      <c r="S1252" s="18"/>
      <c r="T1252" s="18"/>
      <c r="U1252" s="18"/>
      <c r="V1252" s="18"/>
      <c r="W1252" s="18"/>
      <c r="X1252" s="18"/>
      <c r="Y1252" s="18"/>
      <c r="Z1252" s="18"/>
    </row>
    <row r="1253" spans="1:26" ht="16.5" customHeight="1" x14ac:dyDescent="0.35">
      <c r="A1253" s="230"/>
      <c r="B1253" s="236"/>
      <c r="C1253" s="227" t="s">
        <v>32</v>
      </c>
      <c r="D1253" s="218">
        <v>3</v>
      </c>
      <c r="E1253" s="216">
        <v>1.5</v>
      </c>
      <c r="F1253" s="218" t="s">
        <v>75</v>
      </c>
      <c r="G1253" s="218" t="s">
        <v>34</v>
      </c>
      <c r="H1253" s="74" t="s">
        <v>35</v>
      </c>
      <c r="I1253" s="74" t="s">
        <v>44</v>
      </c>
      <c r="J1253" s="74" t="s">
        <v>126</v>
      </c>
      <c r="K1253" s="218" t="s">
        <v>38</v>
      </c>
      <c r="L1253" s="66"/>
      <c r="M1253" s="18"/>
      <c r="N1253" s="18"/>
      <c r="O1253" s="18"/>
      <c r="P1253" s="293"/>
      <c r="Q1253" s="295"/>
      <c r="R1253" s="294"/>
      <c r="S1253" s="18"/>
      <c r="T1253" s="293"/>
      <c r="U1253" s="295"/>
      <c r="V1253" s="294"/>
      <c r="W1253" s="18"/>
      <c r="X1253" s="18"/>
      <c r="Y1253" s="18"/>
      <c r="Z1253" s="18"/>
    </row>
    <row r="1254" spans="1:26" ht="16.5" customHeight="1" x14ac:dyDescent="0.35">
      <c r="A1254" s="230"/>
      <c r="B1254" s="236"/>
      <c r="C1254" s="217"/>
      <c r="D1254" s="217"/>
      <c r="E1254" s="217"/>
      <c r="F1254" s="217"/>
      <c r="G1254" s="217"/>
      <c r="H1254" s="74" t="s">
        <v>48</v>
      </c>
      <c r="I1254" s="74" t="s">
        <v>36</v>
      </c>
      <c r="J1254" s="74" t="s">
        <v>373</v>
      </c>
      <c r="K1254" s="217"/>
      <c r="L1254" s="66"/>
      <c r="M1254" s="18"/>
      <c r="N1254" s="18"/>
      <c r="O1254" s="18"/>
      <c r="P1254" s="284"/>
      <c r="Q1254" s="284"/>
      <c r="R1254" s="284"/>
      <c r="S1254" s="18"/>
      <c r="T1254" s="284"/>
      <c r="U1254" s="284"/>
      <c r="V1254" s="284"/>
      <c r="W1254" s="18"/>
      <c r="X1254" s="18"/>
      <c r="Y1254" s="18"/>
      <c r="Z1254" s="18"/>
    </row>
    <row r="1255" spans="1:26" ht="16.5" customHeight="1" x14ac:dyDescent="0.35">
      <c r="A1255" s="230"/>
      <c r="B1255" s="236"/>
      <c r="C1255" s="227" t="s">
        <v>32</v>
      </c>
      <c r="D1255" s="218">
        <v>3</v>
      </c>
      <c r="E1255" s="216">
        <v>1.5</v>
      </c>
      <c r="F1255" s="218" t="s">
        <v>75</v>
      </c>
      <c r="G1255" s="218" t="s">
        <v>42</v>
      </c>
      <c r="H1255" s="74" t="s">
        <v>46</v>
      </c>
      <c r="I1255" s="74" t="s">
        <v>40</v>
      </c>
      <c r="J1255" s="74" t="s">
        <v>150</v>
      </c>
      <c r="K1255" s="218" t="s">
        <v>38</v>
      </c>
      <c r="L1255" s="66"/>
      <c r="M1255" s="18"/>
      <c r="N1255" s="18"/>
      <c r="O1255" s="18"/>
      <c r="P1255" s="293"/>
      <c r="Q1255" s="295"/>
      <c r="R1255" s="294"/>
      <c r="S1255" s="18"/>
      <c r="T1255" s="293"/>
      <c r="U1255" s="295"/>
      <c r="V1255" s="294"/>
      <c r="W1255" s="18"/>
      <c r="X1255" s="18"/>
      <c r="Y1255" s="18"/>
      <c r="Z1255" s="18"/>
    </row>
    <row r="1256" spans="1:26" ht="16.5" customHeight="1" x14ac:dyDescent="0.35">
      <c r="A1256" s="230"/>
      <c r="B1256" s="236"/>
      <c r="C1256" s="217"/>
      <c r="D1256" s="217"/>
      <c r="E1256" s="217"/>
      <c r="F1256" s="217"/>
      <c r="G1256" s="217"/>
      <c r="H1256" s="74" t="s">
        <v>48</v>
      </c>
      <c r="I1256" s="74" t="s">
        <v>40</v>
      </c>
      <c r="J1256" s="74" t="s">
        <v>133</v>
      </c>
      <c r="K1256" s="217"/>
      <c r="L1256" s="66"/>
      <c r="M1256" s="18"/>
      <c r="N1256" s="18"/>
      <c r="O1256" s="18"/>
      <c r="P1256" s="284"/>
      <c r="Q1256" s="284"/>
      <c r="R1256" s="284"/>
      <c r="S1256" s="18"/>
      <c r="T1256" s="284"/>
      <c r="U1256" s="284"/>
      <c r="V1256" s="284"/>
      <c r="W1256" s="18"/>
      <c r="X1256" s="18"/>
      <c r="Y1256" s="18"/>
      <c r="Z1256" s="18"/>
    </row>
    <row r="1257" spans="1:26" ht="16.5" customHeight="1" x14ac:dyDescent="0.35">
      <c r="A1257" s="230"/>
      <c r="B1257" s="236"/>
      <c r="C1257" s="227" t="s">
        <v>32</v>
      </c>
      <c r="D1257" s="218">
        <v>3</v>
      </c>
      <c r="E1257" s="216">
        <v>1.5</v>
      </c>
      <c r="F1257" s="218" t="s">
        <v>75</v>
      </c>
      <c r="G1257" s="218" t="s">
        <v>45</v>
      </c>
      <c r="H1257" s="74" t="s">
        <v>46</v>
      </c>
      <c r="I1257" s="74" t="s">
        <v>44</v>
      </c>
      <c r="J1257" s="74" t="s">
        <v>65</v>
      </c>
      <c r="K1257" s="218" t="s">
        <v>38</v>
      </c>
      <c r="L1257" s="66"/>
      <c r="M1257" s="18"/>
      <c r="N1257" s="18"/>
      <c r="O1257" s="18"/>
      <c r="P1257" s="293"/>
      <c r="Q1257" s="295"/>
      <c r="R1257" s="294"/>
      <c r="S1257" s="18"/>
      <c r="T1257" s="293"/>
      <c r="U1257" s="295"/>
      <c r="V1257" s="294"/>
      <c r="W1257" s="18"/>
      <c r="X1257" s="18"/>
      <c r="Y1257" s="18"/>
      <c r="Z1257" s="18"/>
    </row>
    <row r="1258" spans="1:26" ht="16.5" customHeight="1" x14ac:dyDescent="0.35">
      <c r="A1258" s="230"/>
      <c r="B1258" s="236"/>
      <c r="C1258" s="217"/>
      <c r="D1258" s="217"/>
      <c r="E1258" s="217"/>
      <c r="F1258" s="217"/>
      <c r="G1258" s="217"/>
      <c r="H1258" s="74" t="s">
        <v>55</v>
      </c>
      <c r="I1258" s="74" t="s">
        <v>44</v>
      </c>
      <c r="J1258" s="74" t="s">
        <v>159</v>
      </c>
      <c r="K1258" s="217"/>
      <c r="L1258" s="66"/>
      <c r="M1258" s="18"/>
      <c r="N1258" s="18"/>
      <c r="O1258" s="18"/>
      <c r="P1258" s="284"/>
      <c r="Q1258" s="284"/>
      <c r="R1258" s="284"/>
      <c r="S1258" s="18"/>
      <c r="T1258" s="284"/>
      <c r="U1258" s="284"/>
      <c r="V1258" s="284"/>
      <c r="W1258" s="18"/>
      <c r="X1258" s="18"/>
      <c r="Y1258" s="18"/>
      <c r="Z1258" s="18"/>
    </row>
    <row r="1259" spans="1:26" ht="16.5" customHeight="1" x14ac:dyDescent="0.35">
      <c r="A1259" s="230"/>
      <c r="B1259" s="236"/>
      <c r="C1259" s="227" t="s">
        <v>182</v>
      </c>
      <c r="D1259" s="218">
        <v>3</v>
      </c>
      <c r="E1259" s="216">
        <v>1.5</v>
      </c>
      <c r="F1259" s="218" t="s">
        <v>68</v>
      </c>
      <c r="G1259" s="218" t="s">
        <v>34</v>
      </c>
      <c r="H1259" s="74" t="s">
        <v>35</v>
      </c>
      <c r="I1259" s="74" t="s">
        <v>36</v>
      </c>
      <c r="J1259" s="74" t="s">
        <v>53</v>
      </c>
      <c r="K1259" s="218" t="s">
        <v>54</v>
      </c>
      <c r="L1259" s="66"/>
      <c r="M1259" s="18"/>
      <c r="N1259" s="18"/>
      <c r="O1259" s="18"/>
      <c r="P1259" s="293"/>
      <c r="Q1259" s="295"/>
      <c r="R1259" s="294"/>
      <c r="S1259" s="18"/>
      <c r="T1259" s="293"/>
      <c r="U1259" s="295"/>
      <c r="V1259" s="294"/>
      <c r="W1259" s="18"/>
      <c r="X1259" s="18"/>
      <c r="Y1259" s="18"/>
      <c r="Z1259" s="18"/>
    </row>
    <row r="1260" spans="1:26" ht="16.5" customHeight="1" x14ac:dyDescent="0.35">
      <c r="A1260" s="230"/>
      <c r="B1260" s="240"/>
      <c r="C1260" s="217"/>
      <c r="D1260" s="217"/>
      <c r="E1260" s="217"/>
      <c r="F1260" s="217"/>
      <c r="G1260" s="217"/>
      <c r="H1260" s="74" t="s">
        <v>48</v>
      </c>
      <c r="I1260" s="74" t="s">
        <v>36</v>
      </c>
      <c r="J1260" s="74" t="s">
        <v>53</v>
      </c>
      <c r="K1260" s="217"/>
      <c r="L1260" s="66"/>
      <c r="M1260" s="18"/>
      <c r="N1260" s="18"/>
      <c r="O1260" s="18"/>
      <c r="P1260" s="284"/>
      <c r="Q1260" s="284"/>
      <c r="R1260" s="284"/>
      <c r="S1260" s="18"/>
      <c r="T1260" s="284"/>
      <c r="U1260" s="284"/>
      <c r="V1260" s="284"/>
      <c r="W1260" s="18"/>
      <c r="X1260" s="18"/>
      <c r="Y1260" s="18"/>
      <c r="Z1260" s="18"/>
    </row>
    <row r="1261" spans="1:26" ht="16.5" customHeight="1" x14ac:dyDescent="0.35">
      <c r="A1261" s="217"/>
      <c r="B1261" s="228" t="s">
        <v>72</v>
      </c>
      <c r="C1261" s="221"/>
      <c r="D1261" s="222"/>
      <c r="E1261" s="71">
        <f>SUM(E1251:E1260)</f>
        <v>7.5</v>
      </c>
      <c r="F1261" s="220"/>
      <c r="G1261" s="221"/>
      <c r="H1261" s="221"/>
      <c r="I1261" s="221"/>
      <c r="J1261" s="221"/>
      <c r="K1261" s="222"/>
      <c r="L1261" s="66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 spans="1:26" ht="16.5" customHeight="1" x14ac:dyDescent="0.35">
      <c r="A1262" s="229">
        <v>77</v>
      </c>
      <c r="B1262" s="235" t="s">
        <v>457</v>
      </c>
      <c r="C1262" s="227" t="s">
        <v>148</v>
      </c>
      <c r="D1262" s="218">
        <v>3</v>
      </c>
      <c r="E1262" s="216">
        <v>3</v>
      </c>
      <c r="F1262" s="218" t="s">
        <v>75</v>
      </c>
      <c r="G1262" s="218" t="s">
        <v>104</v>
      </c>
      <c r="H1262" s="74" t="s">
        <v>35</v>
      </c>
      <c r="I1262" s="74" t="s">
        <v>40</v>
      </c>
      <c r="J1262" s="74" t="s">
        <v>71</v>
      </c>
      <c r="K1262" s="218" t="s">
        <v>38</v>
      </c>
      <c r="L1262" s="66"/>
      <c r="M1262" s="18"/>
      <c r="N1262" s="18"/>
      <c r="O1262" s="18"/>
      <c r="P1262" s="293"/>
      <c r="Q1262" s="295"/>
      <c r="R1262" s="294"/>
      <c r="S1262" s="18"/>
      <c r="T1262" s="293"/>
      <c r="U1262" s="295"/>
      <c r="V1262" s="294"/>
      <c r="W1262" s="18"/>
      <c r="X1262" s="18"/>
      <c r="Y1262" s="18"/>
      <c r="Z1262" s="18"/>
    </row>
    <row r="1263" spans="1:26" ht="16.5" customHeight="1" x14ac:dyDescent="0.35">
      <c r="A1263" s="230"/>
      <c r="B1263" s="236"/>
      <c r="C1263" s="217"/>
      <c r="D1263" s="217"/>
      <c r="E1263" s="217"/>
      <c r="F1263" s="217"/>
      <c r="G1263" s="217"/>
      <c r="H1263" s="74" t="s">
        <v>55</v>
      </c>
      <c r="I1263" s="74" t="s">
        <v>36</v>
      </c>
      <c r="J1263" s="74" t="s">
        <v>174</v>
      </c>
      <c r="K1263" s="217"/>
      <c r="L1263" s="66"/>
      <c r="M1263" s="18"/>
      <c r="N1263" s="18"/>
      <c r="O1263" s="18"/>
      <c r="P1263" s="284"/>
      <c r="Q1263" s="284"/>
      <c r="R1263" s="284"/>
      <c r="S1263" s="18"/>
      <c r="T1263" s="284"/>
      <c r="U1263" s="284"/>
      <c r="V1263" s="284"/>
      <c r="W1263" s="18"/>
      <c r="X1263" s="18"/>
      <c r="Y1263" s="18"/>
      <c r="Z1263" s="18"/>
    </row>
    <row r="1264" spans="1:26" ht="16.5" customHeight="1" x14ac:dyDescent="0.35">
      <c r="A1264" s="230"/>
      <c r="B1264" s="236"/>
      <c r="C1264" s="227" t="s">
        <v>168</v>
      </c>
      <c r="D1264" s="218">
        <v>3</v>
      </c>
      <c r="E1264" s="216">
        <v>3</v>
      </c>
      <c r="F1264" s="218" t="s">
        <v>158</v>
      </c>
      <c r="G1264" s="218" t="s">
        <v>136</v>
      </c>
      <c r="H1264" s="74" t="s">
        <v>35</v>
      </c>
      <c r="I1264" s="74" t="s">
        <v>44</v>
      </c>
      <c r="J1264" s="74" t="s">
        <v>133</v>
      </c>
      <c r="K1264" s="218" t="s">
        <v>54</v>
      </c>
      <c r="L1264" s="66"/>
      <c r="M1264" s="18"/>
      <c r="N1264" s="18"/>
      <c r="O1264" s="18"/>
      <c r="P1264" s="293"/>
      <c r="Q1264" s="295"/>
      <c r="R1264" s="294"/>
      <c r="S1264" s="18"/>
      <c r="T1264" s="293"/>
      <c r="U1264" s="295"/>
      <c r="V1264" s="294"/>
      <c r="W1264" s="18"/>
      <c r="X1264" s="18"/>
      <c r="Y1264" s="18"/>
      <c r="Z1264" s="18"/>
    </row>
    <row r="1265" spans="1:26" ht="16.5" customHeight="1" x14ac:dyDescent="0.35">
      <c r="A1265" s="230"/>
      <c r="B1265" s="236"/>
      <c r="C1265" s="217"/>
      <c r="D1265" s="217"/>
      <c r="E1265" s="217"/>
      <c r="F1265" s="217"/>
      <c r="G1265" s="217"/>
      <c r="H1265" s="74" t="s">
        <v>48</v>
      </c>
      <c r="I1265" s="74" t="s">
        <v>91</v>
      </c>
      <c r="J1265" s="74" t="s">
        <v>133</v>
      </c>
      <c r="K1265" s="217"/>
      <c r="L1265" s="66"/>
      <c r="M1265" s="18"/>
      <c r="N1265" s="18"/>
      <c r="O1265" s="18"/>
      <c r="P1265" s="284"/>
      <c r="Q1265" s="284"/>
      <c r="R1265" s="284"/>
      <c r="S1265" s="18"/>
      <c r="T1265" s="284"/>
      <c r="U1265" s="284"/>
      <c r="V1265" s="284"/>
      <c r="W1265" s="18"/>
      <c r="X1265" s="18"/>
      <c r="Y1265" s="18"/>
      <c r="Z1265" s="18"/>
    </row>
    <row r="1266" spans="1:26" ht="16.5" customHeight="1" x14ac:dyDescent="0.35">
      <c r="A1266" s="230"/>
      <c r="B1266" s="236"/>
      <c r="C1266" s="227" t="s">
        <v>168</v>
      </c>
      <c r="D1266" s="218">
        <v>3</v>
      </c>
      <c r="E1266" s="216">
        <v>3</v>
      </c>
      <c r="F1266" s="218" t="s">
        <v>75</v>
      </c>
      <c r="G1266" s="218" t="s">
        <v>97</v>
      </c>
      <c r="H1266" s="74" t="s">
        <v>35</v>
      </c>
      <c r="I1266" s="74" t="s">
        <v>40</v>
      </c>
      <c r="J1266" s="74" t="s">
        <v>57</v>
      </c>
      <c r="K1266" s="218" t="s">
        <v>54</v>
      </c>
      <c r="L1266" s="66"/>
      <c r="M1266" s="18"/>
      <c r="N1266" s="18"/>
      <c r="O1266" s="18"/>
      <c r="P1266" s="293"/>
      <c r="Q1266" s="295"/>
      <c r="R1266" s="294"/>
      <c r="S1266" s="18"/>
      <c r="T1266" s="293"/>
      <c r="U1266" s="295"/>
      <c r="V1266" s="294"/>
      <c r="W1266" s="18"/>
      <c r="X1266" s="18"/>
      <c r="Y1266" s="18"/>
      <c r="Z1266" s="18"/>
    </row>
    <row r="1267" spans="1:26" ht="16.5" customHeight="1" x14ac:dyDescent="0.35">
      <c r="A1267" s="230"/>
      <c r="B1267" s="236"/>
      <c r="C1267" s="217"/>
      <c r="D1267" s="217"/>
      <c r="E1267" s="217"/>
      <c r="F1267" s="217"/>
      <c r="G1267" s="217"/>
      <c r="H1267" s="74" t="s">
        <v>55</v>
      </c>
      <c r="I1267" s="74" t="s">
        <v>66</v>
      </c>
      <c r="J1267" s="74" t="s">
        <v>174</v>
      </c>
      <c r="K1267" s="217"/>
      <c r="L1267" s="66"/>
      <c r="M1267" s="18"/>
      <c r="N1267" s="18"/>
      <c r="O1267" s="18"/>
      <c r="P1267" s="284"/>
      <c r="Q1267" s="284"/>
      <c r="R1267" s="284"/>
      <c r="S1267" s="18"/>
      <c r="T1267" s="284"/>
      <c r="U1267" s="284"/>
      <c r="V1267" s="284"/>
      <c r="W1267" s="18"/>
      <c r="X1267" s="18"/>
      <c r="Y1267" s="18"/>
      <c r="Z1267" s="18"/>
    </row>
    <row r="1268" spans="1:26" ht="16.5" customHeight="1" x14ac:dyDescent="0.35">
      <c r="A1268" s="230"/>
      <c r="B1268" s="236"/>
      <c r="C1268" s="227" t="s">
        <v>271</v>
      </c>
      <c r="D1268" s="218">
        <v>2</v>
      </c>
      <c r="E1268" s="216">
        <v>2</v>
      </c>
      <c r="F1268" s="218" t="s">
        <v>75</v>
      </c>
      <c r="G1268" s="218" t="s">
        <v>49</v>
      </c>
      <c r="H1268" s="74" t="s">
        <v>46</v>
      </c>
      <c r="I1268" s="74" t="s">
        <v>56</v>
      </c>
      <c r="J1268" s="74" t="s">
        <v>124</v>
      </c>
      <c r="K1268" s="218" t="s">
        <v>54</v>
      </c>
      <c r="L1268" s="66"/>
      <c r="M1268" s="18"/>
      <c r="N1268" s="18"/>
      <c r="O1268" s="18"/>
      <c r="P1268" s="293"/>
      <c r="Q1268" s="295"/>
      <c r="R1268" s="294"/>
      <c r="S1268" s="18"/>
      <c r="T1268" s="293"/>
      <c r="U1268" s="295"/>
      <c r="V1268" s="294"/>
      <c r="W1268" s="18"/>
      <c r="X1268" s="18"/>
      <c r="Y1268" s="18"/>
      <c r="Z1268" s="18"/>
    </row>
    <row r="1269" spans="1:26" ht="16.5" customHeight="1" x14ac:dyDescent="0.35">
      <c r="A1269" s="230"/>
      <c r="B1269" s="236"/>
      <c r="C1269" s="217"/>
      <c r="D1269" s="217"/>
      <c r="E1269" s="217"/>
      <c r="F1269" s="217"/>
      <c r="G1269" s="217"/>
      <c r="H1269" s="74" t="s">
        <v>55</v>
      </c>
      <c r="I1269" s="74" t="s">
        <v>123</v>
      </c>
      <c r="J1269" s="74" t="s">
        <v>159</v>
      </c>
      <c r="K1269" s="217"/>
      <c r="L1269" s="66"/>
      <c r="M1269" s="18"/>
      <c r="N1269" s="18"/>
      <c r="O1269" s="18"/>
      <c r="P1269" s="284"/>
      <c r="Q1269" s="284"/>
      <c r="R1269" s="284"/>
      <c r="S1269" s="18"/>
      <c r="T1269" s="284"/>
      <c r="U1269" s="284"/>
      <c r="V1269" s="284"/>
      <c r="W1269" s="18"/>
      <c r="X1269" s="18"/>
      <c r="Y1269" s="18"/>
      <c r="Z1269" s="18"/>
    </row>
    <row r="1270" spans="1:26" ht="16.5" customHeight="1" x14ac:dyDescent="0.35">
      <c r="A1270" s="230"/>
      <c r="B1270" s="236"/>
      <c r="C1270" s="227" t="s">
        <v>271</v>
      </c>
      <c r="D1270" s="218">
        <v>2</v>
      </c>
      <c r="E1270" s="216">
        <v>2</v>
      </c>
      <c r="F1270" s="218" t="s">
        <v>106</v>
      </c>
      <c r="G1270" s="218" t="s">
        <v>45</v>
      </c>
      <c r="H1270" s="74" t="s">
        <v>46</v>
      </c>
      <c r="I1270" s="74" t="s">
        <v>56</v>
      </c>
      <c r="J1270" s="74" t="s">
        <v>107</v>
      </c>
      <c r="K1270" s="218" t="s">
        <v>38</v>
      </c>
      <c r="L1270" s="66"/>
      <c r="M1270" s="18"/>
      <c r="N1270" s="18"/>
      <c r="O1270" s="18"/>
      <c r="P1270" s="293"/>
      <c r="Q1270" s="295"/>
      <c r="R1270" s="294"/>
      <c r="S1270" s="18"/>
      <c r="T1270" s="293"/>
      <c r="U1270" s="295"/>
      <c r="V1270" s="294"/>
      <c r="W1270" s="18"/>
      <c r="X1270" s="18"/>
      <c r="Y1270" s="18"/>
      <c r="Z1270" s="18"/>
    </row>
    <row r="1271" spans="1:26" ht="16.5" customHeight="1" x14ac:dyDescent="0.35">
      <c r="A1271" s="230"/>
      <c r="B1271" s="236"/>
      <c r="C1271" s="217"/>
      <c r="D1271" s="217"/>
      <c r="E1271" s="217"/>
      <c r="F1271" s="217"/>
      <c r="G1271" s="217"/>
      <c r="H1271" s="74" t="s">
        <v>48</v>
      </c>
      <c r="I1271" s="74" t="s">
        <v>131</v>
      </c>
      <c r="J1271" s="74" t="s">
        <v>197</v>
      </c>
      <c r="K1271" s="217"/>
      <c r="L1271" s="66"/>
      <c r="M1271" s="18"/>
      <c r="N1271" s="18"/>
      <c r="O1271" s="18"/>
      <c r="P1271" s="284"/>
      <c r="Q1271" s="284"/>
      <c r="R1271" s="284"/>
      <c r="S1271" s="18"/>
      <c r="T1271" s="284"/>
      <c r="U1271" s="284"/>
      <c r="V1271" s="284"/>
      <c r="W1271" s="18"/>
      <c r="X1271" s="18"/>
      <c r="Y1271" s="18"/>
      <c r="Z1271" s="18"/>
    </row>
    <row r="1272" spans="1:26" ht="16.5" customHeight="1" x14ac:dyDescent="0.35">
      <c r="A1272" s="230"/>
      <c r="B1272" s="240"/>
      <c r="C1272" s="94" t="s">
        <v>191</v>
      </c>
      <c r="D1272" s="74">
        <v>3</v>
      </c>
      <c r="E1272" s="81">
        <v>3</v>
      </c>
      <c r="F1272" s="74" t="s">
        <v>75</v>
      </c>
      <c r="G1272" s="84" t="s">
        <v>458</v>
      </c>
      <c r="H1272" s="74" t="s">
        <v>119</v>
      </c>
      <c r="I1272" s="74" t="s">
        <v>82</v>
      </c>
      <c r="J1272" s="74" t="s">
        <v>459</v>
      </c>
      <c r="K1272" s="84" t="s">
        <v>93</v>
      </c>
      <c r="L1272" s="66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 spans="1:26" ht="16.5" customHeight="1" x14ac:dyDescent="0.35">
      <c r="A1273" s="217"/>
      <c r="B1273" s="228" t="s">
        <v>72</v>
      </c>
      <c r="C1273" s="221"/>
      <c r="D1273" s="222"/>
      <c r="E1273" s="71">
        <f>SUM(E1262:E1272)</f>
        <v>16</v>
      </c>
      <c r="F1273" s="220"/>
      <c r="G1273" s="221"/>
      <c r="H1273" s="221"/>
      <c r="I1273" s="221"/>
      <c r="J1273" s="221"/>
      <c r="K1273" s="222"/>
      <c r="L1273" s="66"/>
      <c r="M1273" s="18"/>
      <c r="N1273" s="18"/>
      <c r="O1273" s="18"/>
      <c r="P1273" s="18"/>
      <c r="Q1273" s="18"/>
      <c r="R1273" s="18"/>
      <c r="S1273" s="18"/>
      <c r="T1273" s="293"/>
      <c r="U1273" s="295"/>
      <c r="V1273" s="294"/>
      <c r="W1273" s="18"/>
      <c r="X1273" s="18"/>
      <c r="Y1273" s="18"/>
      <c r="Z1273" s="18"/>
    </row>
    <row r="1274" spans="1:26" ht="16.5" customHeight="1" x14ac:dyDescent="0.35">
      <c r="A1274" s="229">
        <v>78</v>
      </c>
      <c r="B1274" s="238" t="s">
        <v>460</v>
      </c>
      <c r="C1274" s="234" t="s">
        <v>50</v>
      </c>
      <c r="D1274" s="232">
        <v>3</v>
      </c>
      <c r="E1274" s="233">
        <v>1.5</v>
      </c>
      <c r="F1274" s="232" t="s">
        <v>51</v>
      </c>
      <c r="G1274" s="232" t="s">
        <v>45</v>
      </c>
      <c r="H1274" s="118" t="s">
        <v>46</v>
      </c>
      <c r="I1274" s="118" t="s">
        <v>52</v>
      </c>
      <c r="J1274" s="118" t="s">
        <v>124</v>
      </c>
      <c r="K1274" s="232" t="s">
        <v>38</v>
      </c>
      <c r="L1274" s="119"/>
      <c r="M1274" s="18"/>
      <c r="N1274" s="18"/>
      <c r="O1274" s="18"/>
      <c r="P1274" s="293"/>
      <c r="Q1274" s="295"/>
      <c r="R1274" s="294"/>
      <c r="S1274" s="18"/>
      <c r="T1274" s="284"/>
      <c r="U1274" s="284"/>
      <c r="V1274" s="284"/>
      <c r="W1274" s="18"/>
      <c r="X1274" s="18"/>
      <c r="Y1274" s="18"/>
      <c r="Z1274" s="18"/>
    </row>
    <row r="1275" spans="1:26" ht="16.5" customHeight="1" x14ac:dyDescent="0.35">
      <c r="A1275" s="230"/>
      <c r="B1275" s="230"/>
      <c r="C1275" s="217"/>
      <c r="D1275" s="217"/>
      <c r="E1275" s="217"/>
      <c r="F1275" s="217"/>
      <c r="G1275" s="217"/>
      <c r="H1275" s="118" t="s">
        <v>48</v>
      </c>
      <c r="I1275" s="118" t="s">
        <v>52</v>
      </c>
      <c r="J1275" s="118" t="s">
        <v>124</v>
      </c>
      <c r="K1275" s="217"/>
      <c r="L1275" s="119"/>
      <c r="M1275" s="18"/>
      <c r="N1275" s="18"/>
      <c r="O1275" s="18"/>
      <c r="P1275" s="284"/>
      <c r="Q1275" s="284"/>
      <c r="R1275" s="284"/>
      <c r="S1275" s="18"/>
      <c r="T1275" s="293"/>
      <c r="U1275" s="295"/>
      <c r="V1275" s="294"/>
      <c r="W1275" s="18"/>
      <c r="X1275" s="18"/>
      <c r="Y1275" s="18"/>
      <c r="Z1275" s="18"/>
    </row>
    <row r="1276" spans="1:26" ht="16.5" customHeight="1" x14ac:dyDescent="0.35">
      <c r="A1276" s="230"/>
      <c r="B1276" s="230"/>
      <c r="C1276" s="234" t="s">
        <v>58</v>
      </c>
      <c r="D1276" s="232">
        <v>3</v>
      </c>
      <c r="E1276" s="233">
        <v>1.5</v>
      </c>
      <c r="F1276" s="232" t="s">
        <v>51</v>
      </c>
      <c r="G1276" s="232" t="s">
        <v>45</v>
      </c>
      <c r="H1276" s="118" t="s">
        <v>46</v>
      </c>
      <c r="I1276" s="118" t="s">
        <v>61</v>
      </c>
      <c r="J1276" s="118" t="s">
        <v>60</v>
      </c>
      <c r="K1276" s="232" t="s">
        <v>38</v>
      </c>
      <c r="L1276" s="66"/>
      <c r="M1276" s="18"/>
      <c r="N1276" s="18"/>
      <c r="O1276" s="18"/>
      <c r="P1276" s="25"/>
      <c r="Q1276" s="26"/>
      <c r="R1276" s="27"/>
      <c r="S1276" s="18"/>
      <c r="T1276" s="284"/>
      <c r="U1276" s="284"/>
      <c r="V1276" s="284"/>
      <c r="W1276" s="18"/>
      <c r="X1276" s="18"/>
      <c r="Y1276" s="18"/>
      <c r="Z1276" s="18"/>
    </row>
    <row r="1277" spans="1:26" ht="16.5" customHeight="1" x14ac:dyDescent="0.35">
      <c r="A1277" s="230"/>
      <c r="B1277" s="230"/>
      <c r="C1277" s="217"/>
      <c r="D1277" s="217"/>
      <c r="E1277" s="217"/>
      <c r="F1277" s="217"/>
      <c r="G1277" s="217"/>
      <c r="H1277" s="118" t="s">
        <v>55</v>
      </c>
      <c r="I1277" s="118" t="s">
        <v>61</v>
      </c>
      <c r="J1277" s="118" t="s">
        <v>60</v>
      </c>
      <c r="K1277" s="217"/>
      <c r="L1277" s="66"/>
      <c r="M1277" s="18"/>
      <c r="N1277" s="18"/>
      <c r="O1277" s="18"/>
      <c r="P1277" s="25"/>
      <c r="Q1277" s="26"/>
      <c r="R1277" s="27"/>
      <c r="S1277" s="18"/>
      <c r="T1277" s="284"/>
      <c r="U1277" s="284"/>
      <c r="V1277" s="284"/>
      <c r="W1277" s="18"/>
      <c r="X1277" s="18"/>
      <c r="Y1277" s="18"/>
      <c r="Z1277" s="18"/>
    </row>
    <row r="1278" spans="1:26" ht="16.5" customHeight="1" x14ac:dyDescent="0.35">
      <c r="A1278" s="230"/>
      <c r="B1278" s="230"/>
      <c r="C1278" s="227" t="s">
        <v>62</v>
      </c>
      <c r="D1278" s="218">
        <v>3</v>
      </c>
      <c r="E1278" s="216">
        <v>3</v>
      </c>
      <c r="F1278" s="218" t="s">
        <v>51</v>
      </c>
      <c r="G1278" s="218" t="s">
        <v>136</v>
      </c>
      <c r="H1278" s="74" t="s">
        <v>35</v>
      </c>
      <c r="I1278" s="74" t="s">
        <v>36</v>
      </c>
      <c r="J1278" s="74" t="s">
        <v>78</v>
      </c>
      <c r="K1278" s="218" t="s">
        <v>38</v>
      </c>
      <c r="L1278" s="66"/>
      <c r="M1278" s="18"/>
      <c r="N1278" s="18"/>
      <c r="O1278" s="18"/>
      <c r="P1278" s="293"/>
      <c r="Q1278" s="295"/>
      <c r="R1278" s="294"/>
      <c r="S1278" s="18"/>
      <c r="T1278" s="284"/>
      <c r="U1278" s="284"/>
      <c r="V1278" s="284"/>
      <c r="W1278" s="18"/>
      <c r="X1278" s="18"/>
      <c r="Y1278" s="18"/>
      <c r="Z1278" s="18"/>
    </row>
    <row r="1279" spans="1:26" ht="16.5" customHeight="1" x14ac:dyDescent="0.35">
      <c r="A1279" s="230"/>
      <c r="B1279" s="230"/>
      <c r="C1279" s="217"/>
      <c r="D1279" s="217"/>
      <c r="E1279" s="217"/>
      <c r="F1279" s="217"/>
      <c r="G1279" s="217"/>
      <c r="H1279" s="74" t="s">
        <v>48</v>
      </c>
      <c r="I1279" s="74" t="s">
        <v>44</v>
      </c>
      <c r="J1279" s="74" t="s">
        <v>78</v>
      </c>
      <c r="K1279" s="217"/>
      <c r="L1279" s="66"/>
      <c r="M1279" s="18"/>
      <c r="N1279" s="18"/>
      <c r="O1279" s="18"/>
      <c r="P1279" s="284"/>
      <c r="Q1279" s="284"/>
      <c r="R1279" s="284"/>
      <c r="S1279" s="18"/>
      <c r="T1279" s="293"/>
      <c r="U1279" s="295"/>
      <c r="V1279" s="294"/>
      <c r="W1279" s="18"/>
      <c r="X1279" s="18"/>
      <c r="Y1279" s="18"/>
      <c r="Z1279" s="18"/>
    </row>
    <row r="1280" spans="1:26" ht="16.5" customHeight="1" x14ac:dyDescent="0.35">
      <c r="A1280" s="230"/>
      <c r="B1280" s="230"/>
      <c r="C1280" s="227" t="s">
        <v>62</v>
      </c>
      <c r="D1280" s="218">
        <v>3</v>
      </c>
      <c r="E1280" s="216">
        <v>3</v>
      </c>
      <c r="F1280" s="218" t="s">
        <v>51</v>
      </c>
      <c r="G1280" s="218" t="s">
        <v>76</v>
      </c>
      <c r="H1280" s="74" t="s">
        <v>35</v>
      </c>
      <c r="I1280" s="74" t="s">
        <v>40</v>
      </c>
      <c r="J1280" s="74" t="s">
        <v>114</v>
      </c>
      <c r="K1280" s="218" t="s">
        <v>38</v>
      </c>
      <c r="L1280" s="97"/>
      <c r="M1280" s="103"/>
      <c r="N1280" s="103"/>
      <c r="O1280" s="103"/>
      <c r="P1280" s="293"/>
      <c r="Q1280" s="295"/>
      <c r="R1280" s="294"/>
      <c r="S1280" s="18"/>
      <c r="T1280" s="284"/>
      <c r="U1280" s="284"/>
      <c r="V1280" s="284"/>
      <c r="W1280" s="18"/>
      <c r="X1280" s="18"/>
      <c r="Y1280" s="18"/>
      <c r="Z1280" s="18"/>
    </row>
    <row r="1281" spans="1:26" ht="16.5" customHeight="1" x14ac:dyDescent="0.35">
      <c r="A1281" s="230"/>
      <c r="B1281" s="230"/>
      <c r="C1281" s="217"/>
      <c r="D1281" s="217"/>
      <c r="E1281" s="217"/>
      <c r="F1281" s="217"/>
      <c r="G1281" s="217"/>
      <c r="H1281" s="74" t="s">
        <v>39</v>
      </c>
      <c r="I1281" s="74" t="s">
        <v>44</v>
      </c>
      <c r="J1281" s="74" t="s">
        <v>196</v>
      </c>
      <c r="K1281" s="217"/>
      <c r="L1281" s="66"/>
      <c r="M1281" s="18"/>
      <c r="N1281" s="18"/>
      <c r="O1281" s="18"/>
      <c r="P1281" s="284"/>
      <c r="Q1281" s="284"/>
      <c r="R1281" s="284"/>
      <c r="S1281" s="18"/>
      <c r="T1281" s="293"/>
      <c r="U1281" s="295"/>
      <c r="V1281" s="294"/>
      <c r="W1281" s="18"/>
      <c r="X1281" s="18"/>
      <c r="Y1281" s="18"/>
      <c r="Z1281" s="18"/>
    </row>
    <row r="1282" spans="1:26" ht="16.5" customHeight="1" x14ac:dyDescent="0.35">
      <c r="A1282" s="230"/>
      <c r="B1282" s="230"/>
      <c r="C1282" s="227" t="s">
        <v>62</v>
      </c>
      <c r="D1282" s="218">
        <v>3</v>
      </c>
      <c r="E1282" s="216">
        <v>3</v>
      </c>
      <c r="F1282" s="218" t="s">
        <v>51</v>
      </c>
      <c r="G1282" s="218" t="s">
        <v>79</v>
      </c>
      <c r="H1282" s="74" t="s">
        <v>35</v>
      </c>
      <c r="I1282" s="74" t="s">
        <v>36</v>
      </c>
      <c r="J1282" s="74" t="s">
        <v>57</v>
      </c>
      <c r="K1282" s="218" t="s">
        <v>54</v>
      </c>
      <c r="L1282" s="66"/>
      <c r="M1282" s="18"/>
      <c r="N1282" s="18"/>
      <c r="O1282" s="18"/>
      <c r="P1282" s="293"/>
      <c r="Q1282" s="295"/>
      <c r="R1282" s="294"/>
      <c r="S1282" s="18"/>
      <c r="T1282" s="284"/>
      <c r="U1282" s="284"/>
      <c r="V1282" s="284"/>
      <c r="W1282" s="18"/>
      <c r="X1282" s="18"/>
      <c r="Y1282" s="18"/>
      <c r="Z1282" s="18"/>
    </row>
    <row r="1283" spans="1:26" ht="16.5" customHeight="1" x14ac:dyDescent="0.35">
      <c r="A1283" s="230"/>
      <c r="B1283" s="230"/>
      <c r="C1283" s="217"/>
      <c r="D1283" s="217"/>
      <c r="E1283" s="217"/>
      <c r="F1283" s="217"/>
      <c r="G1283" s="217"/>
      <c r="H1283" s="74" t="s">
        <v>39</v>
      </c>
      <c r="I1283" s="74" t="s">
        <v>44</v>
      </c>
      <c r="J1283" s="74" t="s">
        <v>169</v>
      </c>
      <c r="K1283" s="217"/>
      <c r="L1283" s="66"/>
      <c r="M1283" s="18"/>
      <c r="N1283" s="18"/>
      <c r="O1283" s="18"/>
      <c r="P1283" s="284"/>
      <c r="Q1283" s="284"/>
      <c r="R1283" s="284"/>
      <c r="S1283" s="18"/>
      <c r="T1283" s="293"/>
      <c r="U1283" s="295"/>
      <c r="V1283" s="294"/>
      <c r="W1283" s="18"/>
      <c r="X1283" s="18"/>
      <c r="Y1283" s="18"/>
      <c r="Z1283" s="18"/>
    </row>
    <row r="1284" spans="1:26" ht="16.5" customHeight="1" x14ac:dyDescent="0.35">
      <c r="A1284" s="230"/>
      <c r="B1284" s="230"/>
      <c r="C1284" s="227" t="s">
        <v>109</v>
      </c>
      <c r="D1284" s="218">
        <v>3</v>
      </c>
      <c r="E1284" s="216">
        <v>3</v>
      </c>
      <c r="F1284" s="218" t="s">
        <v>106</v>
      </c>
      <c r="G1284" s="218" t="s">
        <v>45</v>
      </c>
      <c r="H1284" s="74" t="s">
        <v>35</v>
      </c>
      <c r="I1284" s="74" t="s">
        <v>56</v>
      </c>
      <c r="J1284" s="74" t="s">
        <v>107</v>
      </c>
      <c r="K1284" s="218" t="s">
        <v>54</v>
      </c>
      <c r="L1284" s="66"/>
      <c r="M1284" s="18"/>
      <c r="N1284" s="18"/>
      <c r="O1284" s="18"/>
      <c r="P1284" s="293"/>
      <c r="Q1284" s="295"/>
      <c r="R1284" s="294"/>
      <c r="S1284" s="18"/>
      <c r="T1284" s="284"/>
      <c r="U1284" s="284"/>
      <c r="V1284" s="284"/>
      <c r="W1284" s="18"/>
      <c r="X1284" s="18"/>
      <c r="Y1284" s="18"/>
      <c r="Z1284" s="18"/>
    </row>
    <row r="1285" spans="1:26" ht="16.5" customHeight="1" x14ac:dyDescent="0.35">
      <c r="A1285" s="230"/>
      <c r="B1285" s="217"/>
      <c r="C1285" s="217"/>
      <c r="D1285" s="217"/>
      <c r="E1285" s="217"/>
      <c r="F1285" s="217"/>
      <c r="G1285" s="217"/>
      <c r="H1285" s="74" t="s">
        <v>46</v>
      </c>
      <c r="I1285" s="74" t="s">
        <v>44</v>
      </c>
      <c r="J1285" s="74" t="s">
        <v>107</v>
      </c>
      <c r="K1285" s="217"/>
      <c r="L1285" s="66"/>
      <c r="M1285" s="18"/>
      <c r="N1285" s="18"/>
      <c r="O1285" s="18"/>
      <c r="P1285" s="284"/>
      <c r="Q1285" s="284"/>
      <c r="R1285" s="284"/>
      <c r="S1285" s="18"/>
      <c r="T1285" s="293"/>
      <c r="U1285" s="295"/>
      <c r="V1285" s="294"/>
      <c r="W1285" s="18"/>
      <c r="X1285" s="18"/>
      <c r="Y1285" s="18"/>
      <c r="Z1285" s="18"/>
    </row>
    <row r="1286" spans="1:26" ht="16.5" customHeight="1" x14ac:dyDescent="0.35">
      <c r="A1286" s="217"/>
      <c r="B1286" s="228" t="s">
        <v>72</v>
      </c>
      <c r="C1286" s="221"/>
      <c r="D1286" s="222"/>
      <c r="E1286" s="71">
        <f>SUM(E1274:E1285)</f>
        <v>15</v>
      </c>
      <c r="F1286" s="220"/>
      <c r="G1286" s="221"/>
      <c r="H1286" s="221"/>
      <c r="I1286" s="221"/>
      <c r="J1286" s="221"/>
      <c r="K1286" s="222"/>
      <c r="L1286" s="66"/>
      <c r="M1286" s="18"/>
      <c r="N1286" s="18"/>
      <c r="O1286" s="18"/>
      <c r="P1286" s="18"/>
      <c r="Q1286" s="18"/>
      <c r="R1286" s="18"/>
      <c r="S1286" s="18"/>
      <c r="T1286" s="284"/>
      <c r="U1286" s="284"/>
      <c r="V1286" s="284"/>
      <c r="W1286" s="18"/>
      <c r="X1286" s="18"/>
      <c r="Y1286" s="18"/>
      <c r="Z1286" s="18"/>
    </row>
    <row r="1287" spans="1:26" ht="16.5" customHeight="1" x14ac:dyDescent="0.35">
      <c r="A1287" s="229">
        <v>79</v>
      </c>
      <c r="B1287" s="235" t="s">
        <v>461</v>
      </c>
      <c r="C1287" s="227" t="s">
        <v>148</v>
      </c>
      <c r="D1287" s="218">
        <v>3</v>
      </c>
      <c r="E1287" s="216">
        <v>3</v>
      </c>
      <c r="F1287" s="218" t="s">
        <v>75</v>
      </c>
      <c r="G1287" s="218" t="s">
        <v>153</v>
      </c>
      <c r="H1287" s="74" t="s">
        <v>46</v>
      </c>
      <c r="I1287" s="74" t="s">
        <v>40</v>
      </c>
      <c r="J1287" s="74" t="s">
        <v>150</v>
      </c>
      <c r="K1287" s="218" t="s">
        <v>54</v>
      </c>
      <c r="L1287" s="66"/>
      <c r="M1287" s="18"/>
      <c r="N1287" s="18"/>
      <c r="O1287" s="18"/>
      <c r="P1287" s="293"/>
      <c r="Q1287" s="295"/>
      <c r="R1287" s="294"/>
      <c r="S1287" s="18"/>
      <c r="T1287" s="293"/>
      <c r="U1287" s="295"/>
      <c r="V1287" s="294"/>
      <c r="W1287" s="18"/>
      <c r="X1287" s="18"/>
      <c r="Y1287" s="18"/>
      <c r="Z1287" s="18"/>
    </row>
    <row r="1288" spans="1:26" ht="16.5" customHeight="1" x14ac:dyDescent="0.35">
      <c r="A1288" s="230"/>
      <c r="B1288" s="236"/>
      <c r="C1288" s="217"/>
      <c r="D1288" s="217"/>
      <c r="E1288" s="217"/>
      <c r="F1288" s="217"/>
      <c r="G1288" s="217"/>
      <c r="H1288" s="74" t="s">
        <v>48</v>
      </c>
      <c r="I1288" s="74" t="s">
        <v>108</v>
      </c>
      <c r="J1288" s="74" t="s">
        <v>80</v>
      </c>
      <c r="K1288" s="217"/>
      <c r="L1288" s="66"/>
      <c r="M1288" s="18"/>
      <c r="N1288" s="18"/>
      <c r="O1288" s="18"/>
      <c r="P1288" s="284"/>
      <c r="Q1288" s="284"/>
      <c r="R1288" s="284"/>
      <c r="S1288" s="18"/>
      <c r="T1288" s="284"/>
      <c r="U1288" s="284"/>
      <c r="V1288" s="284"/>
      <c r="W1288" s="18"/>
      <c r="X1288" s="18"/>
      <c r="Y1288" s="18"/>
      <c r="Z1288" s="18"/>
    </row>
    <row r="1289" spans="1:26" ht="16.5" customHeight="1" x14ac:dyDescent="0.35">
      <c r="A1289" s="230"/>
      <c r="B1289" s="236"/>
      <c r="C1289" s="227" t="s">
        <v>239</v>
      </c>
      <c r="D1289" s="218">
        <v>3</v>
      </c>
      <c r="E1289" s="216">
        <v>3</v>
      </c>
      <c r="F1289" s="218" t="s">
        <v>75</v>
      </c>
      <c r="G1289" s="218" t="s">
        <v>76</v>
      </c>
      <c r="H1289" s="74" t="s">
        <v>35</v>
      </c>
      <c r="I1289" s="76" t="s">
        <v>36</v>
      </c>
      <c r="J1289" s="74" t="s">
        <v>110</v>
      </c>
      <c r="K1289" s="218" t="s">
        <v>38</v>
      </c>
      <c r="L1289" s="66"/>
      <c r="M1289" s="17"/>
      <c r="N1289" s="17"/>
      <c r="O1289" s="17"/>
      <c r="P1289" s="293"/>
      <c r="Q1289" s="295"/>
      <c r="R1289" s="294"/>
      <c r="S1289" s="17"/>
      <c r="T1289" s="18"/>
      <c r="U1289" s="18"/>
      <c r="V1289" s="18"/>
      <c r="W1289" s="18"/>
      <c r="X1289" s="18"/>
      <c r="Y1289" s="18"/>
      <c r="Z1289" s="18"/>
    </row>
    <row r="1290" spans="1:26" ht="16.5" customHeight="1" x14ac:dyDescent="0.35">
      <c r="A1290" s="230"/>
      <c r="B1290" s="236"/>
      <c r="C1290" s="217"/>
      <c r="D1290" s="217"/>
      <c r="E1290" s="217"/>
      <c r="F1290" s="217"/>
      <c r="G1290" s="217"/>
      <c r="H1290" s="74" t="s">
        <v>55</v>
      </c>
      <c r="I1290" s="74" t="s">
        <v>36</v>
      </c>
      <c r="J1290" s="74" t="s">
        <v>149</v>
      </c>
      <c r="K1290" s="217"/>
      <c r="L1290" s="66"/>
      <c r="M1290" s="17"/>
      <c r="N1290" s="17"/>
      <c r="O1290" s="17"/>
      <c r="P1290" s="284"/>
      <c r="Q1290" s="284"/>
      <c r="R1290" s="284"/>
      <c r="S1290" s="17"/>
      <c r="T1290" s="18"/>
      <c r="U1290" s="18"/>
      <c r="V1290" s="18"/>
      <c r="W1290" s="18"/>
      <c r="X1290" s="18"/>
      <c r="Y1290" s="18"/>
      <c r="Z1290" s="18"/>
    </row>
    <row r="1291" spans="1:26" ht="16.5" customHeight="1" x14ac:dyDescent="0.35">
      <c r="A1291" s="230"/>
      <c r="B1291" s="236"/>
      <c r="C1291" s="227" t="s">
        <v>239</v>
      </c>
      <c r="D1291" s="218">
        <v>3</v>
      </c>
      <c r="E1291" s="216">
        <v>3</v>
      </c>
      <c r="F1291" s="218" t="s">
        <v>75</v>
      </c>
      <c r="G1291" s="218" t="s">
        <v>79</v>
      </c>
      <c r="H1291" s="74" t="s">
        <v>35</v>
      </c>
      <c r="I1291" s="74" t="s">
        <v>40</v>
      </c>
      <c r="J1291" s="74" t="s">
        <v>208</v>
      </c>
      <c r="K1291" s="218" t="s">
        <v>38</v>
      </c>
      <c r="L1291" s="66"/>
      <c r="M1291" s="17"/>
      <c r="N1291" s="17"/>
      <c r="O1291" s="17"/>
      <c r="P1291" s="293"/>
      <c r="Q1291" s="295"/>
      <c r="R1291" s="294"/>
      <c r="S1291" s="17"/>
      <c r="T1291" s="293"/>
      <c r="U1291" s="295"/>
      <c r="V1291" s="294"/>
      <c r="W1291" s="18"/>
      <c r="X1291" s="18"/>
      <c r="Y1291" s="18"/>
      <c r="Z1291" s="18"/>
    </row>
    <row r="1292" spans="1:26" ht="16.5" customHeight="1" x14ac:dyDescent="0.35">
      <c r="A1292" s="230"/>
      <c r="B1292" s="236"/>
      <c r="C1292" s="217"/>
      <c r="D1292" s="217"/>
      <c r="E1292" s="217"/>
      <c r="F1292" s="217"/>
      <c r="G1292" s="217"/>
      <c r="H1292" s="74" t="s">
        <v>48</v>
      </c>
      <c r="I1292" s="74" t="s">
        <v>91</v>
      </c>
      <c r="J1292" s="74" t="s">
        <v>114</v>
      </c>
      <c r="K1292" s="219"/>
      <c r="L1292" s="66"/>
      <c r="M1292" s="17"/>
      <c r="N1292" s="17"/>
      <c r="O1292" s="17"/>
      <c r="P1292" s="284"/>
      <c r="Q1292" s="284"/>
      <c r="R1292" s="284"/>
      <c r="S1292" s="17"/>
      <c r="T1292" s="284"/>
      <c r="U1292" s="284"/>
      <c r="V1292" s="284"/>
      <c r="W1292" s="18"/>
      <c r="X1292" s="18"/>
      <c r="Y1292" s="18"/>
      <c r="Z1292" s="18"/>
    </row>
    <row r="1293" spans="1:26" ht="16.5" customHeight="1" x14ac:dyDescent="0.35">
      <c r="A1293" s="230"/>
      <c r="B1293" s="236"/>
      <c r="C1293" s="227" t="s">
        <v>213</v>
      </c>
      <c r="D1293" s="218">
        <v>3</v>
      </c>
      <c r="E1293" s="216">
        <v>1</v>
      </c>
      <c r="F1293" s="218" t="s">
        <v>63</v>
      </c>
      <c r="G1293" s="218" t="s">
        <v>428</v>
      </c>
      <c r="H1293" s="74" t="s">
        <v>35</v>
      </c>
      <c r="I1293" s="74" t="s">
        <v>108</v>
      </c>
      <c r="J1293" s="74" t="s">
        <v>65</v>
      </c>
      <c r="K1293" s="218" t="s">
        <v>54</v>
      </c>
      <c r="L1293" s="66"/>
      <c r="M1293" s="18"/>
      <c r="N1293" s="18"/>
      <c r="O1293" s="18"/>
      <c r="P1293" s="293"/>
      <c r="Q1293" s="295"/>
      <c r="R1293" s="294"/>
      <c r="S1293" s="18"/>
      <c r="T1293" s="293"/>
      <c r="U1293" s="295"/>
      <c r="V1293" s="294"/>
      <c r="W1293" s="18"/>
      <c r="X1293" s="18"/>
      <c r="Y1293" s="18"/>
      <c r="Z1293" s="18"/>
    </row>
    <row r="1294" spans="1:26" ht="16.5" customHeight="1" x14ac:dyDescent="0.35">
      <c r="A1294" s="230"/>
      <c r="B1294" s="236"/>
      <c r="C1294" s="217"/>
      <c r="D1294" s="217"/>
      <c r="E1294" s="217"/>
      <c r="F1294" s="217"/>
      <c r="G1294" s="217"/>
      <c r="H1294" s="74" t="s">
        <v>46</v>
      </c>
      <c r="I1294" s="74" t="s">
        <v>108</v>
      </c>
      <c r="J1294" s="74" t="s">
        <v>65</v>
      </c>
      <c r="K1294" s="217"/>
      <c r="L1294" s="66"/>
      <c r="M1294" s="18"/>
      <c r="N1294" s="18"/>
      <c r="O1294" s="18"/>
      <c r="P1294" s="284"/>
      <c r="Q1294" s="284"/>
      <c r="R1294" s="284"/>
      <c r="S1294" s="18"/>
      <c r="T1294" s="284"/>
      <c r="U1294" s="284"/>
      <c r="V1294" s="284"/>
      <c r="W1294" s="18"/>
      <c r="X1294" s="18"/>
      <c r="Y1294" s="18"/>
      <c r="Z1294" s="18"/>
    </row>
    <row r="1295" spans="1:26" ht="16.5" customHeight="1" x14ac:dyDescent="0.35">
      <c r="A1295" s="230"/>
      <c r="B1295" s="236"/>
      <c r="C1295" s="227" t="s">
        <v>67</v>
      </c>
      <c r="D1295" s="218">
        <v>4</v>
      </c>
      <c r="E1295" s="216">
        <v>2</v>
      </c>
      <c r="F1295" s="218" t="s">
        <v>68</v>
      </c>
      <c r="G1295" s="218" t="s">
        <v>101</v>
      </c>
      <c r="H1295" s="74" t="s">
        <v>35</v>
      </c>
      <c r="I1295" s="76" t="s">
        <v>70</v>
      </c>
      <c r="J1295" s="76" t="s">
        <v>111</v>
      </c>
      <c r="K1295" s="218" t="s">
        <v>54</v>
      </c>
      <c r="L1295" s="66"/>
      <c r="M1295" s="18"/>
      <c r="N1295" s="18"/>
      <c r="O1295" s="18"/>
      <c r="P1295" s="293"/>
      <c r="Q1295" s="295"/>
      <c r="R1295" s="294"/>
      <c r="S1295" s="18"/>
      <c r="T1295" s="293"/>
      <c r="U1295" s="295"/>
      <c r="V1295" s="294"/>
      <c r="W1295" s="18"/>
      <c r="X1295" s="18"/>
      <c r="Y1295" s="18"/>
      <c r="Z1295" s="18"/>
    </row>
    <row r="1296" spans="1:26" ht="16.5" customHeight="1" x14ac:dyDescent="0.35">
      <c r="A1296" s="230"/>
      <c r="B1296" s="236"/>
      <c r="C1296" s="217"/>
      <c r="D1296" s="217"/>
      <c r="E1296" s="217"/>
      <c r="F1296" s="217"/>
      <c r="G1296" s="217"/>
      <c r="H1296" s="74" t="s">
        <v>48</v>
      </c>
      <c r="I1296" s="76" t="s">
        <v>70</v>
      </c>
      <c r="J1296" s="76" t="s">
        <v>111</v>
      </c>
      <c r="K1296" s="217"/>
      <c r="L1296" s="66"/>
      <c r="M1296" s="18"/>
      <c r="N1296" s="18"/>
      <c r="O1296" s="18"/>
      <c r="P1296" s="284"/>
      <c r="Q1296" s="284"/>
      <c r="R1296" s="284"/>
      <c r="S1296" s="18"/>
      <c r="T1296" s="284"/>
      <c r="U1296" s="284"/>
      <c r="V1296" s="284"/>
      <c r="W1296" s="18"/>
      <c r="X1296" s="18"/>
      <c r="Y1296" s="18"/>
      <c r="Z1296" s="18"/>
    </row>
    <row r="1297" spans="1:26" ht="16.5" customHeight="1" x14ac:dyDescent="0.35">
      <c r="A1297" s="230"/>
      <c r="B1297" s="236"/>
      <c r="C1297" s="227" t="s">
        <v>279</v>
      </c>
      <c r="D1297" s="218">
        <v>3</v>
      </c>
      <c r="E1297" s="216">
        <v>1.5</v>
      </c>
      <c r="F1297" s="218" t="s">
        <v>68</v>
      </c>
      <c r="G1297" s="218" t="s">
        <v>69</v>
      </c>
      <c r="H1297" s="74" t="s">
        <v>46</v>
      </c>
      <c r="I1297" s="76" t="s">
        <v>40</v>
      </c>
      <c r="J1297" s="76" t="s">
        <v>71</v>
      </c>
      <c r="K1297" s="218" t="s">
        <v>38</v>
      </c>
      <c r="L1297" s="66"/>
      <c r="M1297" s="18"/>
      <c r="N1297" s="18"/>
      <c r="O1297" s="18"/>
      <c r="P1297" s="293"/>
      <c r="Q1297" s="295"/>
      <c r="R1297" s="294"/>
      <c r="S1297" s="18"/>
      <c r="T1297" s="293"/>
      <c r="U1297" s="295"/>
      <c r="V1297" s="294"/>
      <c r="W1297" s="18"/>
      <c r="X1297" s="18"/>
      <c r="Y1297" s="18"/>
      <c r="Z1297" s="18"/>
    </row>
    <row r="1298" spans="1:26" ht="16.5" customHeight="1" x14ac:dyDescent="0.35">
      <c r="A1298" s="230"/>
      <c r="B1298" s="240"/>
      <c r="C1298" s="217"/>
      <c r="D1298" s="217"/>
      <c r="E1298" s="217"/>
      <c r="F1298" s="217"/>
      <c r="G1298" s="217"/>
      <c r="H1298" s="74" t="s">
        <v>55</v>
      </c>
      <c r="I1298" s="76" t="s">
        <v>40</v>
      </c>
      <c r="J1298" s="76" t="s">
        <v>71</v>
      </c>
      <c r="K1298" s="217"/>
      <c r="L1298" s="66"/>
      <c r="M1298" s="18"/>
      <c r="N1298" s="18"/>
      <c r="O1298" s="18"/>
      <c r="P1298" s="284"/>
      <c r="Q1298" s="284"/>
      <c r="R1298" s="284"/>
      <c r="S1298" s="18"/>
      <c r="T1298" s="284"/>
      <c r="U1298" s="284"/>
      <c r="V1298" s="284"/>
      <c r="W1298" s="18"/>
      <c r="X1298" s="18"/>
      <c r="Y1298" s="18"/>
      <c r="Z1298" s="18"/>
    </row>
    <row r="1299" spans="1:26" ht="16.5" customHeight="1" x14ac:dyDescent="0.35">
      <c r="A1299" s="217"/>
      <c r="B1299" s="228" t="s">
        <v>72</v>
      </c>
      <c r="C1299" s="221"/>
      <c r="D1299" s="222"/>
      <c r="E1299" s="100">
        <f>SUM(E1287:E1298)</f>
        <v>13.5</v>
      </c>
      <c r="F1299" s="220"/>
      <c r="G1299" s="221"/>
      <c r="H1299" s="221"/>
      <c r="I1299" s="221"/>
      <c r="J1299" s="221"/>
      <c r="K1299" s="222"/>
      <c r="L1299" s="66"/>
      <c r="M1299" s="18"/>
      <c r="N1299" s="18"/>
      <c r="O1299" s="18"/>
      <c r="P1299" s="18"/>
      <c r="Q1299" s="18"/>
      <c r="R1299" s="18"/>
      <c r="S1299" s="18"/>
      <c r="T1299" s="293"/>
      <c r="U1299" s="295"/>
      <c r="V1299" s="294"/>
      <c r="W1299" s="18"/>
      <c r="X1299" s="18"/>
      <c r="Y1299" s="18"/>
      <c r="Z1299" s="18"/>
    </row>
    <row r="1300" spans="1:26" ht="16.5" customHeight="1" x14ac:dyDescent="0.35">
      <c r="A1300" s="229">
        <v>80</v>
      </c>
      <c r="B1300" s="238" t="s">
        <v>462</v>
      </c>
      <c r="C1300" s="227" t="s">
        <v>335</v>
      </c>
      <c r="D1300" s="218">
        <v>2</v>
      </c>
      <c r="E1300" s="216">
        <v>2</v>
      </c>
      <c r="F1300" s="218" t="s">
        <v>75</v>
      </c>
      <c r="G1300" s="218" t="s">
        <v>101</v>
      </c>
      <c r="H1300" s="74" t="s">
        <v>35</v>
      </c>
      <c r="I1300" s="74" t="s">
        <v>277</v>
      </c>
      <c r="J1300" s="74" t="s">
        <v>152</v>
      </c>
      <c r="K1300" s="218" t="s">
        <v>54</v>
      </c>
      <c r="L1300" s="66"/>
      <c r="M1300" s="18"/>
      <c r="N1300" s="18"/>
      <c r="O1300" s="18"/>
      <c r="P1300" s="293"/>
      <c r="Q1300" s="295"/>
      <c r="R1300" s="294"/>
      <c r="S1300" s="18"/>
      <c r="T1300" s="284"/>
      <c r="U1300" s="284"/>
      <c r="V1300" s="284"/>
      <c r="W1300" s="18"/>
      <c r="X1300" s="18"/>
      <c r="Y1300" s="18"/>
      <c r="Z1300" s="18"/>
    </row>
    <row r="1301" spans="1:26" ht="16.5" customHeight="1" x14ac:dyDescent="0.35">
      <c r="A1301" s="230"/>
      <c r="B1301" s="230"/>
      <c r="C1301" s="217"/>
      <c r="D1301" s="217"/>
      <c r="E1301" s="217"/>
      <c r="F1301" s="217"/>
      <c r="G1301" s="217"/>
      <c r="H1301" s="74" t="s">
        <v>48</v>
      </c>
      <c r="I1301" s="74" t="s">
        <v>131</v>
      </c>
      <c r="J1301" s="74" t="s">
        <v>132</v>
      </c>
      <c r="K1301" s="217"/>
      <c r="L1301" s="66"/>
      <c r="M1301" s="18"/>
      <c r="N1301" s="18"/>
      <c r="O1301" s="18"/>
      <c r="P1301" s="284"/>
      <c r="Q1301" s="284"/>
      <c r="R1301" s="284"/>
      <c r="S1301" s="18"/>
      <c r="T1301" s="293"/>
      <c r="U1301" s="295"/>
      <c r="V1301" s="294"/>
      <c r="W1301" s="18"/>
      <c r="X1301" s="18"/>
      <c r="Y1301" s="18"/>
      <c r="Z1301" s="18"/>
    </row>
    <row r="1302" spans="1:26" ht="16.5" customHeight="1" x14ac:dyDescent="0.35">
      <c r="A1302" s="230"/>
      <c r="B1302" s="230"/>
      <c r="C1302" s="227" t="s">
        <v>335</v>
      </c>
      <c r="D1302" s="218">
        <v>2</v>
      </c>
      <c r="E1302" s="216">
        <v>2</v>
      </c>
      <c r="F1302" s="218" t="s">
        <v>75</v>
      </c>
      <c r="G1302" s="218" t="s">
        <v>64</v>
      </c>
      <c r="H1302" s="74" t="s">
        <v>46</v>
      </c>
      <c r="I1302" s="74" t="s">
        <v>219</v>
      </c>
      <c r="J1302" s="74" t="s">
        <v>206</v>
      </c>
      <c r="K1302" s="218" t="s">
        <v>54</v>
      </c>
      <c r="L1302" s="66"/>
      <c r="M1302" s="18"/>
      <c r="N1302" s="18"/>
      <c r="O1302" s="18"/>
      <c r="P1302" s="293"/>
      <c r="Q1302" s="295"/>
      <c r="R1302" s="294"/>
      <c r="S1302" s="18"/>
      <c r="T1302" s="284"/>
      <c r="U1302" s="284"/>
      <c r="V1302" s="284"/>
      <c r="W1302" s="18"/>
      <c r="X1302" s="18"/>
      <c r="Y1302" s="18"/>
      <c r="Z1302" s="18"/>
    </row>
    <row r="1303" spans="1:26" ht="16.5" customHeight="1" x14ac:dyDescent="0.35">
      <c r="A1303" s="230"/>
      <c r="B1303" s="230"/>
      <c r="C1303" s="217"/>
      <c r="D1303" s="217"/>
      <c r="E1303" s="217"/>
      <c r="F1303" s="217"/>
      <c r="G1303" s="217"/>
      <c r="H1303" s="74" t="s">
        <v>48</v>
      </c>
      <c r="I1303" s="74" t="s">
        <v>59</v>
      </c>
      <c r="J1303" s="74" t="s">
        <v>132</v>
      </c>
      <c r="K1303" s="217"/>
      <c r="L1303" s="66"/>
      <c r="M1303" s="18"/>
      <c r="N1303" s="18"/>
      <c r="O1303" s="18"/>
      <c r="P1303" s="284"/>
      <c r="Q1303" s="284"/>
      <c r="R1303" s="284"/>
      <c r="S1303" s="18"/>
      <c r="T1303" s="18"/>
      <c r="U1303" s="18"/>
      <c r="V1303" s="18"/>
      <c r="W1303" s="18"/>
      <c r="X1303" s="18"/>
      <c r="Y1303" s="18"/>
      <c r="Z1303" s="18"/>
    </row>
    <row r="1304" spans="1:26" ht="16.5" customHeight="1" x14ac:dyDescent="0.35">
      <c r="A1304" s="230"/>
      <c r="B1304" s="230"/>
      <c r="C1304" s="227" t="s">
        <v>335</v>
      </c>
      <c r="D1304" s="218">
        <v>2</v>
      </c>
      <c r="E1304" s="216">
        <v>2</v>
      </c>
      <c r="F1304" s="218" t="s">
        <v>75</v>
      </c>
      <c r="G1304" s="218" t="s">
        <v>103</v>
      </c>
      <c r="H1304" s="74" t="s">
        <v>35</v>
      </c>
      <c r="I1304" s="74" t="s">
        <v>131</v>
      </c>
      <c r="J1304" s="74" t="s">
        <v>206</v>
      </c>
      <c r="K1304" s="218" t="s">
        <v>54</v>
      </c>
      <c r="L1304" s="66"/>
      <c r="M1304" s="18"/>
      <c r="N1304" s="18"/>
      <c r="O1304" s="18"/>
      <c r="P1304" s="293"/>
      <c r="Q1304" s="295"/>
      <c r="R1304" s="294"/>
      <c r="S1304" s="18"/>
      <c r="T1304" s="18"/>
      <c r="U1304" s="18"/>
      <c r="V1304" s="18"/>
      <c r="W1304" s="18"/>
      <c r="X1304" s="18"/>
      <c r="Y1304" s="18"/>
      <c r="Z1304" s="18"/>
    </row>
    <row r="1305" spans="1:26" ht="16.5" customHeight="1" x14ac:dyDescent="0.35">
      <c r="A1305" s="230"/>
      <c r="B1305" s="230"/>
      <c r="C1305" s="217"/>
      <c r="D1305" s="219"/>
      <c r="E1305" s="219"/>
      <c r="F1305" s="219"/>
      <c r="G1305" s="219"/>
      <c r="H1305" s="84" t="s">
        <v>55</v>
      </c>
      <c r="I1305" s="84" t="s">
        <v>56</v>
      </c>
      <c r="J1305" s="84" t="s">
        <v>208</v>
      </c>
      <c r="K1305" s="219"/>
      <c r="L1305" s="66"/>
      <c r="M1305" s="18"/>
      <c r="N1305" s="18"/>
      <c r="O1305" s="18"/>
      <c r="P1305" s="284"/>
      <c r="Q1305" s="284"/>
      <c r="R1305" s="284"/>
      <c r="S1305" s="18"/>
      <c r="T1305" s="293"/>
      <c r="U1305" s="295"/>
      <c r="V1305" s="294"/>
      <c r="W1305" s="18"/>
      <c r="X1305" s="18"/>
      <c r="Y1305" s="18"/>
      <c r="Z1305" s="18"/>
    </row>
    <row r="1306" spans="1:26" ht="16.5" customHeight="1" x14ac:dyDescent="0.35">
      <c r="A1306" s="230"/>
      <c r="B1306" s="230"/>
      <c r="C1306" s="227" t="s">
        <v>207</v>
      </c>
      <c r="D1306" s="218">
        <v>2</v>
      </c>
      <c r="E1306" s="216">
        <v>2</v>
      </c>
      <c r="F1306" s="218" t="s">
        <v>75</v>
      </c>
      <c r="G1306" s="218" t="s">
        <v>79</v>
      </c>
      <c r="H1306" s="74" t="s">
        <v>46</v>
      </c>
      <c r="I1306" s="74" t="s">
        <v>56</v>
      </c>
      <c r="J1306" s="74" t="s">
        <v>152</v>
      </c>
      <c r="K1306" s="218" t="s">
        <v>38</v>
      </c>
      <c r="L1306" s="66"/>
      <c r="M1306" s="17"/>
      <c r="N1306" s="17"/>
      <c r="O1306" s="17"/>
      <c r="P1306" s="293"/>
      <c r="Q1306" s="295"/>
      <c r="R1306" s="294"/>
      <c r="S1306" s="18"/>
      <c r="T1306" s="284"/>
      <c r="U1306" s="284"/>
      <c r="V1306" s="284"/>
      <c r="W1306" s="18"/>
      <c r="X1306" s="18"/>
      <c r="Y1306" s="18"/>
      <c r="Z1306" s="18"/>
    </row>
    <row r="1307" spans="1:26" ht="16.5" customHeight="1" x14ac:dyDescent="0.35">
      <c r="A1307" s="230"/>
      <c r="B1307" s="217"/>
      <c r="C1307" s="217"/>
      <c r="D1307" s="217"/>
      <c r="E1307" s="217"/>
      <c r="F1307" s="217"/>
      <c r="G1307" s="217"/>
      <c r="H1307" s="74" t="s">
        <v>55</v>
      </c>
      <c r="I1307" s="74" t="s">
        <v>56</v>
      </c>
      <c r="J1307" s="74" t="s">
        <v>170</v>
      </c>
      <c r="K1307" s="217"/>
      <c r="L1307" s="66"/>
      <c r="M1307" s="17"/>
      <c r="N1307" s="17"/>
      <c r="O1307" s="17"/>
      <c r="P1307" s="284"/>
      <c r="Q1307" s="284"/>
      <c r="R1307" s="284"/>
      <c r="S1307" s="18"/>
      <c r="T1307" s="293"/>
      <c r="U1307" s="295"/>
      <c r="V1307" s="294"/>
      <c r="W1307" s="18"/>
      <c r="X1307" s="18"/>
      <c r="Y1307" s="18"/>
      <c r="Z1307" s="18"/>
    </row>
    <row r="1308" spans="1:26" ht="16.5" customHeight="1" x14ac:dyDescent="0.35">
      <c r="A1308" s="217"/>
      <c r="B1308" s="228" t="s">
        <v>72</v>
      </c>
      <c r="C1308" s="221"/>
      <c r="D1308" s="222"/>
      <c r="E1308" s="100">
        <f>SUM(E1300:E1307)</f>
        <v>8</v>
      </c>
      <c r="F1308" s="220"/>
      <c r="G1308" s="221"/>
      <c r="H1308" s="221"/>
      <c r="I1308" s="221"/>
      <c r="J1308" s="221"/>
      <c r="K1308" s="222"/>
      <c r="L1308" s="66"/>
      <c r="M1308" s="18"/>
      <c r="N1308" s="18"/>
      <c r="O1308" s="18"/>
      <c r="P1308" s="18"/>
      <c r="Q1308" s="18"/>
      <c r="R1308" s="18"/>
      <c r="S1308" s="18"/>
      <c r="T1308" s="284"/>
      <c r="U1308" s="284"/>
      <c r="V1308" s="284"/>
      <c r="W1308" s="18"/>
      <c r="X1308" s="18"/>
      <c r="Y1308" s="18"/>
      <c r="Z1308" s="18"/>
    </row>
    <row r="1309" spans="1:26" ht="16.5" customHeight="1" x14ac:dyDescent="0.35">
      <c r="A1309" s="131">
        <v>81</v>
      </c>
      <c r="B1309" s="131" t="s">
        <v>463</v>
      </c>
      <c r="C1309" s="227" t="s">
        <v>109</v>
      </c>
      <c r="D1309" s="218">
        <v>3</v>
      </c>
      <c r="E1309" s="216">
        <v>3</v>
      </c>
      <c r="F1309" s="218" t="s">
        <v>75</v>
      </c>
      <c r="G1309" s="218" t="s">
        <v>45</v>
      </c>
      <c r="H1309" s="74" t="s">
        <v>35</v>
      </c>
      <c r="I1309" s="74" t="s">
        <v>36</v>
      </c>
      <c r="J1309" s="74" t="s">
        <v>124</v>
      </c>
      <c r="K1309" s="218" t="s">
        <v>54</v>
      </c>
      <c r="L1309" s="66"/>
      <c r="M1309" s="18"/>
      <c r="N1309" s="18"/>
      <c r="O1309" s="18"/>
      <c r="P1309" s="293"/>
      <c r="Q1309" s="295"/>
      <c r="R1309" s="294"/>
      <c r="S1309" s="18"/>
      <c r="T1309" s="293"/>
      <c r="U1309" s="295"/>
      <c r="V1309" s="294"/>
      <c r="W1309" s="18"/>
      <c r="X1309" s="18"/>
      <c r="Y1309" s="18"/>
      <c r="Z1309" s="18"/>
    </row>
    <row r="1310" spans="1:26" ht="16.5" customHeight="1" x14ac:dyDescent="0.35">
      <c r="A1310" s="117"/>
      <c r="B1310" s="117"/>
      <c r="C1310" s="217"/>
      <c r="D1310" s="217"/>
      <c r="E1310" s="217"/>
      <c r="F1310" s="217"/>
      <c r="G1310" s="217"/>
      <c r="H1310" s="74" t="s">
        <v>48</v>
      </c>
      <c r="I1310" s="74" t="s">
        <v>36</v>
      </c>
      <c r="J1310" s="74" t="s">
        <v>124</v>
      </c>
      <c r="K1310" s="217"/>
      <c r="L1310" s="66"/>
      <c r="M1310" s="18"/>
      <c r="N1310" s="18"/>
      <c r="O1310" s="18"/>
      <c r="P1310" s="284"/>
      <c r="Q1310" s="284"/>
      <c r="R1310" s="284"/>
      <c r="S1310" s="18"/>
      <c r="T1310" s="284"/>
      <c r="U1310" s="284"/>
      <c r="V1310" s="284"/>
      <c r="W1310" s="18"/>
      <c r="X1310" s="18"/>
      <c r="Y1310" s="18"/>
      <c r="Z1310" s="18"/>
    </row>
    <row r="1311" spans="1:26" ht="16.5" customHeight="1" x14ac:dyDescent="0.35">
      <c r="A1311" s="117"/>
      <c r="B1311" s="117"/>
      <c r="C1311" s="227" t="s">
        <v>109</v>
      </c>
      <c r="D1311" s="218">
        <v>3</v>
      </c>
      <c r="E1311" s="216">
        <v>3</v>
      </c>
      <c r="F1311" s="218" t="s">
        <v>75</v>
      </c>
      <c r="G1311" s="218" t="s">
        <v>49</v>
      </c>
      <c r="H1311" s="74" t="s">
        <v>35</v>
      </c>
      <c r="I1311" s="74" t="s">
        <v>40</v>
      </c>
      <c r="J1311" s="74" t="s">
        <v>159</v>
      </c>
      <c r="K1311" s="218" t="s">
        <v>54</v>
      </c>
      <c r="L1311" s="66"/>
      <c r="M1311" s="18"/>
      <c r="N1311" s="18"/>
      <c r="O1311" s="18"/>
      <c r="P1311" s="293"/>
      <c r="Q1311" s="295"/>
      <c r="R1311" s="294"/>
      <c r="S1311" s="18"/>
      <c r="T1311" s="293"/>
      <c r="U1311" s="295"/>
      <c r="V1311" s="294"/>
      <c r="W1311" s="18"/>
      <c r="X1311" s="18"/>
      <c r="Y1311" s="18"/>
      <c r="Z1311" s="18"/>
    </row>
    <row r="1312" spans="1:26" ht="16.5" customHeight="1" x14ac:dyDescent="0.35">
      <c r="A1312" s="117"/>
      <c r="B1312" s="117"/>
      <c r="C1312" s="219"/>
      <c r="D1312" s="219"/>
      <c r="E1312" s="219"/>
      <c r="F1312" s="219"/>
      <c r="G1312" s="219"/>
      <c r="H1312" s="84" t="s">
        <v>55</v>
      </c>
      <c r="I1312" s="84" t="s">
        <v>36</v>
      </c>
      <c r="J1312" s="84" t="s">
        <v>160</v>
      </c>
      <c r="K1312" s="219"/>
      <c r="L1312" s="66"/>
      <c r="M1312" s="18"/>
      <c r="N1312" s="18"/>
      <c r="O1312" s="18"/>
      <c r="P1312" s="284"/>
      <c r="Q1312" s="284"/>
      <c r="R1312" s="284"/>
      <c r="S1312" s="18"/>
      <c r="T1312" s="284"/>
      <c r="U1312" s="284"/>
      <c r="V1312" s="284"/>
      <c r="W1312" s="18"/>
      <c r="X1312" s="18"/>
      <c r="Y1312" s="18"/>
      <c r="Z1312" s="18"/>
    </row>
    <row r="1313" spans="1:26" ht="16.5" customHeight="1" x14ac:dyDescent="0.35">
      <c r="A1313" s="59"/>
      <c r="B1313" s="59"/>
      <c r="C1313" s="60"/>
      <c r="D1313" s="61"/>
      <c r="E1313" s="62"/>
      <c r="F1313" s="61"/>
      <c r="G1313" s="61"/>
      <c r="H1313" s="61"/>
      <c r="I1313" s="61"/>
      <c r="J1313" s="61"/>
      <c r="K1313" s="61"/>
      <c r="L1313" s="66"/>
      <c r="M1313" s="18"/>
      <c r="N1313" s="18"/>
      <c r="O1313" s="18"/>
      <c r="P1313" s="7"/>
      <c r="Q1313" s="7"/>
      <c r="R1313" s="7"/>
      <c r="S1313" s="18"/>
      <c r="T1313" s="7"/>
      <c r="U1313" s="7"/>
      <c r="V1313" s="7"/>
      <c r="W1313" s="18"/>
      <c r="X1313" s="18"/>
      <c r="Y1313" s="18"/>
      <c r="Z1313" s="18"/>
    </row>
    <row r="1314" spans="1:26" ht="16.5" customHeight="1" x14ac:dyDescent="0.35">
      <c r="A1314" s="65"/>
      <c r="B1314" s="65"/>
      <c r="C1314" s="66"/>
      <c r="D1314" s="67"/>
      <c r="E1314" s="68"/>
      <c r="F1314" s="67"/>
      <c r="G1314" s="67"/>
      <c r="H1314" s="67"/>
      <c r="I1314" s="67"/>
      <c r="J1314" s="67"/>
      <c r="K1314" s="67"/>
      <c r="L1314" s="66"/>
      <c r="M1314" s="18"/>
      <c r="N1314" s="18"/>
      <c r="O1314" s="18"/>
      <c r="P1314" s="7"/>
      <c r="Q1314" s="7"/>
      <c r="R1314" s="7"/>
      <c r="S1314" s="18"/>
      <c r="T1314" s="7"/>
      <c r="U1314" s="7"/>
      <c r="V1314" s="7"/>
      <c r="W1314" s="18"/>
      <c r="X1314" s="18"/>
      <c r="Y1314" s="18"/>
      <c r="Z1314" s="18"/>
    </row>
    <row r="1315" spans="1:26" ht="16.5" customHeight="1" x14ac:dyDescent="0.35">
      <c r="A1315" s="65"/>
      <c r="B1315" s="65"/>
      <c r="C1315" s="66"/>
      <c r="D1315" s="67"/>
      <c r="E1315" s="68"/>
      <c r="F1315" s="67"/>
      <c r="G1315" s="67"/>
      <c r="H1315" s="67"/>
      <c r="I1315" s="67"/>
      <c r="J1315" s="67"/>
      <c r="K1315" s="67"/>
      <c r="L1315" s="66"/>
      <c r="M1315" s="18"/>
      <c r="N1315" s="18"/>
      <c r="O1315" s="18"/>
      <c r="P1315" s="7"/>
      <c r="Q1315" s="7"/>
      <c r="R1315" s="7"/>
      <c r="S1315" s="18"/>
      <c r="T1315" s="7"/>
      <c r="U1315" s="7"/>
      <c r="V1315" s="7"/>
      <c r="W1315" s="18"/>
      <c r="X1315" s="18"/>
      <c r="Y1315" s="18"/>
      <c r="Z1315" s="18"/>
    </row>
    <row r="1316" spans="1:26" ht="16.5" customHeight="1" x14ac:dyDescent="0.35">
      <c r="A1316" s="65"/>
      <c r="B1316" s="65"/>
      <c r="C1316" s="66"/>
      <c r="D1316" s="67"/>
      <c r="E1316" s="68"/>
      <c r="F1316" s="67"/>
      <c r="G1316" s="67"/>
      <c r="H1316" s="67"/>
      <c r="I1316" s="67"/>
      <c r="J1316" s="67"/>
      <c r="K1316" s="67"/>
      <c r="L1316" s="66"/>
      <c r="M1316" s="18"/>
      <c r="N1316" s="18"/>
      <c r="O1316" s="18"/>
      <c r="P1316" s="7"/>
      <c r="Q1316" s="7"/>
      <c r="R1316" s="7"/>
      <c r="S1316" s="18"/>
      <c r="T1316" s="7"/>
      <c r="U1316" s="7"/>
      <c r="V1316" s="7"/>
      <c r="W1316" s="18"/>
      <c r="X1316" s="18"/>
      <c r="Y1316" s="18"/>
      <c r="Z1316" s="18"/>
    </row>
    <row r="1317" spans="1:26" ht="16.5" customHeight="1" x14ac:dyDescent="0.35">
      <c r="A1317" s="65"/>
      <c r="B1317" s="65"/>
      <c r="C1317" s="66"/>
      <c r="D1317" s="67"/>
      <c r="E1317" s="68"/>
      <c r="F1317" s="67"/>
      <c r="G1317" s="67"/>
      <c r="H1317" s="67"/>
      <c r="I1317" s="67"/>
      <c r="J1317" s="67"/>
      <c r="K1317" s="67"/>
      <c r="L1317" s="66"/>
      <c r="M1317" s="18"/>
      <c r="N1317" s="18"/>
      <c r="O1317" s="18"/>
      <c r="P1317" s="7"/>
      <c r="Q1317" s="7"/>
      <c r="R1317" s="7"/>
      <c r="S1317" s="18"/>
      <c r="T1317" s="7"/>
      <c r="U1317" s="7"/>
      <c r="V1317" s="7"/>
      <c r="W1317" s="18"/>
      <c r="X1317" s="18"/>
      <c r="Y1317" s="18"/>
      <c r="Z1317" s="18"/>
    </row>
    <row r="1318" spans="1:26" ht="16.5" customHeight="1" x14ac:dyDescent="0.35">
      <c r="A1318" s="65"/>
      <c r="B1318" s="65"/>
      <c r="C1318" s="66"/>
      <c r="D1318" s="67"/>
      <c r="E1318" s="68"/>
      <c r="F1318" s="67"/>
      <c r="G1318" s="67"/>
      <c r="H1318" s="67"/>
      <c r="I1318" s="67"/>
      <c r="J1318" s="67"/>
      <c r="K1318" s="67"/>
      <c r="L1318" s="66"/>
      <c r="M1318" s="18"/>
      <c r="N1318" s="18"/>
      <c r="O1318" s="18"/>
      <c r="P1318" s="7"/>
      <c r="Q1318" s="7"/>
      <c r="R1318" s="7"/>
      <c r="S1318" s="18"/>
      <c r="T1318" s="7"/>
      <c r="U1318" s="7"/>
      <c r="V1318" s="7"/>
      <c r="W1318" s="18"/>
      <c r="X1318" s="18"/>
      <c r="Y1318" s="18"/>
      <c r="Z1318" s="18"/>
    </row>
    <row r="1319" spans="1:26" ht="16.5" customHeight="1" x14ac:dyDescent="0.35">
      <c r="A1319" s="223" t="s">
        <v>7</v>
      </c>
      <c r="B1319" s="223" t="s">
        <v>8</v>
      </c>
      <c r="C1319" s="223" t="s">
        <v>9</v>
      </c>
      <c r="D1319" s="220" t="s">
        <v>10</v>
      </c>
      <c r="E1319" s="222"/>
      <c r="F1319" s="223" t="s">
        <v>11</v>
      </c>
      <c r="G1319" s="223" t="s">
        <v>12</v>
      </c>
      <c r="H1319" s="226" t="s">
        <v>13</v>
      </c>
      <c r="I1319" s="221"/>
      <c r="J1319" s="221"/>
      <c r="K1319" s="222"/>
      <c r="L1319" s="66"/>
      <c r="M1319" s="18"/>
      <c r="N1319" s="18"/>
      <c r="O1319" s="18"/>
      <c r="P1319" s="7"/>
      <c r="Q1319" s="7"/>
      <c r="R1319" s="7"/>
      <c r="S1319" s="18"/>
      <c r="T1319" s="7"/>
      <c r="U1319" s="7"/>
      <c r="V1319" s="7"/>
      <c r="W1319" s="18"/>
      <c r="X1319" s="18"/>
      <c r="Y1319" s="18"/>
      <c r="Z1319" s="18"/>
    </row>
    <row r="1320" spans="1:26" ht="16.5" customHeight="1" x14ac:dyDescent="0.35">
      <c r="A1320" s="217"/>
      <c r="B1320" s="217"/>
      <c r="C1320" s="217"/>
      <c r="D1320" s="70" t="s">
        <v>14</v>
      </c>
      <c r="E1320" s="71" t="s">
        <v>15</v>
      </c>
      <c r="F1320" s="217"/>
      <c r="G1320" s="217"/>
      <c r="H1320" s="70" t="s">
        <v>16</v>
      </c>
      <c r="I1320" s="70" t="s">
        <v>17</v>
      </c>
      <c r="J1320" s="70" t="s">
        <v>18</v>
      </c>
      <c r="K1320" s="70" t="s">
        <v>19</v>
      </c>
      <c r="L1320" s="66"/>
      <c r="M1320" s="18"/>
      <c r="N1320" s="18"/>
      <c r="O1320" s="18"/>
      <c r="P1320" s="7"/>
      <c r="Q1320" s="7"/>
      <c r="R1320" s="7"/>
      <c r="S1320" s="18"/>
      <c r="T1320" s="7"/>
      <c r="U1320" s="7"/>
      <c r="V1320" s="7"/>
      <c r="W1320" s="18"/>
      <c r="X1320" s="18"/>
      <c r="Y1320" s="18"/>
      <c r="Z1320" s="18"/>
    </row>
    <row r="1321" spans="1:26" ht="16.5" customHeight="1" x14ac:dyDescent="0.35">
      <c r="A1321" s="72" t="s">
        <v>20</v>
      </c>
      <c r="B1321" s="73" t="s">
        <v>21</v>
      </c>
      <c r="C1321" s="73" t="s">
        <v>22</v>
      </c>
      <c r="D1321" s="70" t="s">
        <v>23</v>
      </c>
      <c r="E1321" s="71" t="s">
        <v>24</v>
      </c>
      <c r="F1321" s="70" t="s">
        <v>25</v>
      </c>
      <c r="G1321" s="70" t="s">
        <v>26</v>
      </c>
      <c r="H1321" s="70" t="s">
        <v>27</v>
      </c>
      <c r="I1321" s="70" t="s">
        <v>28</v>
      </c>
      <c r="J1321" s="70" t="s">
        <v>29</v>
      </c>
      <c r="K1321" s="70" t="s">
        <v>30</v>
      </c>
      <c r="L1321" s="66"/>
      <c r="M1321" s="18"/>
      <c r="N1321" s="18"/>
      <c r="O1321" s="18"/>
      <c r="P1321" s="7"/>
      <c r="Q1321" s="7"/>
      <c r="R1321" s="7"/>
      <c r="S1321" s="18"/>
      <c r="T1321" s="7"/>
      <c r="U1321" s="7"/>
      <c r="V1321" s="7"/>
      <c r="W1321" s="18"/>
      <c r="X1321" s="18"/>
      <c r="Y1321" s="18"/>
      <c r="Z1321" s="18"/>
    </row>
    <row r="1322" spans="1:26" ht="16.5" customHeight="1" x14ac:dyDescent="0.35">
      <c r="A1322" s="229">
        <v>81</v>
      </c>
      <c r="B1322" s="238" t="s">
        <v>463</v>
      </c>
      <c r="C1322" s="227" t="s">
        <v>109</v>
      </c>
      <c r="D1322" s="218">
        <v>3</v>
      </c>
      <c r="E1322" s="216">
        <v>3</v>
      </c>
      <c r="F1322" s="218" t="s">
        <v>75</v>
      </c>
      <c r="G1322" s="218" t="s">
        <v>289</v>
      </c>
      <c r="H1322" s="74" t="s">
        <v>439</v>
      </c>
      <c r="I1322" s="74" t="s">
        <v>36</v>
      </c>
      <c r="J1322" s="74" t="s">
        <v>78</v>
      </c>
      <c r="K1322" s="218" t="s">
        <v>54</v>
      </c>
      <c r="L1322" s="66"/>
      <c r="M1322" s="18"/>
      <c r="N1322" s="18"/>
      <c r="O1322" s="18"/>
      <c r="P1322" s="293"/>
      <c r="Q1322" s="295"/>
      <c r="R1322" s="294"/>
      <c r="S1322" s="18"/>
      <c r="T1322" s="293"/>
      <c r="U1322" s="295"/>
      <c r="V1322" s="294"/>
      <c r="W1322" s="18"/>
      <c r="X1322" s="18"/>
      <c r="Y1322" s="18"/>
      <c r="Z1322" s="18"/>
    </row>
    <row r="1323" spans="1:26" ht="16.5" customHeight="1" x14ac:dyDescent="0.35">
      <c r="A1323" s="230"/>
      <c r="B1323" s="230"/>
      <c r="C1323" s="217"/>
      <c r="D1323" s="217"/>
      <c r="E1323" s="217"/>
      <c r="F1323" s="217"/>
      <c r="G1323" s="217"/>
      <c r="H1323" s="74" t="s">
        <v>55</v>
      </c>
      <c r="I1323" s="74" t="s">
        <v>44</v>
      </c>
      <c r="J1323" s="74" t="s">
        <v>150</v>
      </c>
      <c r="K1323" s="217"/>
      <c r="L1323" s="66"/>
      <c r="M1323" s="18"/>
      <c r="N1323" s="18"/>
      <c r="O1323" s="18"/>
      <c r="P1323" s="284"/>
      <c r="Q1323" s="284"/>
      <c r="R1323" s="284"/>
      <c r="S1323" s="18"/>
      <c r="T1323" s="284"/>
      <c r="U1323" s="284"/>
      <c r="V1323" s="284"/>
      <c r="W1323" s="18"/>
      <c r="X1323" s="18"/>
      <c r="Y1323" s="18"/>
      <c r="Z1323" s="18"/>
    </row>
    <row r="1324" spans="1:26" ht="16.5" customHeight="1" x14ac:dyDescent="0.35">
      <c r="A1324" s="230"/>
      <c r="B1324" s="230"/>
      <c r="C1324" s="227" t="s">
        <v>271</v>
      </c>
      <c r="D1324" s="218">
        <v>2</v>
      </c>
      <c r="E1324" s="216">
        <v>2</v>
      </c>
      <c r="F1324" s="218" t="s">
        <v>75</v>
      </c>
      <c r="G1324" s="218" t="s">
        <v>42</v>
      </c>
      <c r="H1324" s="74" t="s">
        <v>439</v>
      </c>
      <c r="I1324" s="74" t="s">
        <v>52</v>
      </c>
      <c r="J1324" s="74" t="s">
        <v>159</v>
      </c>
      <c r="K1324" s="218" t="s">
        <v>54</v>
      </c>
      <c r="L1324" s="66"/>
      <c r="M1324" s="18"/>
      <c r="N1324" s="18"/>
      <c r="O1324" s="18"/>
      <c r="P1324" s="293"/>
      <c r="Q1324" s="295"/>
      <c r="R1324" s="294"/>
      <c r="S1324" s="18"/>
      <c r="T1324" s="293"/>
      <c r="U1324" s="295"/>
      <c r="V1324" s="294"/>
      <c r="W1324" s="18"/>
      <c r="X1324" s="18"/>
      <c r="Y1324" s="18"/>
      <c r="Z1324" s="18"/>
    </row>
    <row r="1325" spans="1:26" ht="16.5" customHeight="1" x14ac:dyDescent="0.35">
      <c r="A1325" s="230"/>
      <c r="B1325" s="230"/>
      <c r="C1325" s="217"/>
      <c r="D1325" s="217"/>
      <c r="E1325" s="217"/>
      <c r="F1325" s="217"/>
      <c r="G1325" s="217"/>
      <c r="H1325" s="74" t="s">
        <v>55</v>
      </c>
      <c r="I1325" s="74" t="s">
        <v>52</v>
      </c>
      <c r="J1325" s="74" t="s">
        <v>159</v>
      </c>
      <c r="K1325" s="217"/>
      <c r="L1325" s="66"/>
      <c r="M1325" s="18"/>
      <c r="N1325" s="18"/>
      <c r="O1325" s="18"/>
      <c r="P1325" s="284"/>
      <c r="Q1325" s="284"/>
      <c r="R1325" s="284"/>
      <c r="S1325" s="18"/>
      <c r="T1325" s="284"/>
      <c r="U1325" s="284"/>
      <c r="V1325" s="284"/>
      <c r="W1325" s="18"/>
      <c r="X1325" s="18"/>
      <c r="Y1325" s="18"/>
      <c r="Z1325" s="18"/>
    </row>
    <row r="1326" spans="1:26" ht="16.5" customHeight="1" x14ac:dyDescent="0.35">
      <c r="A1326" s="230"/>
      <c r="B1326" s="230"/>
      <c r="C1326" s="227" t="s">
        <v>161</v>
      </c>
      <c r="D1326" s="218">
        <v>2</v>
      </c>
      <c r="E1326" s="216">
        <v>2</v>
      </c>
      <c r="F1326" s="218" t="s">
        <v>75</v>
      </c>
      <c r="G1326" s="218" t="s">
        <v>464</v>
      </c>
      <c r="H1326" s="74" t="s">
        <v>439</v>
      </c>
      <c r="I1326" s="74" t="s">
        <v>56</v>
      </c>
      <c r="J1326" s="74" t="s">
        <v>267</v>
      </c>
      <c r="K1326" s="218" t="s">
        <v>38</v>
      </c>
      <c r="L1326" s="66"/>
      <c r="M1326" s="18"/>
      <c r="N1326" s="18"/>
      <c r="O1326" s="18"/>
      <c r="P1326" s="293"/>
      <c r="Q1326" s="295"/>
      <c r="R1326" s="294"/>
      <c r="S1326" s="18"/>
      <c r="T1326" s="293"/>
      <c r="U1326" s="295"/>
      <c r="V1326" s="294"/>
      <c r="W1326" s="18"/>
      <c r="X1326" s="18"/>
      <c r="Y1326" s="18"/>
      <c r="Z1326" s="18"/>
    </row>
    <row r="1327" spans="1:26" ht="16.5" customHeight="1" x14ac:dyDescent="0.35">
      <c r="A1327" s="230"/>
      <c r="B1327" s="230"/>
      <c r="C1327" s="217"/>
      <c r="D1327" s="217"/>
      <c r="E1327" s="217"/>
      <c r="F1327" s="217"/>
      <c r="G1327" s="217"/>
      <c r="H1327" s="74" t="s">
        <v>48</v>
      </c>
      <c r="I1327" s="74" t="s">
        <v>56</v>
      </c>
      <c r="J1327" s="74" t="s">
        <v>267</v>
      </c>
      <c r="K1327" s="217"/>
      <c r="L1327" s="66"/>
      <c r="M1327" s="18"/>
      <c r="N1327" s="18"/>
      <c r="O1327" s="18"/>
      <c r="P1327" s="284"/>
      <c r="Q1327" s="284"/>
      <c r="R1327" s="284"/>
      <c r="S1327" s="18"/>
      <c r="T1327" s="284"/>
      <c r="U1327" s="284"/>
      <c r="V1327" s="284"/>
      <c r="W1327" s="18"/>
      <c r="X1327" s="18"/>
      <c r="Y1327" s="18"/>
      <c r="Z1327" s="18"/>
    </row>
    <row r="1328" spans="1:26" ht="16.5" customHeight="1" x14ac:dyDescent="0.35">
      <c r="A1328" s="230"/>
      <c r="B1328" s="217"/>
      <c r="C1328" s="94" t="s">
        <v>191</v>
      </c>
      <c r="D1328" s="74">
        <v>3</v>
      </c>
      <c r="E1328" s="81">
        <v>3</v>
      </c>
      <c r="F1328" s="74" t="s">
        <v>75</v>
      </c>
      <c r="G1328" s="74" t="s">
        <v>465</v>
      </c>
      <c r="H1328" s="74" t="s">
        <v>119</v>
      </c>
      <c r="I1328" s="74" t="s">
        <v>82</v>
      </c>
      <c r="J1328" s="74" t="s">
        <v>172</v>
      </c>
      <c r="K1328" s="74" t="s">
        <v>93</v>
      </c>
      <c r="L1328" s="66"/>
      <c r="M1328" s="18"/>
      <c r="N1328" s="18"/>
      <c r="O1328" s="18"/>
      <c r="P1328" s="18"/>
      <c r="Q1328" s="18"/>
      <c r="R1328" s="18"/>
      <c r="S1328" s="18"/>
      <c r="T1328" s="293"/>
      <c r="U1328" s="295"/>
      <c r="V1328" s="294"/>
      <c r="W1328" s="18"/>
      <c r="X1328" s="18"/>
      <c r="Y1328" s="18"/>
      <c r="Z1328" s="18"/>
    </row>
    <row r="1329" spans="1:26" ht="16.5" customHeight="1" x14ac:dyDescent="0.35">
      <c r="A1329" s="217"/>
      <c r="B1329" s="228" t="s">
        <v>72</v>
      </c>
      <c r="C1329" s="221"/>
      <c r="D1329" s="222"/>
      <c r="E1329" s="71">
        <f>SUM(E1309:E1328)</f>
        <v>16</v>
      </c>
      <c r="F1329" s="220"/>
      <c r="G1329" s="221"/>
      <c r="H1329" s="221"/>
      <c r="I1329" s="221"/>
      <c r="J1329" s="221"/>
      <c r="K1329" s="222"/>
      <c r="L1329" s="66"/>
      <c r="M1329" s="18"/>
      <c r="N1329" s="18"/>
      <c r="O1329" s="18"/>
      <c r="P1329" s="18"/>
      <c r="Q1329" s="18"/>
      <c r="R1329" s="18"/>
      <c r="S1329" s="18"/>
      <c r="T1329" s="284"/>
      <c r="U1329" s="284"/>
      <c r="V1329" s="284"/>
      <c r="W1329" s="18"/>
      <c r="X1329" s="18"/>
      <c r="Y1329" s="18"/>
      <c r="Z1329" s="18"/>
    </row>
    <row r="1330" spans="1:26" ht="16.5" customHeight="1" x14ac:dyDescent="0.35">
      <c r="A1330" s="229">
        <v>82</v>
      </c>
      <c r="B1330" s="238" t="s">
        <v>466</v>
      </c>
      <c r="C1330" s="227" t="s">
        <v>201</v>
      </c>
      <c r="D1330" s="218">
        <v>3</v>
      </c>
      <c r="E1330" s="216">
        <v>3</v>
      </c>
      <c r="F1330" s="218" t="s">
        <v>33</v>
      </c>
      <c r="G1330" s="218" t="s">
        <v>101</v>
      </c>
      <c r="H1330" s="74" t="s">
        <v>46</v>
      </c>
      <c r="I1330" s="74" t="s">
        <v>91</v>
      </c>
      <c r="J1330" s="74" t="s">
        <v>98</v>
      </c>
      <c r="K1330" s="218" t="s">
        <v>38</v>
      </c>
      <c r="L1330" s="66"/>
      <c r="M1330" s="132"/>
      <c r="N1330" s="132"/>
      <c r="O1330" s="132"/>
      <c r="P1330" s="293"/>
      <c r="Q1330" s="295"/>
      <c r="R1330" s="294"/>
      <c r="S1330" s="18"/>
      <c r="T1330" s="18"/>
      <c r="U1330" s="18"/>
      <c r="V1330" s="18"/>
      <c r="W1330" s="18"/>
      <c r="X1330" s="18"/>
      <c r="Y1330" s="18"/>
      <c r="Z1330" s="18"/>
    </row>
    <row r="1331" spans="1:26" ht="16.5" customHeight="1" x14ac:dyDescent="0.35">
      <c r="A1331" s="230"/>
      <c r="B1331" s="230"/>
      <c r="C1331" s="217"/>
      <c r="D1331" s="217"/>
      <c r="E1331" s="217"/>
      <c r="F1331" s="217"/>
      <c r="G1331" s="217"/>
      <c r="H1331" s="74" t="s">
        <v>48</v>
      </c>
      <c r="I1331" s="74" t="s">
        <v>44</v>
      </c>
      <c r="J1331" s="74" t="s">
        <v>47</v>
      </c>
      <c r="K1331" s="217"/>
      <c r="L1331" s="66"/>
      <c r="M1331" s="18"/>
      <c r="N1331" s="18"/>
      <c r="O1331" s="18"/>
      <c r="P1331" s="284"/>
      <c r="Q1331" s="284"/>
      <c r="R1331" s="284"/>
      <c r="S1331" s="18"/>
      <c r="T1331" s="18"/>
      <c r="U1331" s="18"/>
      <c r="V1331" s="18"/>
      <c r="W1331" s="18"/>
      <c r="X1331" s="18"/>
      <c r="Y1331" s="18"/>
      <c r="Z1331" s="18"/>
    </row>
    <row r="1332" spans="1:26" ht="16.5" customHeight="1" x14ac:dyDescent="0.35">
      <c r="A1332" s="230"/>
      <c r="B1332" s="230"/>
      <c r="C1332" s="227" t="s">
        <v>201</v>
      </c>
      <c r="D1332" s="218">
        <v>2</v>
      </c>
      <c r="E1332" s="216">
        <v>2</v>
      </c>
      <c r="F1332" s="218" t="s">
        <v>106</v>
      </c>
      <c r="G1332" s="218" t="s">
        <v>64</v>
      </c>
      <c r="H1332" s="74" t="s">
        <v>46</v>
      </c>
      <c r="I1332" s="74" t="s">
        <v>61</v>
      </c>
      <c r="J1332" s="74" t="s">
        <v>96</v>
      </c>
      <c r="K1332" s="218" t="s">
        <v>54</v>
      </c>
      <c r="L1332" s="66"/>
      <c r="M1332" s="18"/>
      <c r="N1332" s="18"/>
      <c r="O1332" s="18"/>
      <c r="P1332" s="293"/>
      <c r="Q1332" s="295"/>
      <c r="R1332" s="294"/>
      <c r="S1332" s="18"/>
      <c r="T1332" s="293"/>
      <c r="U1332" s="295"/>
      <c r="V1332" s="294"/>
      <c r="W1332" s="18"/>
      <c r="X1332" s="18"/>
      <c r="Y1332" s="18"/>
      <c r="Z1332" s="18"/>
    </row>
    <row r="1333" spans="1:26" ht="16.5" customHeight="1" x14ac:dyDescent="0.35">
      <c r="A1333" s="230"/>
      <c r="B1333" s="230"/>
      <c r="C1333" s="217"/>
      <c r="D1333" s="217"/>
      <c r="E1333" s="217"/>
      <c r="F1333" s="217"/>
      <c r="G1333" s="217"/>
      <c r="H1333" s="74" t="s">
        <v>48</v>
      </c>
      <c r="I1333" s="74" t="s">
        <v>52</v>
      </c>
      <c r="J1333" s="74" t="s">
        <v>96</v>
      </c>
      <c r="K1333" s="217"/>
      <c r="L1333" s="66"/>
      <c r="M1333" s="18"/>
      <c r="N1333" s="18"/>
      <c r="O1333" s="18"/>
      <c r="P1333" s="284"/>
      <c r="Q1333" s="284"/>
      <c r="R1333" s="284"/>
      <c r="S1333" s="18"/>
      <c r="T1333" s="284"/>
      <c r="U1333" s="284"/>
      <c r="V1333" s="284"/>
      <c r="W1333" s="18"/>
      <c r="X1333" s="18"/>
      <c r="Y1333" s="18"/>
      <c r="Z1333" s="18"/>
    </row>
    <row r="1334" spans="1:26" ht="16.5" customHeight="1" x14ac:dyDescent="0.35">
      <c r="A1334" s="230"/>
      <c r="B1334" s="230"/>
      <c r="C1334" s="227" t="s">
        <v>201</v>
      </c>
      <c r="D1334" s="218">
        <v>2</v>
      </c>
      <c r="E1334" s="216">
        <v>2</v>
      </c>
      <c r="F1334" s="218" t="s">
        <v>106</v>
      </c>
      <c r="G1334" s="218" t="s">
        <v>101</v>
      </c>
      <c r="H1334" s="74" t="s">
        <v>46</v>
      </c>
      <c r="I1334" s="74" t="s">
        <v>61</v>
      </c>
      <c r="J1334" s="74" t="s">
        <v>98</v>
      </c>
      <c r="K1334" s="218" t="s">
        <v>38</v>
      </c>
      <c r="L1334" s="66"/>
      <c r="M1334" s="18"/>
      <c r="N1334" s="18"/>
      <c r="O1334" s="18"/>
      <c r="P1334" s="293"/>
      <c r="Q1334" s="295"/>
      <c r="R1334" s="294"/>
      <c r="S1334" s="18"/>
      <c r="T1334" s="293"/>
      <c r="U1334" s="295"/>
      <c r="V1334" s="294"/>
      <c r="W1334" s="18"/>
      <c r="X1334" s="18"/>
      <c r="Y1334" s="18"/>
      <c r="Z1334" s="18"/>
    </row>
    <row r="1335" spans="1:26" ht="16.5" customHeight="1" x14ac:dyDescent="0.35">
      <c r="A1335" s="230"/>
      <c r="B1335" s="230"/>
      <c r="C1335" s="217"/>
      <c r="D1335" s="217"/>
      <c r="E1335" s="217"/>
      <c r="F1335" s="217"/>
      <c r="G1335" s="217"/>
      <c r="H1335" s="74" t="s">
        <v>48</v>
      </c>
      <c r="I1335" s="74" t="s">
        <v>82</v>
      </c>
      <c r="J1335" s="74" t="s">
        <v>98</v>
      </c>
      <c r="K1335" s="217"/>
      <c r="L1335" s="66"/>
      <c r="M1335" s="18"/>
      <c r="N1335" s="18"/>
      <c r="O1335" s="18"/>
      <c r="P1335" s="284"/>
      <c r="Q1335" s="284"/>
      <c r="R1335" s="284"/>
      <c r="S1335" s="18"/>
      <c r="T1335" s="284"/>
      <c r="U1335" s="284"/>
      <c r="V1335" s="284"/>
      <c r="W1335" s="18"/>
      <c r="X1335" s="18"/>
      <c r="Y1335" s="18"/>
      <c r="Z1335" s="18"/>
    </row>
    <row r="1336" spans="1:26" ht="16.5" customHeight="1" x14ac:dyDescent="0.35">
      <c r="A1336" s="230"/>
      <c r="B1336" s="230"/>
      <c r="C1336" s="227" t="s">
        <v>201</v>
      </c>
      <c r="D1336" s="218">
        <v>3</v>
      </c>
      <c r="E1336" s="216">
        <v>3</v>
      </c>
      <c r="F1336" s="218" t="s">
        <v>51</v>
      </c>
      <c r="G1336" s="218" t="s">
        <v>64</v>
      </c>
      <c r="H1336" s="74" t="s">
        <v>35</v>
      </c>
      <c r="I1336" s="74" t="s">
        <v>91</v>
      </c>
      <c r="J1336" s="74" t="s">
        <v>98</v>
      </c>
      <c r="K1336" s="218" t="s">
        <v>38</v>
      </c>
      <c r="L1336" s="97"/>
      <c r="M1336" s="103"/>
      <c r="N1336" s="103"/>
      <c r="O1336" s="103"/>
      <c r="P1336" s="293"/>
      <c r="Q1336" s="295"/>
      <c r="R1336" s="294"/>
      <c r="S1336" s="18"/>
      <c r="T1336" s="293"/>
      <c r="U1336" s="295"/>
      <c r="V1336" s="294"/>
      <c r="W1336" s="18"/>
      <c r="X1336" s="18"/>
      <c r="Y1336" s="18"/>
      <c r="Z1336" s="18"/>
    </row>
    <row r="1337" spans="1:26" ht="16.5" customHeight="1" x14ac:dyDescent="0.35">
      <c r="A1337" s="230"/>
      <c r="B1337" s="230"/>
      <c r="C1337" s="217"/>
      <c r="D1337" s="217"/>
      <c r="E1337" s="217"/>
      <c r="F1337" s="217"/>
      <c r="G1337" s="217"/>
      <c r="H1337" s="74" t="s">
        <v>39</v>
      </c>
      <c r="I1337" s="74" t="s">
        <v>44</v>
      </c>
      <c r="J1337" s="74" t="s">
        <v>369</v>
      </c>
      <c r="K1337" s="217"/>
      <c r="L1337" s="66"/>
      <c r="M1337" s="18"/>
      <c r="N1337" s="18"/>
      <c r="O1337" s="18"/>
      <c r="P1337" s="284"/>
      <c r="Q1337" s="284"/>
      <c r="R1337" s="284"/>
      <c r="S1337" s="18"/>
      <c r="T1337" s="284"/>
      <c r="U1337" s="284"/>
      <c r="V1337" s="284"/>
      <c r="W1337" s="18"/>
      <c r="X1337" s="18"/>
      <c r="Y1337" s="18"/>
      <c r="Z1337" s="18"/>
    </row>
    <row r="1338" spans="1:26" ht="16.5" customHeight="1" x14ac:dyDescent="0.35">
      <c r="A1338" s="230"/>
      <c r="B1338" s="230"/>
      <c r="C1338" s="227" t="s">
        <v>201</v>
      </c>
      <c r="D1338" s="218">
        <v>3</v>
      </c>
      <c r="E1338" s="216">
        <v>3</v>
      </c>
      <c r="F1338" s="218" t="s">
        <v>51</v>
      </c>
      <c r="G1338" s="218" t="s">
        <v>103</v>
      </c>
      <c r="H1338" s="74" t="s">
        <v>35</v>
      </c>
      <c r="I1338" s="74" t="s">
        <v>66</v>
      </c>
      <c r="J1338" s="74" t="s">
        <v>126</v>
      </c>
      <c r="K1338" s="218" t="s">
        <v>54</v>
      </c>
      <c r="L1338" s="66"/>
      <c r="M1338" s="22"/>
      <c r="N1338" s="22"/>
      <c r="O1338" s="22"/>
      <c r="P1338" s="293"/>
      <c r="Q1338" s="295"/>
      <c r="R1338" s="294"/>
      <c r="S1338" s="18"/>
      <c r="T1338" s="293"/>
      <c r="U1338" s="295"/>
      <c r="V1338" s="294"/>
      <c r="W1338" s="18"/>
      <c r="X1338" s="18"/>
      <c r="Y1338" s="18"/>
      <c r="Z1338" s="18"/>
    </row>
    <row r="1339" spans="1:26" ht="16.5" customHeight="1" x14ac:dyDescent="0.35">
      <c r="A1339" s="230"/>
      <c r="B1339" s="230"/>
      <c r="C1339" s="217"/>
      <c r="D1339" s="217"/>
      <c r="E1339" s="217"/>
      <c r="F1339" s="217"/>
      <c r="G1339" s="217"/>
      <c r="H1339" s="74" t="s">
        <v>48</v>
      </c>
      <c r="I1339" s="74" t="s">
        <v>91</v>
      </c>
      <c r="J1339" s="74" t="s">
        <v>128</v>
      </c>
      <c r="K1339" s="217"/>
      <c r="L1339" s="66"/>
      <c r="M1339" s="22"/>
      <c r="N1339" s="22"/>
      <c r="O1339" s="22"/>
      <c r="P1339" s="284"/>
      <c r="Q1339" s="284"/>
      <c r="R1339" s="284"/>
      <c r="S1339" s="18"/>
      <c r="T1339" s="284"/>
      <c r="U1339" s="284"/>
      <c r="V1339" s="284"/>
      <c r="W1339" s="18"/>
      <c r="X1339" s="18"/>
      <c r="Y1339" s="18"/>
      <c r="Z1339" s="18"/>
    </row>
    <row r="1340" spans="1:26" ht="16.5" customHeight="1" x14ac:dyDescent="0.35">
      <c r="A1340" s="230"/>
      <c r="B1340" s="230"/>
      <c r="C1340" s="227" t="s">
        <v>213</v>
      </c>
      <c r="D1340" s="218">
        <v>3</v>
      </c>
      <c r="E1340" s="216">
        <v>1</v>
      </c>
      <c r="F1340" s="218" t="s">
        <v>63</v>
      </c>
      <c r="G1340" s="218" t="s">
        <v>34</v>
      </c>
      <c r="H1340" s="74" t="s">
        <v>35</v>
      </c>
      <c r="I1340" s="74" t="s">
        <v>108</v>
      </c>
      <c r="J1340" s="74" t="s">
        <v>65</v>
      </c>
      <c r="K1340" s="218" t="s">
        <v>54</v>
      </c>
      <c r="L1340" s="66"/>
      <c r="M1340" s="18"/>
      <c r="N1340" s="18"/>
      <c r="O1340" s="18"/>
      <c r="P1340" s="293"/>
      <c r="Q1340" s="295"/>
      <c r="R1340" s="294"/>
      <c r="S1340" s="18"/>
      <c r="T1340" s="293"/>
      <c r="U1340" s="295"/>
      <c r="V1340" s="294"/>
      <c r="W1340" s="18"/>
      <c r="X1340" s="18"/>
      <c r="Y1340" s="18"/>
      <c r="Z1340" s="18"/>
    </row>
    <row r="1341" spans="1:26" ht="16.5" customHeight="1" x14ac:dyDescent="0.35">
      <c r="A1341" s="230"/>
      <c r="B1341" s="230"/>
      <c r="C1341" s="217"/>
      <c r="D1341" s="217"/>
      <c r="E1341" s="217"/>
      <c r="F1341" s="217"/>
      <c r="G1341" s="217"/>
      <c r="H1341" s="74" t="s">
        <v>46</v>
      </c>
      <c r="I1341" s="74" t="s">
        <v>108</v>
      </c>
      <c r="J1341" s="74" t="s">
        <v>65</v>
      </c>
      <c r="K1341" s="217"/>
      <c r="L1341" s="66"/>
      <c r="M1341" s="18"/>
      <c r="N1341" s="18"/>
      <c r="O1341" s="18"/>
      <c r="P1341" s="284"/>
      <c r="Q1341" s="284"/>
      <c r="R1341" s="284"/>
      <c r="S1341" s="18"/>
      <c r="T1341" s="284"/>
      <c r="U1341" s="284"/>
      <c r="V1341" s="284"/>
      <c r="W1341" s="18"/>
      <c r="X1341" s="18"/>
      <c r="Y1341" s="18"/>
      <c r="Z1341" s="18"/>
    </row>
    <row r="1342" spans="1:26" ht="16.5" customHeight="1" x14ac:dyDescent="0.35">
      <c r="A1342" s="230"/>
      <c r="B1342" s="230"/>
      <c r="C1342" s="227" t="s">
        <v>156</v>
      </c>
      <c r="D1342" s="218">
        <v>3</v>
      </c>
      <c r="E1342" s="216">
        <v>1.5</v>
      </c>
      <c r="F1342" s="218" t="s">
        <v>68</v>
      </c>
      <c r="G1342" s="218" t="s">
        <v>101</v>
      </c>
      <c r="H1342" s="74" t="s">
        <v>46</v>
      </c>
      <c r="I1342" s="76" t="s">
        <v>36</v>
      </c>
      <c r="J1342" s="76" t="s">
        <v>111</v>
      </c>
      <c r="K1342" s="218" t="s">
        <v>38</v>
      </c>
      <c r="L1342" s="66"/>
      <c r="M1342" s="18"/>
      <c r="N1342" s="18"/>
      <c r="O1342" s="18"/>
      <c r="P1342" s="293"/>
      <c r="Q1342" s="295"/>
      <c r="R1342" s="294"/>
      <c r="S1342" s="18"/>
      <c r="T1342" s="293"/>
      <c r="U1342" s="295"/>
      <c r="V1342" s="294"/>
      <c r="W1342" s="18"/>
      <c r="X1342" s="18"/>
      <c r="Y1342" s="18"/>
      <c r="Z1342" s="18"/>
    </row>
    <row r="1343" spans="1:26" ht="16.5" customHeight="1" x14ac:dyDescent="0.35">
      <c r="A1343" s="230"/>
      <c r="B1343" s="217"/>
      <c r="C1343" s="217"/>
      <c r="D1343" s="217"/>
      <c r="E1343" s="217"/>
      <c r="F1343" s="217"/>
      <c r="G1343" s="217"/>
      <c r="H1343" s="74" t="s">
        <v>48</v>
      </c>
      <c r="I1343" s="76" t="s">
        <v>36</v>
      </c>
      <c r="J1343" s="76" t="s">
        <v>111</v>
      </c>
      <c r="K1343" s="217"/>
      <c r="L1343" s="66"/>
      <c r="M1343" s="18"/>
      <c r="N1343" s="18"/>
      <c r="O1343" s="18"/>
      <c r="P1343" s="284"/>
      <c r="Q1343" s="284"/>
      <c r="R1343" s="284"/>
      <c r="S1343" s="18"/>
      <c r="T1343" s="284"/>
      <c r="U1343" s="284"/>
      <c r="V1343" s="284"/>
      <c r="W1343" s="18"/>
      <c r="X1343" s="18"/>
      <c r="Y1343" s="18"/>
      <c r="Z1343" s="18"/>
    </row>
    <row r="1344" spans="1:26" ht="16.5" customHeight="1" x14ac:dyDescent="0.35">
      <c r="A1344" s="217"/>
      <c r="B1344" s="228" t="s">
        <v>72</v>
      </c>
      <c r="C1344" s="221"/>
      <c r="D1344" s="222"/>
      <c r="E1344" s="133">
        <f>SUM(E1330:E1343)</f>
        <v>15.5</v>
      </c>
      <c r="F1344" s="220"/>
      <c r="G1344" s="221"/>
      <c r="H1344" s="221"/>
      <c r="I1344" s="221"/>
      <c r="J1344" s="221"/>
      <c r="K1344" s="222"/>
      <c r="L1344" s="66"/>
      <c r="M1344" s="18"/>
      <c r="N1344" s="18"/>
      <c r="O1344" s="18"/>
      <c r="P1344" s="18"/>
      <c r="Q1344" s="18"/>
      <c r="R1344" s="18"/>
      <c r="S1344" s="18"/>
      <c r="T1344" s="293"/>
      <c r="U1344" s="295"/>
      <c r="V1344" s="294"/>
      <c r="W1344" s="18"/>
      <c r="X1344" s="18"/>
      <c r="Y1344" s="18"/>
      <c r="Z1344" s="18"/>
    </row>
    <row r="1345" spans="1:26" ht="16.5" customHeight="1" x14ac:dyDescent="0.35">
      <c r="A1345" s="229">
        <v>83</v>
      </c>
      <c r="B1345" s="235" t="s">
        <v>467</v>
      </c>
      <c r="C1345" s="276" t="s">
        <v>238</v>
      </c>
      <c r="D1345" s="218">
        <v>3</v>
      </c>
      <c r="E1345" s="216">
        <v>3</v>
      </c>
      <c r="F1345" s="218" t="s">
        <v>106</v>
      </c>
      <c r="G1345" s="218" t="s">
        <v>101</v>
      </c>
      <c r="H1345" s="82" t="s">
        <v>35</v>
      </c>
      <c r="I1345" s="74" t="s">
        <v>66</v>
      </c>
      <c r="J1345" s="74" t="s">
        <v>107</v>
      </c>
      <c r="K1345" s="218" t="s">
        <v>54</v>
      </c>
      <c r="L1345" s="66"/>
      <c r="M1345" s="18"/>
      <c r="N1345" s="18"/>
      <c r="O1345" s="18"/>
      <c r="P1345" s="293"/>
      <c r="Q1345" s="295"/>
      <c r="R1345" s="294"/>
      <c r="S1345" s="18"/>
      <c r="T1345" s="284"/>
      <c r="U1345" s="284"/>
      <c r="V1345" s="284"/>
      <c r="W1345" s="18"/>
      <c r="X1345" s="18"/>
      <c r="Y1345" s="18"/>
      <c r="Z1345" s="18"/>
    </row>
    <row r="1346" spans="1:26" ht="16.5" customHeight="1" x14ac:dyDescent="0.35">
      <c r="A1346" s="230"/>
      <c r="B1346" s="236"/>
      <c r="C1346" s="217"/>
      <c r="D1346" s="217"/>
      <c r="E1346" s="217"/>
      <c r="F1346" s="217"/>
      <c r="G1346" s="217"/>
      <c r="H1346" s="82" t="s">
        <v>48</v>
      </c>
      <c r="I1346" s="74" t="s">
        <v>108</v>
      </c>
      <c r="J1346" s="74" t="s">
        <v>143</v>
      </c>
      <c r="K1346" s="217"/>
      <c r="L1346" s="66"/>
      <c r="M1346" s="18"/>
      <c r="N1346" s="18"/>
      <c r="O1346" s="18"/>
      <c r="P1346" s="284"/>
      <c r="Q1346" s="284"/>
      <c r="R1346" s="284"/>
      <c r="S1346" s="18"/>
      <c r="T1346" s="293"/>
      <c r="U1346" s="295"/>
      <c r="V1346" s="294"/>
      <c r="W1346" s="18"/>
      <c r="X1346" s="18"/>
      <c r="Y1346" s="18"/>
      <c r="Z1346" s="18"/>
    </row>
    <row r="1347" spans="1:26" ht="16.5" customHeight="1" x14ac:dyDescent="0.35">
      <c r="A1347" s="230"/>
      <c r="B1347" s="236"/>
      <c r="C1347" s="276" t="s">
        <v>238</v>
      </c>
      <c r="D1347" s="218">
        <v>3</v>
      </c>
      <c r="E1347" s="216">
        <v>3</v>
      </c>
      <c r="F1347" s="218" t="s">
        <v>106</v>
      </c>
      <c r="G1347" s="218" t="s">
        <v>64</v>
      </c>
      <c r="H1347" s="82" t="s">
        <v>39</v>
      </c>
      <c r="I1347" s="74" t="s">
        <v>44</v>
      </c>
      <c r="J1347" s="74" t="s">
        <v>206</v>
      </c>
      <c r="K1347" s="218" t="s">
        <v>38</v>
      </c>
      <c r="L1347" s="66"/>
      <c r="M1347" s="18"/>
      <c r="N1347" s="18"/>
      <c r="O1347" s="18"/>
      <c r="P1347" s="293"/>
      <c r="Q1347" s="295"/>
      <c r="R1347" s="294"/>
      <c r="S1347" s="18"/>
      <c r="T1347" s="284"/>
      <c r="U1347" s="284"/>
      <c r="V1347" s="284"/>
      <c r="W1347" s="18"/>
      <c r="X1347" s="18"/>
      <c r="Y1347" s="18"/>
      <c r="Z1347" s="18"/>
    </row>
    <row r="1348" spans="1:26" ht="16.5" customHeight="1" x14ac:dyDescent="0.35">
      <c r="A1348" s="230"/>
      <c r="B1348" s="236"/>
      <c r="C1348" s="217"/>
      <c r="D1348" s="217"/>
      <c r="E1348" s="217"/>
      <c r="F1348" s="217"/>
      <c r="G1348" s="217"/>
      <c r="H1348" s="82" t="s">
        <v>55</v>
      </c>
      <c r="I1348" s="74" t="s">
        <v>36</v>
      </c>
      <c r="J1348" s="74" t="s">
        <v>107</v>
      </c>
      <c r="K1348" s="217"/>
      <c r="L1348" s="66"/>
      <c r="M1348" s="18"/>
      <c r="N1348" s="18"/>
      <c r="O1348" s="18"/>
      <c r="P1348" s="284"/>
      <c r="Q1348" s="284"/>
      <c r="R1348" s="284"/>
      <c r="S1348" s="18"/>
      <c r="T1348" s="293"/>
      <c r="U1348" s="295"/>
      <c r="V1348" s="294"/>
      <c r="W1348" s="18"/>
      <c r="X1348" s="18"/>
      <c r="Y1348" s="18"/>
      <c r="Z1348" s="18"/>
    </row>
    <row r="1349" spans="1:26" ht="16.5" customHeight="1" x14ac:dyDescent="0.35">
      <c r="A1349" s="230"/>
      <c r="B1349" s="236"/>
      <c r="C1349" s="227" t="s">
        <v>384</v>
      </c>
      <c r="D1349" s="218">
        <v>2</v>
      </c>
      <c r="E1349" s="216">
        <v>2</v>
      </c>
      <c r="F1349" s="218" t="s">
        <v>75</v>
      </c>
      <c r="G1349" s="218" t="s">
        <v>79</v>
      </c>
      <c r="H1349" s="82" t="s">
        <v>46</v>
      </c>
      <c r="I1349" s="74" t="s">
        <v>52</v>
      </c>
      <c r="J1349" s="74" t="s">
        <v>149</v>
      </c>
      <c r="K1349" s="218" t="s">
        <v>54</v>
      </c>
      <c r="L1349" s="66"/>
      <c r="M1349" s="18"/>
      <c r="N1349" s="18"/>
      <c r="O1349" s="18"/>
      <c r="P1349" s="293"/>
      <c r="Q1349" s="295"/>
      <c r="R1349" s="294"/>
      <c r="S1349" s="18"/>
      <c r="T1349" s="284"/>
      <c r="U1349" s="284"/>
      <c r="V1349" s="284"/>
      <c r="W1349" s="18"/>
      <c r="X1349" s="18"/>
      <c r="Y1349" s="18"/>
      <c r="Z1349" s="18"/>
    </row>
    <row r="1350" spans="1:26" ht="16.5" customHeight="1" x14ac:dyDescent="0.35">
      <c r="A1350" s="230"/>
      <c r="B1350" s="236"/>
      <c r="C1350" s="217"/>
      <c r="D1350" s="217"/>
      <c r="E1350" s="217"/>
      <c r="F1350" s="217"/>
      <c r="G1350" s="217"/>
      <c r="H1350" s="82" t="s">
        <v>55</v>
      </c>
      <c r="I1350" s="74" t="s">
        <v>52</v>
      </c>
      <c r="J1350" s="74" t="s">
        <v>160</v>
      </c>
      <c r="K1350" s="219"/>
      <c r="L1350" s="66"/>
      <c r="M1350" s="18"/>
      <c r="N1350" s="18"/>
      <c r="O1350" s="18"/>
      <c r="P1350" s="284"/>
      <c r="Q1350" s="284"/>
      <c r="R1350" s="284"/>
      <c r="S1350" s="18"/>
      <c r="T1350" s="18"/>
      <c r="U1350" s="18"/>
      <c r="V1350" s="18"/>
      <c r="W1350" s="18"/>
      <c r="X1350" s="18"/>
      <c r="Y1350" s="18"/>
      <c r="Z1350" s="18"/>
    </row>
    <row r="1351" spans="1:26" ht="16.5" customHeight="1" x14ac:dyDescent="0.35">
      <c r="A1351" s="230"/>
      <c r="B1351" s="236"/>
      <c r="C1351" s="227" t="s">
        <v>248</v>
      </c>
      <c r="D1351" s="218">
        <v>2</v>
      </c>
      <c r="E1351" s="216">
        <v>2</v>
      </c>
      <c r="F1351" s="218" t="s">
        <v>75</v>
      </c>
      <c r="G1351" s="218" t="s">
        <v>178</v>
      </c>
      <c r="H1351" s="82" t="s">
        <v>35</v>
      </c>
      <c r="I1351" s="74" t="s">
        <v>56</v>
      </c>
      <c r="J1351" s="83" t="s">
        <v>111</v>
      </c>
      <c r="K1351" s="218" t="s">
        <v>54</v>
      </c>
      <c r="L1351" s="66"/>
      <c r="M1351" s="17"/>
      <c r="N1351" s="17"/>
      <c r="O1351" s="17"/>
      <c r="P1351" s="293"/>
      <c r="Q1351" s="295"/>
      <c r="R1351" s="294"/>
      <c r="S1351" s="17"/>
      <c r="T1351" s="18"/>
      <c r="U1351" s="18"/>
      <c r="V1351" s="18"/>
      <c r="W1351" s="18"/>
      <c r="X1351" s="18"/>
      <c r="Y1351" s="18"/>
      <c r="Z1351" s="18"/>
    </row>
    <row r="1352" spans="1:26" ht="16.5" customHeight="1" x14ac:dyDescent="0.35">
      <c r="A1352" s="230"/>
      <c r="B1352" s="236"/>
      <c r="C1352" s="217"/>
      <c r="D1352" s="217"/>
      <c r="E1352" s="217"/>
      <c r="F1352" s="217"/>
      <c r="G1352" s="217"/>
      <c r="H1352" s="82" t="s">
        <v>55</v>
      </c>
      <c r="I1352" s="74" t="s">
        <v>56</v>
      </c>
      <c r="J1352" s="74" t="s">
        <v>110</v>
      </c>
      <c r="K1352" s="217"/>
      <c r="L1352" s="66"/>
      <c r="M1352" s="17"/>
      <c r="N1352" s="17"/>
      <c r="O1352" s="17"/>
      <c r="P1352" s="284"/>
      <c r="Q1352" s="284"/>
      <c r="R1352" s="284"/>
      <c r="S1352" s="17"/>
      <c r="T1352" s="293"/>
      <c r="U1352" s="295"/>
      <c r="V1352" s="294"/>
      <c r="W1352" s="18"/>
      <c r="X1352" s="18"/>
      <c r="Y1352" s="18"/>
      <c r="Z1352" s="18"/>
    </row>
    <row r="1353" spans="1:26" ht="16.5" customHeight="1" x14ac:dyDescent="0.35">
      <c r="A1353" s="230"/>
      <c r="B1353" s="236"/>
      <c r="C1353" s="231" t="s">
        <v>144</v>
      </c>
      <c r="D1353" s="218">
        <v>3</v>
      </c>
      <c r="E1353" s="216">
        <v>1</v>
      </c>
      <c r="F1353" s="218" t="s">
        <v>63</v>
      </c>
      <c r="G1353" s="218" t="s">
        <v>34</v>
      </c>
      <c r="H1353" s="82" t="s">
        <v>35</v>
      </c>
      <c r="I1353" s="74" t="s">
        <v>36</v>
      </c>
      <c r="J1353" s="67" t="s">
        <v>65</v>
      </c>
      <c r="K1353" s="218" t="s">
        <v>38</v>
      </c>
      <c r="L1353" s="66"/>
      <c r="M1353" s="18"/>
      <c r="N1353" s="18"/>
      <c r="O1353" s="18"/>
      <c r="P1353" s="293"/>
      <c r="Q1353" s="295"/>
      <c r="R1353" s="294"/>
      <c r="S1353" s="18"/>
      <c r="T1353" s="284"/>
      <c r="U1353" s="284"/>
      <c r="V1353" s="284"/>
      <c r="W1353" s="18"/>
      <c r="X1353" s="18"/>
      <c r="Y1353" s="18"/>
      <c r="Z1353" s="18"/>
    </row>
    <row r="1354" spans="1:26" ht="16.5" customHeight="1" x14ac:dyDescent="0.35">
      <c r="A1354" s="230"/>
      <c r="B1354" s="236"/>
      <c r="C1354" s="217"/>
      <c r="D1354" s="217"/>
      <c r="E1354" s="217"/>
      <c r="F1354" s="217"/>
      <c r="G1354" s="217"/>
      <c r="H1354" s="82" t="s">
        <v>46</v>
      </c>
      <c r="I1354" s="74" t="s">
        <v>36</v>
      </c>
      <c r="J1354" s="76" t="s">
        <v>65</v>
      </c>
      <c r="K1354" s="217"/>
      <c r="L1354" s="66"/>
      <c r="M1354" s="18"/>
      <c r="N1354" s="18"/>
      <c r="O1354" s="18"/>
      <c r="P1354" s="284"/>
      <c r="Q1354" s="284"/>
      <c r="R1354" s="284"/>
      <c r="S1354" s="18"/>
      <c r="T1354" s="293"/>
      <c r="U1354" s="295"/>
      <c r="V1354" s="294"/>
      <c r="W1354" s="18"/>
      <c r="X1354" s="18"/>
      <c r="Y1354" s="18"/>
      <c r="Z1354" s="18"/>
    </row>
    <row r="1355" spans="1:26" ht="16.5" customHeight="1" x14ac:dyDescent="0.35">
      <c r="A1355" s="230"/>
      <c r="B1355" s="236"/>
      <c r="C1355" s="231" t="s">
        <v>145</v>
      </c>
      <c r="D1355" s="218">
        <v>3</v>
      </c>
      <c r="E1355" s="216">
        <v>1.5</v>
      </c>
      <c r="F1355" s="218" t="s">
        <v>68</v>
      </c>
      <c r="G1355" s="218" t="s">
        <v>101</v>
      </c>
      <c r="H1355" s="82" t="s">
        <v>35</v>
      </c>
      <c r="I1355" s="76" t="s">
        <v>146</v>
      </c>
      <c r="J1355" s="76" t="s">
        <v>111</v>
      </c>
      <c r="K1355" s="218" t="s">
        <v>54</v>
      </c>
      <c r="L1355" s="66"/>
      <c r="M1355" s="18"/>
      <c r="N1355" s="18"/>
      <c r="O1355" s="18"/>
      <c r="P1355" s="293"/>
      <c r="Q1355" s="295"/>
      <c r="R1355" s="294"/>
      <c r="S1355" s="18"/>
      <c r="T1355" s="284"/>
      <c r="U1355" s="284"/>
      <c r="V1355" s="284"/>
      <c r="W1355" s="18"/>
      <c r="X1355" s="18"/>
      <c r="Y1355" s="18"/>
      <c r="Z1355" s="18"/>
    </row>
    <row r="1356" spans="1:26" ht="16.5" customHeight="1" x14ac:dyDescent="0.35">
      <c r="A1356" s="230"/>
      <c r="B1356" s="236"/>
      <c r="C1356" s="217"/>
      <c r="D1356" s="217"/>
      <c r="E1356" s="217"/>
      <c r="F1356" s="217"/>
      <c r="G1356" s="217"/>
      <c r="H1356" s="82" t="s">
        <v>48</v>
      </c>
      <c r="I1356" s="76" t="s">
        <v>146</v>
      </c>
      <c r="J1356" s="76" t="s">
        <v>111</v>
      </c>
      <c r="K1356" s="217"/>
      <c r="L1356" s="66"/>
      <c r="M1356" s="18"/>
      <c r="N1356" s="18"/>
      <c r="O1356" s="18"/>
      <c r="P1356" s="284"/>
      <c r="Q1356" s="284"/>
      <c r="R1356" s="284"/>
      <c r="S1356" s="18"/>
      <c r="T1356" s="293"/>
      <c r="U1356" s="295"/>
      <c r="V1356" s="294"/>
      <c r="W1356" s="18"/>
      <c r="X1356" s="18"/>
      <c r="Y1356" s="18"/>
      <c r="Z1356" s="18"/>
    </row>
    <row r="1357" spans="1:26" ht="16.5" customHeight="1" x14ac:dyDescent="0.35">
      <c r="A1357" s="230"/>
      <c r="B1357" s="236"/>
      <c r="C1357" s="231" t="s">
        <v>145</v>
      </c>
      <c r="D1357" s="218">
        <v>3</v>
      </c>
      <c r="E1357" s="216">
        <v>1.5</v>
      </c>
      <c r="F1357" s="218" t="s">
        <v>68</v>
      </c>
      <c r="G1357" s="218" t="s">
        <v>69</v>
      </c>
      <c r="H1357" s="82" t="s">
        <v>35</v>
      </c>
      <c r="I1357" s="76" t="s">
        <v>232</v>
      </c>
      <c r="J1357" s="76" t="s">
        <v>71</v>
      </c>
      <c r="K1357" s="218" t="s">
        <v>54</v>
      </c>
      <c r="L1357" s="66" t="s">
        <v>102</v>
      </c>
      <c r="M1357" s="18"/>
      <c r="N1357" s="18"/>
      <c r="O1357" s="18"/>
      <c r="P1357" s="293"/>
      <c r="Q1357" s="295"/>
      <c r="R1357" s="294"/>
      <c r="S1357" s="18"/>
      <c r="T1357" s="284"/>
      <c r="U1357" s="284"/>
      <c r="V1357" s="284"/>
      <c r="W1357" s="18"/>
      <c r="X1357" s="18"/>
      <c r="Y1357" s="18"/>
      <c r="Z1357" s="18"/>
    </row>
    <row r="1358" spans="1:26" ht="16.5" customHeight="1" x14ac:dyDescent="0.35">
      <c r="A1358" s="230"/>
      <c r="B1358" s="237"/>
      <c r="C1358" s="217"/>
      <c r="D1358" s="217"/>
      <c r="E1358" s="217"/>
      <c r="F1358" s="217"/>
      <c r="G1358" s="217"/>
      <c r="H1358" s="82" t="s">
        <v>48</v>
      </c>
      <c r="I1358" s="76" t="s">
        <v>232</v>
      </c>
      <c r="J1358" s="76" t="s">
        <v>71</v>
      </c>
      <c r="K1358" s="217"/>
      <c r="L1358" s="66"/>
      <c r="M1358" s="18"/>
      <c r="N1358" s="18"/>
      <c r="O1358" s="18"/>
      <c r="P1358" s="284"/>
      <c r="Q1358" s="284"/>
      <c r="R1358" s="284"/>
      <c r="S1358" s="18"/>
      <c r="T1358" s="293"/>
      <c r="U1358" s="295"/>
      <c r="V1358" s="294"/>
      <c r="W1358" s="18"/>
      <c r="X1358" s="18"/>
      <c r="Y1358" s="18"/>
      <c r="Z1358" s="18"/>
    </row>
    <row r="1359" spans="1:26" ht="16.5" customHeight="1" x14ac:dyDescent="0.35">
      <c r="A1359" s="217"/>
      <c r="B1359" s="228" t="s">
        <v>72</v>
      </c>
      <c r="C1359" s="221"/>
      <c r="D1359" s="222"/>
      <c r="E1359" s="100">
        <f>SUM(E1345:E1358)</f>
        <v>14</v>
      </c>
      <c r="F1359" s="303"/>
      <c r="G1359" s="304"/>
      <c r="H1359" s="304"/>
      <c r="I1359" s="304"/>
      <c r="J1359" s="304"/>
      <c r="K1359" s="305"/>
      <c r="L1359" s="66"/>
      <c r="M1359" s="18"/>
      <c r="N1359" s="18"/>
      <c r="O1359" s="18"/>
      <c r="P1359" s="18"/>
      <c r="Q1359" s="18"/>
      <c r="R1359" s="18"/>
      <c r="S1359" s="18"/>
      <c r="T1359" s="284"/>
      <c r="U1359" s="284"/>
      <c r="V1359" s="284"/>
      <c r="W1359" s="18"/>
      <c r="X1359" s="18"/>
      <c r="Y1359" s="18"/>
      <c r="Z1359" s="18"/>
    </row>
    <row r="1360" spans="1:26" ht="16.5" customHeight="1" x14ac:dyDescent="0.35">
      <c r="A1360" s="229">
        <v>84</v>
      </c>
      <c r="B1360" s="238" t="s">
        <v>468</v>
      </c>
      <c r="C1360" s="227" t="s">
        <v>469</v>
      </c>
      <c r="D1360" s="218">
        <v>3</v>
      </c>
      <c r="E1360" s="216">
        <v>3</v>
      </c>
      <c r="F1360" s="218" t="s">
        <v>33</v>
      </c>
      <c r="G1360" s="218" t="s">
        <v>101</v>
      </c>
      <c r="H1360" s="74" t="s">
        <v>35</v>
      </c>
      <c r="I1360" s="74" t="s">
        <v>108</v>
      </c>
      <c r="J1360" s="74" t="s">
        <v>128</v>
      </c>
      <c r="K1360" s="218" t="s">
        <v>54</v>
      </c>
      <c r="L1360" s="66"/>
      <c r="M1360" s="18"/>
      <c r="N1360" s="18"/>
      <c r="O1360" s="18"/>
      <c r="P1360" s="293"/>
      <c r="Q1360" s="295"/>
      <c r="R1360" s="294"/>
      <c r="S1360" s="18"/>
      <c r="T1360" s="293"/>
      <c r="U1360" s="295"/>
      <c r="V1360" s="294"/>
      <c r="W1360" s="18"/>
      <c r="X1360" s="18"/>
      <c r="Y1360" s="18"/>
      <c r="Z1360" s="18"/>
    </row>
    <row r="1361" spans="1:26" ht="16.5" customHeight="1" x14ac:dyDescent="0.35">
      <c r="A1361" s="230"/>
      <c r="B1361" s="230"/>
      <c r="C1361" s="219"/>
      <c r="D1361" s="217"/>
      <c r="E1361" s="217"/>
      <c r="F1361" s="217"/>
      <c r="G1361" s="217"/>
      <c r="H1361" s="74" t="s">
        <v>48</v>
      </c>
      <c r="I1361" s="74" t="s">
        <v>40</v>
      </c>
      <c r="J1361" s="74" t="s">
        <v>128</v>
      </c>
      <c r="K1361" s="217"/>
      <c r="L1361" s="66" t="s">
        <v>102</v>
      </c>
      <c r="M1361" s="18"/>
      <c r="N1361" s="18"/>
      <c r="O1361" s="18"/>
      <c r="P1361" s="284"/>
      <c r="Q1361" s="284"/>
      <c r="R1361" s="284"/>
      <c r="S1361" s="18"/>
      <c r="T1361" s="284"/>
      <c r="U1361" s="284"/>
      <c r="V1361" s="284"/>
      <c r="W1361" s="18"/>
      <c r="X1361" s="18"/>
      <c r="Y1361" s="18"/>
      <c r="Z1361" s="18"/>
    </row>
    <row r="1362" spans="1:26" ht="16.5" customHeight="1" x14ac:dyDescent="0.35">
      <c r="A1362" s="230"/>
      <c r="B1362" s="230"/>
      <c r="C1362" s="227" t="s">
        <v>469</v>
      </c>
      <c r="D1362" s="218">
        <v>3</v>
      </c>
      <c r="E1362" s="216">
        <v>3</v>
      </c>
      <c r="F1362" s="218" t="s">
        <v>33</v>
      </c>
      <c r="G1362" s="218" t="s">
        <v>64</v>
      </c>
      <c r="H1362" s="74" t="s">
        <v>46</v>
      </c>
      <c r="I1362" s="74" t="s">
        <v>40</v>
      </c>
      <c r="J1362" s="74" t="s">
        <v>128</v>
      </c>
      <c r="K1362" s="218" t="s">
        <v>54</v>
      </c>
      <c r="L1362" s="66"/>
      <c r="M1362" s="18"/>
      <c r="N1362" s="18"/>
      <c r="O1362" s="18"/>
      <c r="P1362" s="293"/>
      <c r="Q1362" s="295"/>
      <c r="R1362" s="294"/>
      <c r="S1362" s="18"/>
      <c r="T1362" s="293"/>
      <c r="U1362" s="295"/>
      <c r="V1362" s="294"/>
      <c r="W1362" s="18"/>
      <c r="X1362" s="18"/>
      <c r="Y1362" s="18"/>
      <c r="Z1362" s="18"/>
    </row>
    <row r="1363" spans="1:26" ht="16.5" customHeight="1" x14ac:dyDescent="0.35">
      <c r="A1363" s="230"/>
      <c r="B1363" s="230"/>
      <c r="C1363" s="219"/>
      <c r="D1363" s="217"/>
      <c r="E1363" s="217"/>
      <c r="F1363" s="217"/>
      <c r="G1363" s="217"/>
      <c r="H1363" s="74" t="s">
        <v>55</v>
      </c>
      <c r="I1363" s="74" t="s">
        <v>36</v>
      </c>
      <c r="J1363" s="74" t="s">
        <v>128</v>
      </c>
      <c r="K1363" s="217"/>
      <c r="L1363" s="66"/>
      <c r="M1363" s="18"/>
      <c r="N1363" s="18"/>
      <c r="O1363" s="18"/>
      <c r="P1363" s="284"/>
      <c r="Q1363" s="284"/>
      <c r="R1363" s="284"/>
      <c r="S1363" s="18"/>
      <c r="T1363" s="284"/>
      <c r="U1363" s="284"/>
      <c r="V1363" s="284"/>
      <c r="W1363" s="18"/>
      <c r="X1363" s="18"/>
      <c r="Y1363" s="18"/>
      <c r="Z1363" s="18"/>
    </row>
    <row r="1364" spans="1:26" ht="16.5" customHeight="1" x14ac:dyDescent="0.35">
      <c r="A1364" s="230"/>
      <c r="B1364" s="230"/>
      <c r="C1364" s="227" t="s">
        <v>469</v>
      </c>
      <c r="D1364" s="218">
        <v>3</v>
      </c>
      <c r="E1364" s="216">
        <v>3</v>
      </c>
      <c r="F1364" s="218" t="s">
        <v>33</v>
      </c>
      <c r="G1364" s="218" t="s">
        <v>103</v>
      </c>
      <c r="H1364" s="74" t="s">
        <v>46</v>
      </c>
      <c r="I1364" s="74" t="s">
        <v>36</v>
      </c>
      <c r="J1364" s="74" t="s">
        <v>96</v>
      </c>
      <c r="K1364" s="218" t="s">
        <v>54</v>
      </c>
      <c r="L1364" s="66"/>
      <c r="M1364" s="18"/>
      <c r="N1364" s="18"/>
      <c r="O1364" s="18"/>
      <c r="P1364" s="293"/>
      <c r="Q1364" s="295"/>
      <c r="R1364" s="294"/>
      <c r="S1364" s="18"/>
      <c r="T1364" s="293"/>
      <c r="U1364" s="295"/>
      <c r="V1364" s="294"/>
      <c r="W1364" s="18"/>
      <c r="X1364" s="18"/>
      <c r="Y1364" s="18"/>
      <c r="Z1364" s="18"/>
    </row>
    <row r="1365" spans="1:26" ht="16.5" customHeight="1" x14ac:dyDescent="0.35">
      <c r="A1365" s="230"/>
      <c r="B1365" s="230"/>
      <c r="C1365" s="219"/>
      <c r="D1365" s="217"/>
      <c r="E1365" s="217"/>
      <c r="F1365" s="217"/>
      <c r="G1365" s="217"/>
      <c r="H1365" s="74" t="s">
        <v>48</v>
      </c>
      <c r="I1365" s="74" t="s">
        <v>108</v>
      </c>
      <c r="J1365" s="74" t="s">
        <v>96</v>
      </c>
      <c r="K1365" s="217"/>
      <c r="L1365" s="66"/>
      <c r="M1365" s="18"/>
      <c r="N1365" s="18"/>
      <c r="O1365" s="18"/>
      <c r="P1365" s="284"/>
      <c r="Q1365" s="284"/>
      <c r="R1365" s="284"/>
      <c r="S1365" s="18"/>
      <c r="T1365" s="284"/>
      <c r="U1365" s="284"/>
      <c r="V1365" s="284"/>
      <c r="W1365" s="18"/>
      <c r="X1365" s="18"/>
      <c r="Y1365" s="18"/>
      <c r="Z1365" s="18"/>
    </row>
    <row r="1366" spans="1:26" ht="16.5" customHeight="1" x14ac:dyDescent="0.35">
      <c r="A1366" s="230"/>
      <c r="B1366" s="230"/>
      <c r="C1366" s="227" t="s">
        <v>469</v>
      </c>
      <c r="D1366" s="218">
        <v>3</v>
      </c>
      <c r="E1366" s="216">
        <v>3</v>
      </c>
      <c r="F1366" s="218" t="s">
        <v>33</v>
      </c>
      <c r="G1366" s="218" t="s">
        <v>104</v>
      </c>
      <c r="H1366" s="74" t="s">
        <v>39</v>
      </c>
      <c r="I1366" s="74" t="s">
        <v>91</v>
      </c>
      <c r="J1366" s="74" t="s">
        <v>128</v>
      </c>
      <c r="K1366" s="218" t="s">
        <v>54</v>
      </c>
      <c r="L1366" s="66"/>
      <c r="M1366" s="18"/>
      <c r="N1366" s="18"/>
      <c r="O1366" s="18"/>
      <c r="P1366" s="293"/>
      <c r="Q1366" s="295"/>
      <c r="R1366" s="294"/>
      <c r="S1366" s="18"/>
      <c r="T1366" s="18"/>
      <c r="U1366" s="18"/>
      <c r="V1366" s="18"/>
      <c r="W1366" s="18"/>
      <c r="X1366" s="18"/>
      <c r="Y1366" s="18"/>
      <c r="Z1366" s="18"/>
    </row>
    <row r="1367" spans="1:26" ht="16.5" customHeight="1" x14ac:dyDescent="0.35">
      <c r="A1367" s="230"/>
      <c r="B1367" s="230"/>
      <c r="C1367" s="219"/>
      <c r="D1367" s="217"/>
      <c r="E1367" s="217"/>
      <c r="F1367" s="217"/>
      <c r="G1367" s="217"/>
      <c r="H1367" s="67" t="s">
        <v>55</v>
      </c>
      <c r="I1367" s="74" t="s">
        <v>44</v>
      </c>
      <c r="J1367" s="74" t="s">
        <v>128</v>
      </c>
      <c r="K1367" s="217"/>
      <c r="L1367" s="66"/>
      <c r="M1367" s="18"/>
      <c r="N1367" s="18"/>
      <c r="O1367" s="18"/>
      <c r="P1367" s="284"/>
      <c r="Q1367" s="284"/>
      <c r="R1367" s="284"/>
      <c r="S1367" s="18"/>
      <c r="T1367" s="293"/>
      <c r="U1367" s="295"/>
      <c r="V1367" s="294"/>
      <c r="W1367" s="18"/>
      <c r="X1367" s="18"/>
      <c r="Y1367" s="18"/>
      <c r="Z1367" s="18"/>
    </row>
    <row r="1368" spans="1:26" ht="16.5" customHeight="1" x14ac:dyDescent="0.35">
      <c r="A1368" s="230"/>
      <c r="B1368" s="230"/>
      <c r="C1368" s="227" t="s">
        <v>318</v>
      </c>
      <c r="D1368" s="218">
        <v>3</v>
      </c>
      <c r="E1368" s="216">
        <v>3</v>
      </c>
      <c r="F1368" s="218" t="s">
        <v>33</v>
      </c>
      <c r="G1368" s="218" t="s">
        <v>97</v>
      </c>
      <c r="H1368" s="74" t="s">
        <v>35</v>
      </c>
      <c r="I1368" s="74" t="s">
        <v>36</v>
      </c>
      <c r="J1368" s="74" t="s">
        <v>77</v>
      </c>
      <c r="K1368" s="218" t="s">
        <v>54</v>
      </c>
      <c r="L1368" s="66"/>
      <c r="M1368" s="18"/>
      <c r="N1368" s="18"/>
      <c r="O1368" s="18"/>
      <c r="P1368" s="293"/>
      <c r="Q1368" s="295"/>
      <c r="R1368" s="294"/>
      <c r="S1368" s="18"/>
      <c r="T1368" s="284"/>
      <c r="U1368" s="284"/>
      <c r="V1368" s="284"/>
      <c r="W1368" s="18"/>
      <c r="X1368" s="18"/>
      <c r="Y1368" s="18"/>
      <c r="Z1368" s="18"/>
    </row>
    <row r="1369" spans="1:26" ht="16.5" customHeight="1" x14ac:dyDescent="0.35">
      <c r="A1369" s="230"/>
      <c r="B1369" s="230"/>
      <c r="C1369" s="217"/>
      <c r="D1369" s="217"/>
      <c r="E1369" s="217"/>
      <c r="F1369" s="217"/>
      <c r="G1369" s="217"/>
      <c r="H1369" s="74" t="s">
        <v>48</v>
      </c>
      <c r="I1369" s="74" t="s">
        <v>36</v>
      </c>
      <c r="J1369" s="74" t="s">
        <v>77</v>
      </c>
      <c r="K1369" s="217"/>
      <c r="L1369" s="66"/>
      <c r="M1369" s="18"/>
      <c r="N1369" s="18"/>
      <c r="O1369" s="18"/>
      <c r="P1369" s="284"/>
      <c r="Q1369" s="284"/>
      <c r="R1369" s="284"/>
      <c r="S1369" s="18"/>
      <c r="T1369" s="293"/>
      <c r="U1369" s="295"/>
      <c r="V1369" s="294"/>
      <c r="W1369" s="18"/>
      <c r="X1369" s="18"/>
      <c r="Y1369" s="18"/>
      <c r="Z1369" s="18"/>
    </row>
    <row r="1370" spans="1:26" ht="16.5" customHeight="1" x14ac:dyDescent="0.35">
      <c r="A1370" s="230"/>
      <c r="B1370" s="217"/>
      <c r="C1370" s="94" t="s">
        <v>89</v>
      </c>
      <c r="D1370" s="74">
        <v>3</v>
      </c>
      <c r="E1370" s="81">
        <v>3</v>
      </c>
      <c r="F1370" s="85" t="s">
        <v>33</v>
      </c>
      <c r="G1370" s="85" t="s">
        <v>177</v>
      </c>
      <c r="H1370" s="74" t="s">
        <v>46</v>
      </c>
      <c r="I1370" s="74" t="s">
        <v>91</v>
      </c>
      <c r="J1370" s="74" t="s">
        <v>92</v>
      </c>
      <c r="K1370" s="85" t="s">
        <v>93</v>
      </c>
      <c r="L1370" s="66"/>
      <c r="M1370" s="18"/>
      <c r="N1370" s="18"/>
      <c r="O1370" s="18"/>
      <c r="P1370" s="18"/>
      <c r="Q1370" s="18"/>
      <c r="R1370" s="18"/>
      <c r="S1370" s="18"/>
      <c r="T1370" s="284"/>
      <c r="U1370" s="284"/>
      <c r="V1370" s="284"/>
      <c r="W1370" s="18"/>
      <c r="X1370" s="18"/>
      <c r="Y1370" s="18"/>
      <c r="Z1370" s="18"/>
    </row>
    <row r="1371" spans="1:26" ht="16.5" customHeight="1" x14ac:dyDescent="0.35">
      <c r="A1371" s="217"/>
      <c r="B1371" s="228" t="s">
        <v>72</v>
      </c>
      <c r="C1371" s="221"/>
      <c r="D1371" s="222"/>
      <c r="E1371" s="71">
        <f>SUM(E1360:E1370)</f>
        <v>18</v>
      </c>
      <c r="F1371" s="220"/>
      <c r="G1371" s="221"/>
      <c r="H1371" s="221"/>
      <c r="I1371" s="221"/>
      <c r="J1371" s="221"/>
      <c r="K1371" s="222"/>
      <c r="L1371" s="66"/>
      <c r="M1371" s="18"/>
      <c r="N1371" s="18"/>
      <c r="O1371" s="18"/>
      <c r="P1371" s="18"/>
      <c r="Q1371" s="18"/>
      <c r="R1371" s="18"/>
      <c r="S1371" s="18"/>
      <c r="T1371" s="293"/>
      <c r="U1371" s="295"/>
      <c r="V1371" s="294"/>
      <c r="W1371" s="18"/>
      <c r="X1371" s="18"/>
      <c r="Y1371" s="18"/>
      <c r="Z1371" s="18"/>
    </row>
    <row r="1372" spans="1:26" ht="16.5" customHeight="1" x14ac:dyDescent="0.35">
      <c r="A1372" s="134"/>
      <c r="B1372" s="135"/>
      <c r="C1372" s="136"/>
      <c r="D1372" s="26"/>
      <c r="E1372" s="137"/>
      <c r="F1372" s="26"/>
      <c r="G1372" s="26"/>
      <c r="H1372" s="26"/>
      <c r="I1372" s="26"/>
      <c r="J1372" s="26"/>
      <c r="K1372" s="26"/>
      <c r="L1372" s="18"/>
      <c r="M1372" s="18"/>
      <c r="N1372" s="18"/>
      <c r="O1372" s="18"/>
      <c r="P1372" s="18"/>
      <c r="Q1372" s="18"/>
      <c r="R1372" s="18"/>
      <c r="S1372" s="18"/>
      <c r="T1372" s="284"/>
      <c r="U1372" s="284"/>
      <c r="V1372" s="284"/>
      <c r="W1372" s="18"/>
      <c r="X1372" s="18"/>
      <c r="Y1372" s="18"/>
      <c r="Z1372" s="18"/>
    </row>
    <row r="1373" spans="1:26" ht="16.5" customHeight="1" x14ac:dyDescent="0.35">
      <c r="A1373" s="134"/>
      <c r="B1373" s="135"/>
      <c r="C1373" s="136"/>
      <c r="D1373" s="26"/>
      <c r="E1373" s="137"/>
      <c r="F1373" s="26"/>
      <c r="G1373" s="138" t="s">
        <v>470</v>
      </c>
      <c r="H1373" s="26"/>
      <c r="I1373" s="26"/>
      <c r="J1373" s="26"/>
      <c r="K1373" s="26"/>
      <c r="L1373" s="18"/>
      <c r="M1373" s="18"/>
      <c r="N1373" s="18"/>
      <c r="O1373" s="18"/>
      <c r="P1373" s="18"/>
      <c r="Q1373" s="18"/>
      <c r="R1373" s="18"/>
      <c r="S1373" s="18"/>
      <c r="T1373" s="293"/>
      <c r="U1373" s="295"/>
      <c r="V1373" s="294"/>
      <c r="W1373" s="18"/>
      <c r="X1373" s="18"/>
      <c r="Y1373" s="18"/>
      <c r="Z1373" s="18"/>
    </row>
    <row r="1374" spans="1:26" ht="16.5" customHeight="1" x14ac:dyDescent="0.35">
      <c r="A1374" s="134"/>
      <c r="B1374" s="135"/>
      <c r="C1374" s="136"/>
      <c r="D1374" s="26"/>
      <c r="E1374" s="137"/>
      <c r="F1374" s="26"/>
      <c r="G1374" s="138" t="s">
        <v>471</v>
      </c>
      <c r="H1374" s="26"/>
      <c r="I1374" s="26"/>
      <c r="J1374" s="26"/>
      <c r="K1374" s="26"/>
      <c r="L1374" s="18"/>
      <c r="M1374" s="18"/>
      <c r="N1374" s="18"/>
      <c r="O1374" s="18"/>
      <c r="P1374" s="18"/>
      <c r="Q1374" s="18"/>
      <c r="R1374" s="18"/>
      <c r="S1374" s="18"/>
      <c r="T1374" s="284"/>
      <c r="U1374" s="284"/>
      <c r="V1374" s="284"/>
      <c r="W1374" s="18"/>
      <c r="X1374" s="18"/>
      <c r="Y1374" s="18"/>
      <c r="Z1374" s="18"/>
    </row>
    <row r="1375" spans="1:26" ht="16.5" customHeight="1" x14ac:dyDescent="0.35">
      <c r="A1375" s="134"/>
      <c r="B1375" s="135"/>
      <c r="C1375" s="136"/>
      <c r="D1375" s="26"/>
      <c r="E1375" s="137"/>
      <c r="F1375" s="26"/>
      <c r="G1375" s="138" t="s">
        <v>472</v>
      </c>
      <c r="H1375" s="26"/>
      <c r="I1375" s="26" t="s">
        <v>102</v>
      </c>
      <c r="J1375" s="26"/>
      <c r="K1375" s="26"/>
      <c r="L1375" s="18"/>
      <c r="M1375" s="18"/>
      <c r="N1375" s="18"/>
      <c r="O1375" s="18"/>
      <c r="P1375" s="18"/>
      <c r="Q1375" s="18"/>
      <c r="R1375" s="18"/>
      <c r="S1375" s="18"/>
      <c r="T1375" s="293"/>
      <c r="U1375" s="295"/>
      <c r="V1375" s="294"/>
      <c r="W1375" s="18"/>
      <c r="X1375" s="18"/>
      <c r="Y1375" s="18"/>
      <c r="Z1375" s="18"/>
    </row>
    <row r="1376" spans="1:26" ht="16.5" customHeight="1" x14ac:dyDescent="0.35">
      <c r="A1376" s="134"/>
      <c r="B1376" s="135"/>
      <c r="C1376" s="136"/>
      <c r="D1376" s="26"/>
      <c r="E1376" s="137"/>
      <c r="F1376" s="26"/>
      <c r="G1376" s="138"/>
      <c r="H1376" s="26"/>
      <c r="I1376" s="26"/>
      <c r="J1376" s="26"/>
      <c r="K1376" s="26"/>
      <c r="L1376" s="18"/>
      <c r="M1376" s="18"/>
      <c r="N1376" s="18"/>
      <c r="O1376" s="18"/>
      <c r="P1376" s="18"/>
      <c r="Q1376" s="18"/>
      <c r="R1376" s="18"/>
      <c r="S1376" s="18"/>
      <c r="T1376" s="284"/>
      <c r="U1376" s="284"/>
      <c r="V1376" s="284"/>
      <c r="W1376" s="18"/>
      <c r="X1376" s="18"/>
      <c r="Y1376" s="18"/>
      <c r="Z1376" s="18"/>
    </row>
    <row r="1377" spans="1:26" ht="16.5" customHeight="1" x14ac:dyDescent="0.35">
      <c r="A1377" s="134"/>
      <c r="B1377" s="135"/>
      <c r="C1377" s="136"/>
      <c r="D1377" s="26"/>
      <c r="E1377" s="137"/>
      <c r="F1377" s="26"/>
      <c r="G1377" s="138"/>
      <c r="H1377" s="26"/>
      <c r="I1377" s="26"/>
      <c r="J1377" s="26"/>
      <c r="K1377" s="26"/>
      <c r="L1377" s="18"/>
      <c r="M1377" s="18"/>
      <c r="N1377" s="18"/>
      <c r="O1377" s="18"/>
      <c r="P1377" s="18"/>
      <c r="Q1377" s="18"/>
      <c r="R1377" s="18"/>
      <c r="S1377" s="18"/>
      <c r="T1377" s="293"/>
      <c r="U1377" s="295"/>
      <c r="V1377" s="294"/>
      <c r="W1377" s="18"/>
      <c r="X1377" s="18"/>
      <c r="Y1377" s="18"/>
      <c r="Z1377" s="18"/>
    </row>
    <row r="1378" spans="1:26" ht="16.5" customHeight="1" x14ac:dyDescent="0.35">
      <c r="A1378" s="134"/>
      <c r="B1378" s="135"/>
      <c r="C1378" s="136"/>
      <c r="D1378" s="26"/>
      <c r="E1378" s="137"/>
      <c r="F1378" s="26"/>
      <c r="G1378" s="138"/>
      <c r="H1378" s="26"/>
      <c r="I1378" s="26"/>
      <c r="J1378" s="26"/>
      <c r="K1378" s="26"/>
      <c r="L1378" s="18"/>
      <c r="M1378" s="18"/>
      <c r="N1378" s="18"/>
      <c r="O1378" s="18"/>
      <c r="P1378" s="18"/>
      <c r="Q1378" s="18"/>
      <c r="R1378" s="18"/>
      <c r="S1378" s="18"/>
      <c r="T1378" s="284"/>
      <c r="U1378" s="284"/>
      <c r="V1378" s="284"/>
      <c r="W1378" s="18"/>
      <c r="X1378" s="18"/>
      <c r="Y1378" s="18"/>
      <c r="Z1378" s="18"/>
    </row>
    <row r="1379" spans="1:26" ht="16.5" customHeight="1" x14ac:dyDescent="0.35">
      <c r="A1379" s="134"/>
      <c r="B1379" s="135"/>
      <c r="C1379" s="136"/>
      <c r="D1379" s="26"/>
      <c r="E1379" s="137"/>
      <c r="F1379" s="26"/>
      <c r="G1379" s="138" t="s">
        <v>473</v>
      </c>
      <c r="H1379" s="26"/>
      <c r="I1379" s="26"/>
      <c r="J1379" s="26"/>
      <c r="K1379" s="26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 spans="1:26" ht="16.5" customHeight="1" x14ac:dyDescent="0.35">
      <c r="A1380" s="134"/>
      <c r="B1380" s="135"/>
      <c r="C1380" s="136"/>
      <c r="D1380" s="26"/>
      <c r="E1380" s="137"/>
      <c r="F1380" s="26"/>
      <c r="G1380" s="138" t="s">
        <v>474</v>
      </c>
      <c r="H1380" s="26"/>
      <c r="I1380" s="26"/>
      <c r="J1380" s="26"/>
      <c r="K1380" s="26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 spans="1:26" ht="16.5" customHeight="1" x14ac:dyDescent="0.35">
      <c r="A1381" s="134"/>
      <c r="B1381" s="135"/>
      <c r="C1381" s="136"/>
      <c r="D1381" s="26"/>
      <c r="E1381" s="137"/>
      <c r="F1381" s="26"/>
      <c r="G1381" s="26"/>
      <c r="H1381" s="26"/>
      <c r="I1381" s="26"/>
      <c r="J1381" s="26"/>
      <c r="K1381" s="26"/>
      <c r="L1381" s="18"/>
      <c r="M1381" s="18"/>
      <c r="N1381" s="18"/>
      <c r="O1381" s="18"/>
      <c r="P1381" s="18"/>
      <c r="Q1381" s="18"/>
      <c r="R1381" s="18"/>
      <c r="S1381" s="18"/>
      <c r="T1381" s="293"/>
      <c r="U1381" s="295"/>
      <c r="V1381" s="294"/>
      <c r="W1381" s="18"/>
      <c r="X1381" s="18"/>
      <c r="Y1381" s="18"/>
      <c r="Z1381" s="18"/>
    </row>
    <row r="1382" spans="1:26" ht="16.5" customHeight="1" x14ac:dyDescent="0.35">
      <c r="A1382" s="134"/>
      <c r="B1382" s="135"/>
      <c r="C1382" s="136"/>
      <c r="D1382" s="26"/>
      <c r="E1382" s="137"/>
      <c r="F1382" s="26"/>
      <c r="G1382" s="26"/>
      <c r="H1382" s="26"/>
      <c r="I1382" s="26"/>
      <c r="J1382" s="26"/>
      <c r="K1382" s="26"/>
      <c r="L1382" s="18"/>
      <c r="M1382" s="18"/>
      <c r="N1382" s="18"/>
      <c r="O1382" s="18"/>
      <c r="P1382" s="18"/>
      <c r="Q1382" s="18"/>
      <c r="R1382" s="18"/>
      <c r="S1382" s="18"/>
      <c r="T1382" s="284"/>
      <c r="U1382" s="284"/>
      <c r="V1382" s="284"/>
      <c r="W1382" s="18"/>
      <c r="X1382" s="18"/>
      <c r="Y1382" s="18"/>
      <c r="Z1382" s="18"/>
    </row>
    <row r="1383" spans="1:26" ht="16.5" customHeight="1" x14ac:dyDescent="0.35">
      <c r="A1383" s="134"/>
      <c r="B1383" s="135"/>
      <c r="C1383" s="136"/>
      <c r="D1383" s="26"/>
      <c r="E1383" s="137"/>
      <c r="F1383" s="26"/>
      <c r="G1383" s="26"/>
      <c r="H1383" s="26"/>
      <c r="I1383" s="26"/>
      <c r="J1383" s="26"/>
      <c r="K1383" s="26"/>
      <c r="L1383" s="18"/>
      <c r="M1383" s="18"/>
      <c r="N1383" s="18"/>
      <c r="O1383" s="18"/>
      <c r="P1383" s="18"/>
      <c r="Q1383" s="18"/>
      <c r="R1383" s="18"/>
      <c r="S1383" s="18"/>
      <c r="T1383" s="293"/>
      <c r="U1383" s="295"/>
      <c r="V1383" s="294"/>
      <c r="W1383" s="18"/>
      <c r="X1383" s="18"/>
      <c r="Y1383" s="18"/>
      <c r="Z1383" s="18"/>
    </row>
    <row r="1384" spans="1:26" ht="16.5" customHeight="1" x14ac:dyDescent="0.35">
      <c r="A1384" s="134"/>
      <c r="B1384" s="135"/>
      <c r="C1384" s="136"/>
      <c r="D1384" s="26"/>
      <c r="E1384" s="137"/>
      <c r="F1384" s="26"/>
      <c r="G1384" s="26"/>
      <c r="H1384" s="26"/>
      <c r="I1384" s="26"/>
      <c r="J1384" s="26"/>
      <c r="K1384" s="26"/>
      <c r="L1384" s="18"/>
      <c r="M1384" s="18"/>
      <c r="N1384" s="18"/>
      <c r="O1384" s="18"/>
      <c r="P1384" s="18"/>
      <c r="Q1384" s="18"/>
      <c r="R1384" s="18"/>
      <c r="S1384" s="18"/>
      <c r="T1384" s="284"/>
      <c r="U1384" s="284"/>
      <c r="V1384" s="284"/>
      <c r="W1384" s="18"/>
      <c r="X1384" s="18"/>
      <c r="Y1384" s="18"/>
      <c r="Z1384" s="18"/>
    </row>
    <row r="1385" spans="1:26" ht="16.5" customHeight="1" x14ac:dyDescent="0.35">
      <c r="A1385" s="134"/>
      <c r="B1385" s="135"/>
      <c r="C1385" s="136"/>
      <c r="D1385" s="26"/>
      <c r="E1385" s="137"/>
      <c r="F1385" s="26"/>
      <c r="G1385" s="26"/>
      <c r="H1385" s="26"/>
      <c r="I1385" s="26"/>
      <c r="J1385" s="26"/>
      <c r="K1385" s="26"/>
      <c r="L1385" s="18"/>
      <c r="M1385" s="18"/>
      <c r="N1385" s="18"/>
      <c r="O1385" s="18"/>
      <c r="P1385" s="18"/>
      <c r="Q1385" s="18"/>
      <c r="R1385" s="18"/>
      <c r="S1385" s="18"/>
      <c r="T1385" s="293"/>
      <c r="U1385" s="295"/>
      <c r="V1385" s="294"/>
      <c r="W1385" s="18"/>
      <c r="X1385" s="18"/>
      <c r="Y1385" s="18"/>
      <c r="Z1385" s="18"/>
    </row>
    <row r="1386" spans="1:26" ht="16.5" customHeight="1" x14ac:dyDescent="0.35">
      <c r="A1386" s="134"/>
      <c r="B1386" s="135"/>
      <c r="C1386" s="136"/>
      <c r="D1386" s="26"/>
      <c r="E1386" s="137"/>
      <c r="F1386" s="26"/>
      <c r="G1386" s="26"/>
      <c r="H1386" s="26"/>
      <c r="I1386" s="26"/>
      <c r="J1386" s="26"/>
      <c r="K1386" s="26"/>
      <c r="L1386" s="18"/>
      <c r="M1386" s="18"/>
      <c r="N1386" s="18"/>
      <c r="O1386" s="18"/>
      <c r="P1386" s="18"/>
      <c r="Q1386" s="18"/>
      <c r="R1386" s="18"/>
      <c r="S1386" s="18"/>
      <c r="T1386" s="284"/>
      <c r="U1386" s="284"/>
      <c r="V1386" s="284"/>
      <c r="W1386" s="18"/>
      <c r="X1386" s="18"/>
      <c r="Y1386" s="18"/>
      <c r="Z1386" s="18"/>
    </row>
    <row r="1387" spans="1:26" ht="16.5" customHeight="1" x14ac:dyDescent="0.35">
      <c r="A1387" s="134"/>
      <c r="B1387" s="135"/>
      <c r="C1387" s="136"/>
      <c r="D1387" s="26"/>
      <c r="E1387" s="137"/>
      <c r="F1387" s="26"/>
      <c r="G1387" s="26"/>
      <c r="H1387" s="26"/>
      <c r="I1387" s="26"/>
      <c r="J1387" s="26"/>
      <c r="K1387" s="26"/>
      <c r="L1387" s="18"/>
      <c r="M1387" s="18"/>
      <c r="N1387" s="18"/>
      <c r="O1387" s="18"/>
      <c r="P1387" s="18"/>
      <c r="Q1387" s="18"/>
      <c r="R1387" s="18"/>
      <c r="S1387" s="18"/>
      <c r="T1387" s="293"/>
      <c r="U1387" s="295"/>
      <c r="V1387" s="294"/>
      <c r="W1387" s="18"/>
      <c r="X1387" s="18"/>
      <c r="Y1387" s="18"/>
      <c r="Z1387" s="18"/>
    </row>
    <row r="1388" spans="1:26" ht="16.5" customHeight="1" x14ac:dyDescent="0.35">
      <c r="A1388" s="134"/>
      <c r="B1388" s="135"/>
      <c r="C1388" s="136"/>
      <c r="D1388" s="26"/>
      <c r="E1388" s="137"/>
      <c r="F1388" s="26"/>
      <c r="G1388" s="26"/>
      <c r="H1388" s="26"/>
      <c r="I1388" s="26"/>
      <c r="J1388" s="26"/>
      <c r="K1388" s="26"/>
      <c r="L1388" s="18"/>
      <c r="M1388" s="18"/>
      <c r="N1388" s="18"/>
      <c r="O1388" s="18"/>
      <c r="P1388" s="18"/>
      <c r="Q1388" s="18"/>
      <c r="R1388" s="18"/>
      <c r="S1388" s="18"/>
      <c r="T1388" s="284"/>
      <c r="U1388" s="284"/>
      <c r="V1388" s="284"/>
      <c r="W1388" s="18"/>
      <c r="X1388" s="18"/>
      <c r="Y1388" s="18"/>
      <c r="Z1388" s="18"/>
    </row>
    <row r="1389" spans="1:26" ht="16.5" customHeight="1" x14ac:dyDescent="0.35">
      <c r="A1389" s="134"/>
      <c r="B1389" s="135"/>
      <c r="C1389" s="136"/>
      <c r="D1389" s="26"/>
      <c r="E1389" s="137"/>
      <c r="F1389" s="26"/>
      <c r="G1389" s="26"/>
      <c r="H1389" s="26"/>
      <c r="I1389" s="26"/>
      <c r="J1389" s="26"/>
      <c r="K1389" s="26"/>
      <c r="L1389" s="18"/>
      <c r="M1389" s="18"/>
      <c r="N1389" s="18"/>
      <c r="O1389" s="18"/>
      <c r="P1389" s="18"/>
      <c r="Q1389" s="18"/>
      <c r="R1389" s="18"/>
      <c r="S1389" s="18"/>
      <c r="T1389" s="293"/>
      <c r="U1389" s="295"/>
      <c r="V1389" s="294"/>
      <c r="W1389" s="18"/>
      <c r="X1389" s="18"/>
      <c r="Y1389" s="18"/>
      <c r="Z1389" s="18"/>
    </row>
    <row r="1390" spans="1:26" ht="16.5" customHeight="1" x14ac:dyDescent="0.35">
      <c r="A1390" s="134"/>
      <c r="B1390" s="135"/>
      <c r="C1390" s="136"/>
      <c r="D1390" s="26"/>
      <c r="E1390" s="137"/>
      <c r="F1390" s="26"/>
      <c r="G1390" s="26"/>
      <c r="H1390" s="26"/>
      <c r="I1390" s="26"/>
      <c r="J1390" s="26"/>
      <c r="K1390" s="26"/>
      <c r="L1390" s="18"/>
      <c r="M1390" s="18"/>
      <c r="N1390" s="18"/>
      <c r="O1390" s="18"/>
      <c r="P1390" s="18"/>
      <c r="Q1390" s="18"/>
      <c r="R1390" s="18"/>
      <c r="S1390" s="18"/>
      <c r="T1390" s="284"/>
      <c r="U1390" s="284"/>
      <c r="V1390" s="284"/>
      <c r="W1390" s="18"/>
      <c r="X1390" s="18"/>
      <c r="Y1390" s="18"/>
      <c r="Z1390" s="18"/>
    </row>
    <row r="1391" spans="1:26" ht="16.5" customHeight="1" x14ac:dyDescent="0.35">
      <c r="A1391" s="134"/>
      <c r="B1391" s="135"/>
      <c r="C1391" s="136"/>
      <c r="D1391" s="26"/>
      <c r="E1391" s="137"/>
      <c r="F1391" s="26"/>
      <c r="G1391" s="26"/>
      <c r="H1391" s="26"/>
      <c r="I1391" s="26"/>
      <c r="J1391" s="26"/>
      <c r="K1391" s="26"/>
      <c r="L1391" s="18"/>
      <c r="M1391" s="18"/>
      <c r="N1391" s="18"/>
      <c r="O1391" s="18"/>
      <c r="P1391" s="18"/>
      <c r="Q1391" s="18"/>
      <c r="R1391" s="18"/>
      <c r="S1391" s="18"/>
      <c r="T1391" s="301"/>
      <c r="U1391" s="301"/>
      <c r="V1391" s="301"/>
      <c r="W1391" s="18"/>
      <c r="X1391" s="18"/>
      <c r="Y1391" s="18"/>
      <c r="Z1391" s="18"/>
    </row>
    <row r="1392" spans="1:26" ht="16.5" customHeight="1" x14ac:dyDescent="0.35">
      <c r="A1392" s="134"/>
      <c r="B1392" s="135"/>
      <c r="C1392" s="136"/>
      <c r="D1392" s="26"/>
      <c r="E1392" s="137"/>
      <c r="F1392" s="26"/>
      <c r="G1392" s="26"/>
      <c r="H1392" s="26"/>
      <c r="I1392" s="26"/>
      <c r="J1392" s="26"/>
      <c r="K1392" s="26"/>
      <c r="L1392" s="18"/>
      <c r="M1392" s="18"/>
      <c r="N1392" s="18"/>
      <c r="O1392" s="18"/>
      <c r="P1392" s="18"/>
      <c r="Q1392" s="18"/>
      <c r="R1392" s="18"/>
      <c r="S1392" s="18"/>
      <c r="T1392" s="284"/>
      <c r="U1392" s="284"/>
      <c r="V1392" s="284"/>
      <c r="W1392" s="18"/>
      <c r="X1392" s="18"/>
      <c r="Y1392" s="18"/>
      <c r="Z1392" s="18"/>
    </row>
    <row r="1393" spans="1:26" ht="16.5" customHeight="1" x14ac:dyDescent="0.35">
      <c r="A1393" s="134"/>
      <c r="B1393" s="135"/>
      <c r="C1393" s="136"/>
      <c r="D1393" s="26"/>
      <c r="E1393" s="137"/>
      <c r="F1393" s="26"/>
      <c r="G1393" s="26"/>
      <c r="H1393" s="26"/>
      <c r="I1393" s="26"/>
      <c r="J1393" s="26"/>
      <c r="K1393" s="26"/>
      <c r="L1393" s="18"/>
      <c r="M1393" s="18"/>
      <c r="N1393" s="18"/>
      <c r="O1393" s="18"/>
      <c r="P1393" s="18"/>
      <c r="Q1393" s="18"/>
      <c r="R1393" s="18"/>
      <c r="S1393" s="18"/>
      <c r="T1393" s="301"/>
      <c r="U1393" s="301"/>
      <c r="V1393" s="301"/>
      <c r="W1393" s="18"/>
      <c r="X1393" s="18"/>
      <c r="Y1393" s="18"/>
      <c r="Z1393" s="18"/>
    </row>
    <row r="1394" spans="1:26" ht="16.5" customHeight="1" x14ac:dyDescent="0.35">
      <c r="A1394" s="134"/>
      <c r="B1394" s="135"/>
      <c r="C1394" s="136"/>
      <c r="D1394" s="26"/>
      <c r="E1394" s="137"/>
      <c r="F1394" s="26"/>
      <c r="G1394" s="26"/>
      <c r="H1394" s="26"/>
      <c r="I1394" s="26"/>
      <c r="J1394" s="26"/>
      <c r="K1394" s="26"/>
      <c r="L1394" s="18"/>
      <c r="M1394" s="18"/>
      <c r="N1394" s="18"/>
      <c r="O1394" s="18"/>
      <c r="P1394" s="18"/>
      <c r="Q1394" s="18"/>
      <c r="R1394" s="18"/>
      <c r="S1394" s="18"/>
      <c r="T1394" s="284"/>
      <c r="U1394" s="284"/>
      <c r="V1394" s="284"/>
      <c r="W1394" s="18"/>
      <c r="X1394" s="18"/>
      <c r="Y1394" s="18"/>
      <c r="Z1394" s="18"/>
    </row>
    <row r="1395" spans="1:26" ht="16.5" customHeight="1" x14ac:dyDescent="0.35">
      <c r="A1395" s="134"/>
      <c r="B1395" s="135"/>
      <c r="C1395" s="136"/>
      <c r="D1395" s="26"/>
      <c r="E1395" s="137"/>
      <c r="F1395" s="26"/>
      <c r="G1395" s="26"/>
      <c r="H1395" s="26"/>
      <c r="I1395" s="26"/>
      <c r="J1395" s="26"/>
      <c r="K1395" s="26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</row>
    <row r="1396" spans="1:26" ht="16.5" customHeight="1" x14ac:dyDescent="0.35">
      <c r="A1396" s="134"/>
      <c r="B1396" s="135"/>
      <c r="C1396" s="136"/>
      <c r="D1396" s="26"/>
      <c r="E1396" s="137"/>
      <c r="F1396" s="26"/>
      <c r="G1396" s="26"/>
      <c r="H1396" s="26"/>
      <c r="I1396" s="26"/>
      <c r="J1396" s="26"/>
      <c r="K1396" s="26"/>
      <c r="L1396" s="18"/>
      <c r="M1396" s="18"/>
      <c r="N1396" s="18"/>
      <c r="O1396" s="18"/>
      <c r="P1396" s="18"/>
      <c r="Q1396" s="18"/>
      <c r="R1396" s="18"/>
      <c r="S1396" s="18"/>
      <c r="T1396" s="301"/>
      <c r="U1396" s="301"/>
      <c r="V1396" s="301"/>
      <c r="W1396" s="18"/>
      <c r="X1396" s="18"/>
      <c r="Y1396" s="18"/>
      <c r="Z1396" s="18"/>
    </row>
    <row r="1397" spans="1:26" ht="16.5" customHeight="1" x14ac:dyDescent="0.35">
      <c r="A1397" s="134"/>
      <c r="B1397" s="135"/>
      <c r="C1397" s="136"/>
      <c r="D1397" s="26"/>
      <c r="E1397" s="137"/>
      <c r="F1397" s="26"/>
      <c r="G1397" s="26"/>
      <c r="H1397" s="26"/>
      <c r="I1397" s="26"/>
      <c r="J1397" s="26"/>
      <c r="K1397" s="26"/>
      <c r="L1397" s="18"/>
      <c r="M1397" s="18"/>
      <c r="N1397" s="18"/>
      <c r="O1397" s="18"/>
      <c r="P1397" s="18"/>
      <c r="Q1397" s="18"/>
      <c r="R1397" s="18"/>
      <c r="S1397" s="18"/>
      <c r="T1397" s="284"/>
      <c r="U1397" s="284"/>
      <c r="V1397" s="284"/>
      <c r="W1397" s="18"/>
      <c r="X1397" s="18"/>
      <c r="Y1397" s="18"/>
      <c r="Z1397" s="18"/>
    </row>
    <row r="1398" spans="1:26" ht="16.5" customHeight="1" x14ac:dyDescent="0.35">
      <c r="A1398" s="134"/>
      <c r="B1398" s="135"/>
      <c r="C1398" s="136"/>
      <c r="D1398" s="26"/>
      <c r="E1398" s="137"/>
      <c r="F1398" s="26"/>
      <c r="G1398" s="26"/>
      <c r="H1398" s="26"/>
      <c r="I1398" s="26"/>
      <c r="J1398" s="26"/>
      <c r="K1398" s="26"/>
      <c r="L1398" s="18"/>
      <c r="M1398" s="18"/>
      <c r="N1398" s="18"/>
      <c r="O1398" s="18"/>
      <c r="P1398" s="18"/>
      <c r="Q1398" s="18"/>
      <c r="R1398" s="18"/>
      <c r="S1398" s="18"/>
      <c r="T1398" s="301"/>
      <c r="U1398" s="301"/>
      <c r="V1398" s="301"/>
      <c r="W1398" s="18"/>
      <c r="X1398" s="18"/>
      <c r="Y1398" s="18"/>
      <c r="Z1398" s="18"/>
    </row>
    <row r="1399" spans="1:26" ht="16.5" customHeight="1" x14ac:dyDescent="0.35">
      <c r="A1399" s="134"/>
      <c r="B1399" s="135"/>
      <c r="C1399" s="136"/>
      <c r="D1399" s="26"/>
      <c r="E1399" s="137"/>
      <c r="F1399" s="26"/>
      <c r="G1399" s="26"/>
      <c r="H1399" s="26"/>
      <c r="I1399" s="26"/>
      <c r="J1399" s="26"/>
      <c r="K1399" s="26"/>
      <c r="L1399" s="18"/>
      <c r="M1399" s="18"/>
      <c r="N1399" s="18"/>
      <c r="O1399" s="18"/>
      <c r="P1399" s="18"/>
      <c r="Q1399" s="18"/>
      <c r="R1399" s="18"/>
      <c r="S1399" s="18"/>
      <c r="T1399" s="284"/>
      <c r="U1399" s="284"/>
      <c r="V1399" s="284"/>
      <c r="W1399" s="18"/>
      <c r="X1399" s="18"/>
      <c r="Y1399" s="18"/>
      <c r="Z1399" s="18"/>
    </row>
    <row r="1400" spans="1:26" ht="16.5" customHeight="1" x14ac:dyDescent="0.35">
      <c r="A1400" s="134"/>
      <c r="B1400" s="135"/>
      <c r="C1400" s="136"/>
      <c r="D1400" s="26"/>
      <c r="E1400" s="137"/>
      <c r="F1400" s="26"/>
      <c r="G1400" s="26"/>
      <c r="H1400" s="26"/>
      <c r="I1400" s="26"/>
      <c r="J1400" s="26"/>
      <c r="K1400" s="26"/>
      <c r="L1400" s="18"/>
      <c r="M1400" s="18"/>
      <c r="N1400" s="18"/>
      <c r="O1400" s="18"/>
      <c r="P1400" s="18"/>
      <c r="Q1400" s="18"/>
      <c r="R1400" s="18"/>
      <c r="S1400" s="18"/>
      <c r="T1400" s="301"/>
      <c r="U1400" s="301"/>
      <c r="V1400" s="301"/>
      <c r="W1400" s="18"/>
      <c r="X1400" s="18"/>
      <c r="Y1400" s="18"/>
      <c r="Z1400" s="18"/>
    </row>
    <row r="1401" spans="1:26" ht="16.5" customHeight="1" x14ac:dyDescent="0.35">
      <c r="A1401" s="134"/>
      <c r="B1401" s="135"/>
      <c r="C1401" s="136"/>
      <c r="D1401" s="26"/>
      <c r="E1401" s="137"/>
      <c r="F1401" s="26"/>
      <c r="G1401" s="26"/>
      <c r="H1401" s="26"/>
      <c r="I1401" s="26"/>
      <c r="J1401" s="26"/>
      <c r="K1401" s="26"/>
      <c r="L1401" s="18"/>
      <c r="M1401" s="18"/>
      <c r="N1401" s="18"/>
      <c r="O1401" s="18"/>
      <c r="P1401" s="18"/>
      <c r="Q1401" s="18"/>
      <c r="R1401" s="18"/>
      <c r="S1401" s="18"/>
      <c r="T1401" s="284"/>
      <c r="U1401" s="284"/>
      <c r="V1401" s="284"/>
      <c r="W1401" s="18"/>
      <c r="X1401" s="18"/>
      <c r="Y1401" s="18"/>
      <c r="Z1401" s="18"/>
    </row>
    <row r="1402" spans="1:26" ht="16.5" customHeight="1" x14ac:dyDescent="0.35">
      <c r="A1402" s="134"/>
      <c r="B1402" s="135"/>
      <c r="C1402" s="136"/>
      <c r="D1402" s="26"/>
      <c r="E1402" s="137"/>
      <c r="F1402" s="26"/>
      <c r="G1402" s="26"/>
      <c r="H1402" s="26"/>
      <c r="I1402" s="26"/>
      <c r="J1402" s="26"/>
      <c r="K1402" s="26"/>
      <c r="L1402" s="18"/>
      <c r="M1402" s="18"/>
      <c r="N1402" s="18"/>
      <c r="O1402" s="18"/>
      <c r="P1402" s="18"/>
      <c r="Q1402" s="18"/>
      <c r="R1402" s="18"/>
      <c r="S1402" s="18"/>
      <c r="T1402" s="301"/>
      <c r="U1402" s="301"/>
      <c r="V1402" s="301"/>
      <c r="W1402" s="18"/>
      <c r="X1402" s="18"/>
      <c r="Y1402" s="18"/>
      <c r="Z1402" s="18"/>
    </row>
    <row r="1403" spans="1:26" ht="16.5" customHeight="1" x14ac:dyDescent="0.35">
      <c r="A1403" s="134"/>
      <c r="B1403" s="135"/>
      <c r="C1403" s="136"/>
      <c r="D1403" s="26"/>
      <c r="E1403" s="137"/>
      <c r="F1403" s="26"/>
      <c r="G1403" s="26"/>
      <c r="H1403" s="26"/>
      <c r="I1403" s="26"/>
      <c r="J1403" s="26"/>
      <c r="K1403" s="26"/>
      <c r="L1403" s="18"/>
      <c r="M1403" s="18"/>
      <c r="N1403" s="18"/>
      <c r="O1403" s="18"/>
      <c r="P1403" s="18"/>
      <c r="Q1403" s="18"/>
      <c r="R1403" s="18"/>
      <c r="S1403" s="18"/>
      <c r="T1403" s="284"/>
      <c r="U1403" s="284"/>
      <c r="V1403" s="284"/>
      <c r="W1403" s="18"/>
      <c r="X1403" s="18"/>
      <c r="Y1403" s="18"/>
      <c r="Z1403" s="18"/>
    </row>
    <row r="1404" spans="1:26" ht="16.5" customHeight="1" x14ac:dyDescent="0.35">
      <c r="A1404" s="134"/>
      <c r="B1404" s="135"/>
      <c r="C1404" s="136"/>
      <c r="D1404" s="26"/>
      <c r="E1404" s="137"/>
      <c r="F1404" s="26"/>
      <c r="G1404" s="26"/>
      <c r="H1404" s="26"/>
      <c r="I1404" s="26"/>
      <c r="J1404" s="26"/>
      <c r="K1404" s="26"/>
      <c r="L1404" s="18"/>
      <c r="M1404" s="18"/>
      <c r="N1404" s="18"/>
      <c r="O1404" s="18"/>
      <c r="P1404" s="18"/>
      <c r="Q1404" s="18"/>
      <c r="R1404" s="18"/>
      <c r="S1404" s="18"/>
      <c r="T1404" s="301"/>
      <c r="U1404" s="301"/>
      <c r="V1404" s="301"/>
      <c r="W1404" s="18"/>
      <c r="X1404" s="18"/>
      <c r="Y1404" s="18"/>
      <c r="Z1404" s="18"/>
    </row>
    <row r="1405" spans="1:26" ht="16.5" customHeight="1" x14ac:dyDescent="0.35">
      <c r="A1405" s="134"/>
      <c r="B1405" s="135"/>
      <c r="C1405" s="136"/>
      <c r="D1405" s="26"/>
      <c r="E1405" s="137"/>
      <c r="F1405" s="26"/>
      <c r="G1405" s="26"/>
      <c r="H1405" s="26"/>
      <c r="I1405" s="26"/>
      <c r="J1405" s="26"/>
      <c r="K1405" s="26"/>
      <c r="L1405" s="18"/>
      <c r="M1405" s="18"/>
      <c r="N1405" s="18"/>
      <c r="O1405" s="18"/>
      <c r="P1405" s="18"/>
      <c r="Q1405" s="18"/>
      <c r="R1405" s="18"/>
      <c r="S1405" s="18"/>
      <c r="T1405" s="284"/>
      <c r="U1405" s="284"/>
      <c r="V1405" s="284"/>
      <c r="W1405" s="18"/>
      <c r="X1405" s="18"/>
      <c r="Y1405" s="18"/>
      <c r="Z1405" s="18"/>
    </row>
    <row r="1406" spans="1:26" ht="16.5" customHeight="1" x14ac:dyDescent="0.35">
      <c r="A1406" s="134"/>
      <c r="B1406" s="135"/>
      <c r="C1406" s="136"/>
      <c r="D1406" s="26"/>
      <c r="E1406" s="137"/>
      <c r="F1406" s="26"/>
      <c r="G1406" s="26"/>
      <c r="H1406" s="26"/>
      <c r="I1406" s="26"/>
      <c r="J1406" s="26"/>
      <c r="K1406" s="26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</row>
    <row r="1407" spans="1:26" ht="16.5" customHeight="1" x14ac:dyDescent="0.35">
      <c r="A1407" s="134"/>
      <c r="B1407" s="135"/>
      <c r="C1407" s="136"/>
      <c r="D1407" s="26"/>
      <c r="E1407" s="137"/>
      <c r="F1407" s="26"/>
      <c r="G1407" s="26"/>
      <c r="H1407" s="26"/>
      <c r="I1407" s="26"/>
      <c r="J1407" s="26"/>
      <c r="K1407" s="26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 spans="1:26" ht="16.5" customHeight="1" x14ac:dyDescent="0.35">
      <c r="A1408" s="134"/>
      <c r="B1408" s="135"/>
      <c r="C1408" s="136"/>
      <c r="D1408" s="26"/>
      <c r="E1408" s="137"/>
      <c r="F1408" s="26"/>
      <c r="G1408" s="26"/>
      <c r="H1408" s="26"/>
      <c r="I1408" s="26"/>
      <c r="J1408" s="26"/>
      <c r="K1408" s="26"/>
      <c r="L1408" s="18"/>
      <c r="M1408" s="18"/>
      <c r="N1408" s="18"/>
      <c r="O1408" s="18"/>
      <c r="P1408" s="18"/>
      <c r="Q1408" s="18"/>
      <c r="R1408" s="18"/>
      <c r="S1408" s="18"/>
      <c r="T1408" s="301"/>
      <c r="U1408" s="301"/>
      <c r="V1408" s="301"/>
      <c r="W1408" s="18"/>
      <c r="X1408" s="18"/>
      <c r="Y1408" s="18"/>
      <c r="Z1408" s="18"/>
    </row>
    <row r="1409" spans="1:26" ht="16.5" customHeight="1" x14ac:dyDescent="0.35">
      <c r="A1409" s="134"/>
      <c r="B1409" s="135"/>
      <c r="C1409" s="136"/>
      <c r="D1409" s="26"/>
      <c r="E1409" s="137"/>
      <c r="F1409" s="26"/>
      <c r="G1409" s="26"/>
      <c r="H1409" s="26"/>
      <c r="I1409" s="26"/>
      <c r="J1409" s="26"/>
      <c r="K1409" s="26"/>
      <c r="L1409" s="18"/>
      <c r="M1409" s="18"/>
      <c r="N1409" s="18"/>
      <c r="O1409" s="18"/>
      <c r="P1409" s="18"/>
      <c r="Q1409" s="18"/>
      <c r="R1409" s="18"/>
      <c r="S1409" s="18"/>
      <c r="T1409" s="284"/>
      <c r="U1409" s="284"/>
      <c r="V1409" s="284"/>
      <c r="W1409" s="18"/>
      <c r="X1409" s="18"/>
      <c r="Y1409" s="18"/>
      <c r="Z1409" s="18"/>
    </row>
    <row r="1410" spans="1:26" ht="16.5" customHeight="1" x14ac:dyDescent="0.35">
      <c r="A1410" s="134"/>
      <c r="B1410" s="135"/>
      <c r="C1410" s="136"/>
      <c r="D1410" s="26"/>
      <c r="E1410" s="137"/>
      <c r="F1410" s="26"/>
      <c r="G1410" s="26"/>
      <c r="H1410" s="26"/>
      <c r="I1410" s="26"/>
      <c r="J1410" s="26"/>
      <c r="K1410" s="26"/>
      <c r="L1410" s="18"/>
      <c r="M1410" s="18"/>
      <c r="N1410" s="18"/>
      <c r="O1410" s="18"/>
      <c r="P1410" s="18"/>
      <c r="Q1410" s="18"/>
      <c r="R1410" s="18"/>
      <c r="S1410" s="18"/>
      <c r="T1410" s="301"/>
      <c r="U1410" s="301"/>
      <c r="V1410" s="301"/>
      <c r="W1410" s="18"/>
      <c r="X1410" s="18"/>
      <c r="Y1410" s="18"/>
      <c r="Z1410" s="18"/>
    </row>
    <row r="1411" spans="1:26" ht="16.5" customHeight="1" x14ac:dyDescent="0.35">
      <c r="A1411" s="134"/>
      <c r="B1411" s="135"/>
      <c r="C1411" s="136"/>
      <c r="D1411" s="26"/>
      <c r="E1411" s="137"/>
      <c r="F1411" s="26"/>
      <c r="G1411" s="26"/>
      <c r="H1411" s="26"/>
      <c r="I1411" s="26"/>
      <c r="J1411" s="26"/>
      <c r="K1411" s="26"/>
      <c r="L1411" s="18"/>
      <c r="M1411" s="18"/>
      <c r="N1411" s="18"/>
      <c r="O1411" s="18"/>
      <c r="P1411" s="18"/>
      <c r="Q1411" s="18"/>
      <c r="R1411" s="18"/>
      <c r="S1411" s="18"/>
      <c r="T1411" s="284"/>
      <c r="U1411" s="284"/>
      <c r="V1411" s="284"/>
      <c r="W1411" s="18"/>
      <c r="X1411" s="18"/>
      <c r="Y1411" s="18"/>
      <c r="Z1411" s="18"/>
    </row>
    <row r="1412" spans="1:26" ht="16.5" customHeight="1" x14ac:dyDescent="0.35">
      <c r="A1412" s="134"/>
      <c r="B1412" s="135"/>
      <c r="C1412" s="136"/>
      <c r="D1412" s="26"/>
      <c r="E1412" s="137"/>
      <c r="F1412" s="26"/>
      <c r="G1412" s="26"/>
      <c r="H1412" s="26"/>
      <c r="I1412" s="26"/>
      <c r="J1412" s="26"/>
      <c r="K1412" s="26"/>
      <c r="L1412" s="18"/>
      <c r="M1412" s="18"/>
      <c r="N1412" s="18"/>
      <c r="O1412" s="18"/>
      <c r="P1412" s="18"/>
      <c r="Q1412" s="18"/>
      <c r="R1412" s="18"/>
      <c r="S1412" s="18"/>
      <c r="T1412" s="301"/>
      <c r="U1412" s="301"/>
      <c r="V1412" s="301"/>
      <c r="W1412" s="18"/>
      <c r="X1412" s="18"/>
      <c r="Y1412" s="18"/>
      <c r="Z1412" s="18"/>
    </row>
    <row r="1413" spans="1:26" ht="16.5" customHeight="1" x14ac:dyDescent="0.35">
      <c r="A1413" s="134"/>
      <c r="B1413" s="135"/>
      <c r="C1413" s="136"/>
      <c r="D1413" s="26"/>
      <c r="E1413" s="137"/>
      <c r="F1413" s="26"/>
      <c r="G1413" s="26"/>
      <c r="H1413" s="26"/>
      <c r="I1413" s="26"/>
      <c r="J1413" s="26"/>
      <c r="K1413" s="26"/>
      <c r="L1413" s="18"/>
      <c r="M1413" s="18"/>
      <c r="N1413" s="18"/>
      <c r="O1413" s="18"/>
      <c r="P1413" s="18"/>
      <c r="Q1413" s="18"/>
      <c r="R1413" s="18"/>
      <c r="S1413" s="18"/>
      <c r="T1413" s="284"/>
      <c r="U1413" s="284"/>
      <c r="V1413" s="284"/>
      <c r="W1413" s="18"/>
      <c r="X1413" s="18"/>
      <c r="Y1413" s="18"/>
      <c r="Z1413" s="18"/>
    </row>
    <row r="1414" spans="1:26" ht="16.5" customHeight="1" x14ac:dyDescent="0.35">
      <c r="A1414" s="134"/>
      <c r="B1414" s="135"/>
      <c r="C1414" s="136"/>
      <c r="D1414" s="26"/>
      <c r="E1414" s="137"/>
      <c r="F1414" s="26"/>
      <c r="G1414" s="26"/>
      <c r="H1414" s="26"/>
      <c r="I1414" s="26"/>
      <c r="J1414" s="26"/>
      <c r="K1414" s="26"/>
      <c r="L1414" s="18"/>
      <c r="M1414" s="18"/>
      <c r="N1414" s="18"/>
      <c r="O1414" s="18"/>
      <c r="P1414" s="18"/>
      <c r="Q1414" s="18"/>
      <c r="R1414" s="18"/>
      <c r="S1414" s="18"/>
      <c r="T1414" s="301"/>
      <c r="U1414" s="301"/>
      <c r="V1414" s="301"/>
      <c r="W1414" s="18"/>
      <c r="X1414" s="18"/>
      <c r="Y1414" s="18"/>
      <c r="Z1414" s="18"/>
    </row>
    <row r="1415" spans="1:26" ht="16.5" customHeight="1" x14ac:dyDescent="0.35">
      <c r="A1415" s="134"/>
      <c r="B1415" s="135"/>
      <c r="C1415" s="136"/>
      <c r="D1415" s="26"/>
      <c r="E1415" s="137"/>
      <c r="F1415" s="26"/>
      <c r="G1415" s="26"/>
      <c r="H1415" s="26"/>
      <c r="I1415" s="26"/>
      <c r="J1415" s="26"/>
      <c r="K1415" s="26"/>
      <c r="L1415" s="18"/>
      <c r="M1415" s="18"/>
      <c r="N1415" s="18"/>
      <c r="O1415" s="18"/>
      <c r="P1415" s="18"/>
      <c r="Q1415" s="18"/>
      <c r="R1415" s="18"/>
      <c r="S1415" s="18"/>
      <c r="T1415" s="284"/>
      <c r="U1415" s="284"/>
      <c r="V1415" s="284"/>
      <c r="W1415" s="18"/>
      <c r="X1415" s="18"/>
      <c r="Y1415" s="18"/>
      <c r="Z1415" s="18"/>
    </row>
    <row r="1416" spans="1:26" ht="16.5" customHeight="1" x14ac:dyDescent="0.35">
      <c r="A1416" s="134"/>
      <c r="B1416" s="135"/>
      <c r="C1416" s="136"/>
      <c r="D1416" s="26"/>
      <c r="E1416" s="137"/>
      <c r="F1416" s="26"/>
      <c r="G1416" s="26"/>
      <c r="H1416" s="26"/>
      <c r="I1416" s="26"/>
      <c r="J1416" s="26"/>
      <c r="K1416" s="26"/>
      <c r="L1416" s="18"/>
      <c r="M1416" s="18"/>
      <c r="N1416" s="18"/>
      <c r="O1416" s="18"/>
      <c r="P1416" s="18"/>
      <c r="Q1416" s="18"/>
      <c r="R1416" s="18"/>
      <c r="S1416" s="18"/>
      <c r="T1416" s="301"/>
      <c r="U1416" s="301"/>
      <c r="V1416" s="301"/>
      <c r="W1416" s="18"/>
      <c r="X1416" s="18"/>
      <c r="Y1416" s="18"/>
      <c r="Z1416" s="18"/>
    </row>
    <row r="1417" spans="1:26" ht="16.5" customHeight="1" x14ac:dyDescent="0.35">
      <c r="A1417" s="134"/>
      <c r="B1417" s="135"/>
      <c r="C1417" s="136"/>
      <c r="D1417" s="26"/>
      <c r="E1417" s="137"/>
      <c r="F1417" s="26"/>
      <c r="G1417" s="26"/>
      <c r="H1417" s="26"/>
      <c r="I1417" s="26"/>
      <c r="J1417" s="26"/>
      <c r="K1417" s="26"/>
      <c r="L1417" s="18"/>
      <c r="M1417" s="18"/>
      <c r="N1417" s="18"/>
      <c r="O1417" s="18"/>
      <c r="P1417" s="18"/>
      <c r="Q1417" s="18"/>
      <c r="R1417" s="18"/>
      <c r="S1417" s="18"/>
      <c r="T1417" s="284"/>
      <c r="U1417" s="284"/>
      <c r="V1417" s="284"/>
      <c r="W1417" s="18"/>
      <c r="X1417" s="18"/>
      <c r="Y1417" s="18"/>
      <c r="Z1417" s="18"/>
    </row>
    <row r="1418" spans="1:26" ht="16.5" customHeight="1" x14ac:dyDescent="0.35">
      <c r="A1418" s="134"/>
      <c r="B1418" s="135"/>
      <c r="C1418" s="136"/>
      <c r="D1418" s="26"/>
      <c r="E1418" s="137"/>
      <c r="F1418" s="26"/>
      <c r="G1418" s="26"/>
      <c r="H1418" s="26"/>
      <c r="I1418" s="26"/>
      <c r="J1418" s="26"/>
      <c r="K1418" s="26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</row>
    <row r="1419" spans="1:26" ht="16.5" customHeight="1" x14ac:dyDescent="0.35">
      <c r="A1419" s="134"/>
      <c r="B1419" s="135"/>
      <c r="C1419" s="136"/>
      <c r="D1419" s="26"/>
      <c r="E1419" s="137"/>
      <c r="F1419" s="26"/>
      <c r="G1419" s="26"/>
      <c r="H1419" s="26"/>
      <c r="I1419" s="26"/>
      <c r="J1419" s="26"/>
      <c r="K1419" s="26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</row>
    <row r="1420" spans="1:26" ht="16.5" customHeight="1" x14ac:dyDescent="0.35">
      <c r="A1420" s="134"/>
      <c r="B1420" s="135"/>
      <c r="C1420" s="136"/>
      <c r="D1420" s="26"/>
      <c r="E1420" s="137"/>
      <c r="F1420" s="26"/>
      <c r="G1420" s="26"/>
      <c r="H1420" s="26"/>
      <c r="I1420" s="26"/>
      <c r="J1420" s="26"/>
      <c r="K1420" s="26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 spans="1:26" ht="16.5" customHeight="1" x14ac:dyDescent="0.35">
      <c r="A1421" s="134"/>
      <c r="B1421" s="135"/>
      <c r="C1421" s="136"/>
      <c r="D1421" s="26"/>
      <c r="E1421" s="137"/>
      <c r="F1421" s="26"/>
      <c r="G1421" s="26"/>
      <c r="H1421" s="26"/>
      <c r="I1421" s="26"/>
      <c r="J1421" s="26"/>
      <c r="K1421" s="26"/>
      <c r="L1421" s="18"/>
      <c r="M1421" s="18"/>
      <c r="N1421" s="18"/>
      <c r="O1421" s="18"/>
      <c r="P1421" s="18"/>
      <c r="Q1421" s="18"/>
      <c r="R1421" s="18"/>
      <c r="S1421" s="18"/>
      <c r="T1421" s="301"/>
      <c r="U1421" s="301"/>
      <c r="V1421" s="301"/>
      <c r="W1421" s="18"/>
      <c r="X1421" s="18"/>
      <c r="Y1421" s="18"/>
      <c r="Z1421" s="18"/>
    </row>
    <row r="1422" spans="1:26" ht="16.5" customHeight="1" x14ac:dyDescent="0.35">
      <c r="A1422" s="134"/>
      <c r="B1422" s="135"/>
      <c r="C1422" s="136"/>
      <c r="D1422" s="26"/>
      <c r="E1422" s="137"/>
      <c r="F1422" s="26"/>
      <c r="G1422" s="26"/>
      <c r="H1422" s="26"/>
      <c r="I1422" s="26"/>
      <c r="J1422" s="26"/>
      <c r="K1422" s="26"/>
      <c r="L1422" s="18"/>
      <c r="M1422" s="18"/>
      <c r="N1422" s="18"/>
      <c r="O1422" s="18"/>
      <c r="P1422" s="18"/>
      <c r="Q1422" s="18"/>
      <c r="R1422" s="18"/>
      <c r="S1422" s="18"/>
      <c r="T1422" s="284"/>
      <c r="U1422" s="284"/>
      <c r="V1422" s="284"/>
      <c r="W1422" s="18"/>
      <c r="X1422" s="18"/>
      <c r="Y1422" s="18"/>
      <c r="Z1422" s="18"/>
    </row>
    <row r="1423" spans="1:26" ht="16.5" customHeight="1" x14ac:dyDescent="0.35">
      <c r="A1423" s="134"/>
      <c r="B1423" s="135"/>
      <c r="C1423" s="136"/>
      <c r="D1423" s="26"/>
      <c r="E1423" s="137"/>
      <c r="F1423" s="26"/>
      <c r="G1423" s="26"/>
      <c r="H1423" s="26"/>
      <c r="I1423" s="26"/>
      <c r="J1423" s="26"/>
      <c r="K1423" s="26"/>
      <c r="L1423" s="18"/>
      <c r="M1423" s="18"/>
      <c r="N1423" s="18"/>
      <c r="O1423" s="18"/>
      <c r="P1423" s="18"/>
      <c r="Q1423" s="18"/>
      <c r="R1423" s="18"/>
      <c r="S1423" s="18"/>
      <c r="T1423" s="301"/>
      <c r="U1423" s="301"/>
      <c r="V1423" s="301"/>
      <c r="W1423" s="18"/>
      <c r="X1423" s="18"/>
      <c r="Y1423" s="18"/>
      <c r="Z1423" s="18"/>
    </row>
    <row r="1424" spans="1:26" ht="16.5" customHeight="1" x14ac:dyDescent="0.35">
      <c r="A1424" s="134"/>
      <c r="B1424" s="135"/>
      <c r="C1424" s="136"/>
      <c r="D1424" s="26"/>
      <c r="E1424" s="137"/>
      <c r="F1424" s="26"/>
      <c r="G1424" s="26"/>
      <c r="H1424" s="26"/>
      <c r="I1424" s="26"/>
      <c r="J1424" s="26"/>
      <c r="K1424" s="26"/>
      <c r="L1424" s="18"/>
      <c r="M1424" s="18"/>
      <c r="N1424" s="18"/>
      <c r="O1424" s="18"/>
      <c r="P1424" s="18"/>
      <c r="Q1424" s="18"/>
      <c r="R1424" s="18"/>
      <c r="S1424" s="18"/>
      <c r="T1424" s="284"/>
      <c r="U1424" s="284"/>
      <c r="V1424" s="284"/>
      <c r="W1424" s="18"/>
      <c r="X1424" s="18"/>
      <c r="Y1424" s="18"/>
      <c r="Z1424" s="18"/>
    </row>
    <row r="1425" spans="1:26" ht="16.5" customHeight="1" x14ac:dyDescent="0.35">
      <c r="A1425" s="134"/>
      <c r="B1425" s="135"/>
      <c r="C1425" s="136"/>
      <c r="D1425" s="26"/>
      <c r="E1425" s="137"/>
      <c r="F1425" s="26"/>
      <c r="G1425" s="26"/>
      <c r="H1425" s="26"/>
      <c r="I1425" s="26"/>
      <c r="J1425" s="26"/>
      <c r="K1425" s="26"/>
      <c r="L1425" s="18"/>
      <c r="M1425" s="18"/>
      <c r="N1425" s="18"/>
      <c r="O1425" s="18"/>
      <c r="P1425" s="18"/>
      <c r="Q1425" s="18"/>
      <c r="R1425" s="18"/>
      <c r="S1425" s="18"/>
      <c r="T1425" s="301"/>
      <c r="U1425" s="301"/>
      <c r="V1425" s="301"/>
      <c r="W1425" s="18"/>
      <c r="X1425" s="18"/>
      <c r="Y1425" s="18"/>
      <c r="Z1425" s="18"/>
    </row>
    <row r="1426" spans="1:26" ht="16.5" customHeight="1" x14ac:dyDescent="0.35">
      <c r="A1426" s="134"/>
      <c r="B1426" s="135"/>
      <c r="C1426" s="136"/>
      <c r="D1426" s="26"/>
      <c r="E1426" s="137"/>
      <c r="F1426" s="26"/>
      <c r="G1426" s="26"/>
      <c r="H1426" s="26"/>
      <c r="I1426" s="26"/>
      <c r="J1426" s="26"/>
      <c r="K1426" s="26"/>
      <c r="L1426" s="18"/>
      <c r="M1426" s="18"/>
      <c r="N1426" s="18"/>
      <c r="O1426" s="18"/>
      <c r="P1426" s="18"/>
      <c r="Q1426" s="18"/>
      <c r="R1426" s="18"/>
      <c r="S1426" s="18"/>
      <c r="T1426" s="284"/>
      <c r="U1426" s="284"/>
      <c r="V1426" s="284"/>
      <c r="W1426" s="18"/>
      <c r="X1426" s="18"/>
      <c r="Y1426" s="18"/>
      <c r="Z1426" s="18"/>
    </row>
    <row r="1427" spans="1:26" ht="16.5" customHeight="1" x14ac:dyDescent="0.35">
      <c r="A1427" s="134"/>
      <c r="B1427" s="135"/>
      <c r="C1427" s="136"/>
      <c r="D1427" s="26"/>
      <c r="E1427" s="137"/>
      <c r="F1427" s="26"/>
      <c r="G1427" s="26"/>
      <c r="H1427" s="26"/>
      <c r="I1427" s="26"/>
      <c r="J1427" s="26"/>
      <c r="K1427" s="26"/>
      <c r="L1427" s="18"/>
      <c r="M1427" s="18"/>
      <c r="N1427" s="18"/>
      <c r="O1427" s="18"/>
      <c r="P1427" s="18"/>
      <c r="Q1427" s="18"/>
      <c r="R1427" s="18"/>
      <c r="S1427" s="18"/>
      <c r="T1427" s="301"/>
      <c r="U1427" s="301"/>
      <c r="V1427" s="301"/>
      <c r="W1427" s="18"/>
      <c r="X1427" s="18"/>
      <c r="Y1427" s="18"/>
      <c r="Z1427" s="18"/>
    </row>
    <row r="1428" spans="1:26" ht="16.5" customHeight="1" x14ac:dyDescent="0.35">
      <c r="A1428" s="134"/>
      <c r="B1428" s="135"/>
      <c r="C1428" s="136"/>
      <c r="D1428" s="26"/>
      <c r="E1428" s="137"/>
      <c r="F1428" s="26"/>
      <c r="G1428" s="26"/>
      <c r="H1428" s="26"/>
      <c r="I1428" s="26"/>
      <c r="J1428" s="26"/>
      <c r="K1428" s="26"/>
      <c r="L1428" s="18"/>
      <c r="M1428" s="18"/>
      <c r="N1428" s="18"/>
      <c r="O1428" s="18"/>
      <c r="P1428" s="18"/>
      <c r="Q1428" s="18"/>
      <c r="R1428" s="18"/>
      <c r="S1428" s="18"/>
      <c r="T1428" s="284"/>
      <c r="U1428" s="284"/>
      <c r="V1428" s="284"/>
      <c r="W1428" s="18"/>
      <c r="X1428" s="18"/>
      <c r="Y1428" s="18"/>
      <c r="Z1428" s="18"/>
    </row>
    <row r="1429" spans="1:26" ht="16.5" customHeight="1" x14ac:dyDescent="0.35">
      <c r="A1429" s="134"/>
      <c r="B1429" s="135"/>
      <c r="C1429" s="136"/>
      <c r="D1429" s="26"/>
      <c r="E1429" s="137"/>
      <c r="F1429" s="26"/>
      <c r="G1429" s="26"/>
      <c r="H1429" s="26"/>
      <c r="I1429" s="26"/>
      <c r="J1429" s="26"/>
      <c r="K1429" s="26"/>
      <c r="L1429" s="18"/>
      <c r="M1429" s="18"/>
      <c r="N1429" s="18"/>
      <c r="O1429" s="18"/>
      <c r="P1429" s="18"/>
      <c r="Q1429" s="18"/>
      <c r="R1429" s="18"/>
      <c r="S1429" s="18"/>
      <c r="T1429" s="301"/>
      <c r="U1429" s="301"/>
      <c r="V1429" s="301"/>
      <c r="W1429" s="18"/>
      <c r="X1429" s="18"/>
      <c r="Y1429" s="18"/>
      <c r="Z1429" s="18"/>
    </row>
    <row r="1430" spans="1:26" ht="16.5" customHeight="1" x14ac:dyDescent="0.35">
      <c r="A1430" s="134"/>
      <c r="B1430" s="135"/>
      <c r="C1430" s="136"/>
      <c r="D1430" s="26"/>
      <c r="E1430" s="137"/>
      <c r="F1430" s="26"/>
      <c r="G1430" s="26"/>
      <c r="H1430" s="26"/>
      <c r="I1430" s="26"/>
      <c r="J1430" s="26"/>
      <c r="K1430" s="26"/>
      <c r="L1430" s="18"/>
      <c r="M1430" s="18"/>
      <c r="N1430" s="18"/>
      <c r="O1430" s="18"/>
      <c r="P1430" s="18"/>
      <c r="Q1430" s="18"/>
      <c r="R1430" s="18"/>
      <c r="S1430" s="18"/>
      <c r="T1430" s="284"/>
      <c r="U1430" s="284"/>
      <c r="V1430" s="284"/>
      <c r="W1430" s="18"/>
      <c r="X1430" s="18"/>
      <c r="Y1430" s="18"/>
      <c r="Z1430" s="18"/>
    </row>
    <row r="1431" spans="1:26" ht="16.5" customHeight="1" x14ac:dyDescent="0.35">
      <c r="A1431" s="134"/>
      <c r="B1431" s="135"/>
      <c r="C1431" s="136"/>
      <c r="D1431" s="26"/>
      <c r="E1431" s="137"/>
      <c r="F1431" s="26"/>
      <c r="G1431" s="26"/>
      <c r="H1431" s="26"/>
      <c r="I1431" s="26"/>
      <c r="J1431" s="26"/>
      <c r="K1431" s="26"/>
      <c r="L1431" s="18"/>
      <c r="M1431" s="18"/>
      <c r="N1431" s="18"/>
      <c r="O1431" s="18"/>
      <c r="P1431" s="18"/>
      <c r="Q1431" s="18"/>
      <c r="R1431" s="18"/>
      <c r="S1431" s="18"/>
      <c r="T1431" s="301"/>
      <c r="U1431" s="301"/>
      <c r="V1431" s="301"/>
      <c r="W1431" s="18"/>
      <c r="X1431" s="18"/>
      <c r="Y1431" s="18"/>
      <c r="Z1431" s="18"/>
    </row>
    <row r="1432" spans="1:26" ht="16.5" customHeight="1" x14ac:dyDescent="0.35">
      <c r="A1432" s="134"/>
      <c r="B1432" s="135"/>
      <c r="C1432" s="136"/>
      <c r="D1432" s="26"/>
      <c r="E1432" s="137"/>
      <c r="F1432" s="26"/>
      <c r="G1432" s="26"/>
      <c r="H1432" s="26"/>
      <c r="I1432" s="26"/>
      <c r="J1432" s="26"/>
      <c r="K1432" s="26"/>
      <c r="L1432" s="18"/>
      <c r="M1432" s="18"/>
      <c r="N1432" s="18"/>
      <c r="O1432" s="18"/>
      <c r="P1432" s="18"/>
      <c r="Q1432" s="18"/>
      <c r="R1432" s="18"/>
      <c r="S1432" s="18"/>
      <c r="T1432" s="284"/>
      <c r="U1432" s="284"/>
      <c r="V1432" s="284"/>
      <c r="W1432" s="18"/>
      <c r="X1432" s="18"/>
      <c r="Y1432" s="18"/>
      <c r="Z1432" s="18"/>
    </row>
    <row r="1433" spans="1:26" ht="16.5" customHeight="1" x14ac:dyDescent="0.35">
      <c r="A1433" s="134"/>
      <c r="B1433" s="135"/>
      <c r="C1433" s="136"/>
      <c r="D1433" s="26"/>
      <c r="E1433" s="137"/>
      <c r="F1433" s="26"/>
      <c r="G1433" s="26"/>
      <c r="H1433" s="26"/>
      <c r="I1433" s="26"/>
      <c r="J1433" s="26"/>
      <c r="K1433" s="26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</row>
    <row r="1434" spans="1:26" ht="16.5" customHeight="1" x14ac:dyDescent="0.35">
      <c r="A1434" s="134"/>
      <c r="B1434" s="135"/>
      <c r="C1434" s="136"/>
      <c r="D1434" s="26"/>
      <c r="E1434" s="137"/>
      <c r="F1434" s="26"/>
      <c r="G1434" s="26"/>
      <c r="H1434" s="26"/>
      <c r="I1434" s="26"/>
      <c r="J1434" s="26"/>
      <c r="K1434" s="26"/>
      <c r="L1434" s="18"/>
      <c r="M1434" s="18"/>
      <c r="N1434" s="18"/>
      <c r="O1434" s="18"/>
      <c r="P1434" s="18"/>
      <c r="Q1434" s="18"/>
      <c r="R1434" s="18"/>
      <c r="S1434" s="18"/>
      <c r="T1434" s="301"/>
      <c r="U1434" s="301"/>
      <c r="V1434" s="301"/>
      <c r="W1434" s="18"/>
      <c r="X1434" s="18"/>
      <c r="Y1434" s="18"/>
      <c r="Z1434" s="18"/>
    </row>
    <row r="1435" spans="1:26" ht="16.5" customHeight="1" x14ac:dyDescent="0.35">
      <c r="A1435" s="134"/>
      <c r="B1435" s="135"/>
      <c r="C1435" s="136"/>
      <c r="D1435" s="26"/>
      <c r="E1435" s="137"/>
      <c r="F1435" s="26"/>
      <c r="G1435" s="26"/>
      <c r="H1435" s="26"/>
      <c r="I1435" s="26"/>
      <c r="J1435" s="26"/>
      <c r="K1435" s="26"/>
      <c r="L1435" s="18"/>
      <c r="M1435" s="18"/>
      <c r="N1435" s="18"/>
      <c r="O1435" s="18"/>
      <c r="P1435" s="18"/>
      <c r="Q1435" s="18"/>
      <c r="R1435" s="18"/>
      <c r="S1435" s="18"/>
      <c r="T1435" s="284"/>
      <c r="U1435" s="284"/>
      <c r="V1435" s="284"/>
      <c r="W1435" s="18"/>
      <c r="X1435" s="18"/>
      <c r="Y1435" s="18"/>
      <c r="Z1435" s="18"/>
    </row>
    <row r="1436" spans="1:26" ht="16.5" customHeight="1" x14ac:dyDescent="0.35">
      <c r="A1436" s="134"/>
      <c r="B1436" s="135"/>
      <c r="C1436" s="136"/>
      <c r="D1436" s="26"/>
      <c r="E1436" s="137"/>
      <c r="F1436" s="26"/>
      <c r="G1436" s="26"/>
      <c r="H1436" s="26"/>
      <c r="I1436" s="26"/>
      <c r="J1436" s="26"/>
      <c r="K1436" s="26"/>
      <c r="L1436" s="18"/>
      <c r="M1436" s="18"/>
      <c r="N1436" s="18"/>
      <c r="O1436" s="18"/>
      <c r="P1436" s="18"/>
      <c r="Q1436" s="18"/>
      <c r="R1436" s="18"/>
      <c r="S1436" s="18"/>
      <c r="T1436" s="301"/>
      <c r="U1436" s="301"/>
      <c r="V1436" s="301"/>
      <c r="W1436" s="18"/>
      <c r="X1436" s="18"/>
      <c r="Y1436" s="18"/>
      <c r="Z1436" s="18"/>
    </row>
    <row r="1437" spans="1:26" ht="16.5" customHeight="1" x14ac:dyDescent="0.35">
      <c r="A1437" s="134"/>
      <c r="B1437" s="135"/>
      <c r="C1437" s="136"/>
      <c r="D1437" s="26"/>
      <c r="E1437" s="137"/>
      <c r="F1437" s="26"/>
      <c r="G1437" s="26"/>
      <c r="H1437" s="26"/>
      <c r="I1437" s="26"/>
      <c r="J1437" s="26"/>
      <c r="K1437" s="26"/>
      <c r="L1437" s="18"/>
      <c r="M1437" s="18"/>
      <c r="N1437" s="18"/>
      <c r="O1437" s="18"/>
      <c r="P1437" s="18"/>
      <c r="Q1437" s="18"/>
      <c r="R1437" s="18"/>
      <c r="S1437" s="18"/>
      <c r="T1437" s="284"/>
      <c r="U1437" s="284"/>
      <c r="V1437" s="284"/>
      <c r="W1437" s="18"/>
      <c r="X1437" s="18"/>
      <c r="Y1437" s="18"/>
      <c r="Z1437" s="18"/>
    </row>
    <row r="1438" spans="1:26" ht="16.5" customHeight="1" x14ac:dyDescent="0.35">
      <c r="A1438" s="134"/>
      <c r="B1438" s="135"/>
      <c r="C1438" s="136"/>
      <c r="D1438" s="26"/>
      <c r="E1438" s="137"/>
      <c r="F1438" s="26"/>
      <c r="G1438" s="26"/>
      <c r="H1438" s="26"/>
      <c r="I1438" s="26"/>
      <c r="J1438" s="26"/>
      <c r="K1438" s="26"/>
      <c r="L1438" s="18"/>
      <c r="M1438" s="18"/>
      <c r="N1438" s="18"/>
      <c r="O1438" s="18"/>
      <c r="P1438" s="18"/>
      <c r="Q1438" s="18"/>
      <c r="R1438" s="18"/>
      <c r="S1438" s="18"/>
      <c r="T1438" s="301"/>
      <c r="U1438" s="301"/>
      <c r="V1438" s="301"/>
      <c r="W1438" s="18"/>
      <c r="X1438" s="18"/>
      <c r="Y1438" s="18"/>
      <c r="Z1438" s="18"/>
    </row>
    <row r="1439" spans="1:26" ht="16.5" customHeight="1" x14ac:dyDescent="0.35">
      <c r="A1439" s="134"/>
      <c r="B1439" s="135"/>
      <c r="C1439" s="136"/>
      <c r="D1439" s="26"/>
      <c r="E1439" s="137"/>
      <c r="F1439" s="26"/>
      <c r="G1439" s="26"/>
      <c r="H1439" s="26"/>
      <c r="I1439" s="26"/>
      <c r="J1439" s="26"/>
      <c r="K1439" s="26"/>
      <c r="L1439" s="18"/>
      <c r="M1439" s="18"/>
      <c r="N1439" s="18"/>
      <c r="O1439" s="18"/>
      <c r="P1439" s="18"/>
      <c r="Q1439" s="18"/>
      <c r="R1439" s="18"/>
      <c r="S1439" s="18"/>
      <c r="T1439" s="284"/>
      <c r="U1439" s="284"/>
      <c r="V1439" s="284"/>
      <c r="W1439" s="18"/>
      <c r="X1439" s="18"/>
      <c r="Y1439" s="18"/>
      <c r="Z1439" s="18"/>
    </row>
    <row r="1440" spans="1:26" ht="16.5" customHeight="1" x14ac:dyDescent="0.35">
      <c r="A1440" s="134"/>
      <c r="B1440" s="135"/>
      <c r="C1440" s="136"/>
      <c r="D1440" s="26"/>
      <c r="E1440" s="137"/>
      <c r="F1440" s="26"/>
      <c r="G1440" s="26"/>
      <c r="H1440" s="26"/>
      <c r="I1440" s="26"/>
      <c r="J1440" s="26"/>
      <c r="K1440" s="26"/>
      <c r="L1440" s="18"/>
      <c r="M1440" s="18"/>
      <c r="N1440" s="18"/>
      <c r="O1440" s="18"/>
      <c r="P1440" s="18"/>
      <c r="Q1440" s="18"/>
      <c r="R1440" s="18"/>
      <c r="S1440" s="18"/>
      <c r="T1440" s="301"/>
      <c r="U1440" s="301"/>
      <c r="V1440" s="301"/>
      <c r="W1440" s="18"/>
      <c r="X1440" s="18"/>
      <c r="Y1440" s="18"/>
      <c r="Z1440" s="18"/>
    </row>
    <row r="1441" spans="1:26" ht="16.5" customHeight="1" x14ac:dyDescent="0.35">
      <c r="A1441" s="134"/>
      <c r="B1441" s="135"/>
      <c r="C1441" s="136"/>
      <c r="D1441" s="26"/>
      <c r="E1441" s="137"/>
      <c r="F1441" s="26"/>
      <c r="G1441" s="26"/>
      <c r="H1441" s="26"/>
      <c r="I1441" s="26"/>
      <c r="J1441" s="26"/>
      <c r="K1441" s="26"/>
      <c r="L1441" s="18"/>
      <c r="M1441" s="18"/>
      <c r="N1441" s="18"/>
      <c r="O1441" s="18"/>
      <c r="P1441" s="18"/>
      <c r="Q1441" s="18"/>
      <c r="R1441" s="18"/>
      <c r="S1441" s="18"/>
      <c r="T1441" s="284"/>
      <c r="U1441" s="284"/>
      <c r="V1441" s="284"/>
      <c r="W1441" s="18"/>
      <c r="X1441" s="18"/>
      <c r="Y1441" s="18"/>
      <c r="Z1441" s="18"/>
    </row>
    <row r="1442" spans="1:26" ht="16.5" customHeight="1" x14ac:dyDescent="0.35">
      <c r="A1442" s="134"/>
      <c r="B1442" s="135"/>
      <c r="C1442" s="136"/>
      <c r="D1442" s="26"/>
      <c r="E1442" s="137"/>
      <c r="F1442" s="26"/>
      <c r="G1442" s="26"/>
      <c r="H1442" s="26"/>
      <c r="I1442" s="26"/>
      <c r="J1442" s="26"/>
      <c r="K1442" s="26"/>
      <c r="L1442" s="18"/>
      <c r="M1442" s="18"/>
      <c r="N1442" s="18"/>
      <c r="O1442" s="18"/>
      <c r="P1442" s="18"/>
      <c r="Q1442" s="18"/>
      <c r="R1442" s="18"/>
      <c r="S1442" s="18"/>
      <c r="T1442" s="301"/>
      <c r="U1442" s="301"/>
      <c r="V1442" s="301"/>
      <c r="W1442" s="18"/>
      <c r="X1442" s="18"/>
      <c r="Y1442" s="18"/>
      <c r="Z1442" s="18"/>
    </row>
    <row r="1443" spans="1:26" ht="16.5" customHeight="1" x14ac:dyDescent="0.35">
      <c r="A1443" s="134"/>
      <c r="B1443" s="135"/>
      <c r="C1443" s="136"/>
      <c r="D1443" s="26"/>
      <c r="E1443" s="137"/>
      <c r="F1443" s="26"/>
      <c r="G1443" s="26"/>
      <c r="H1443" s="26"/>
      <c r="I1443" s="26"/>
      <c r="J1443" s="26"/>
      <c r="K1443" s="26"/>
      <c r="L1443" s="18"/>
      <c r="M1443" s="18"/>
      <c r="N1443" s="18"/>
      <c r="O1443" s="18"/>
      <c r="P1443" s="18"/>
      <c r="Q1443" s="18"/>
      <c r="R1443" s="18"/>
      <c r="S1443" s="18"/>
      <c r="T1443" s="284"/>
      <c r="U1443" s="284"/>
      <c r="V1443" s="284"/>
      <c r="W1443" s="18"/>
      <c r="X1443" s="18"/>
      <c r="Y1443" s="18"/>
      <c r="Z1443" s="18"/>
    </row>
    <row r="1444" spans="1:26" ht="16.5" customHeight="1" x14ac:dyDescent="0.35">
      <c r="A1444" s="134"/>
      <c r="B1444" s="135"/>
      <c r="C1444" s="136"/>
      <c r="D1444" s="26"/>
      <c r="E1444" s="137"/>
      <c r="F1444" s="26"/>
      <c r="G1444" s="26"/>
      <c r="H1444" s="26"/>
      <c r="I1444" s="26"/>
      <c r="J1444" s="26"/>
      <c r="K1444" s="26"/>
      <c r="L1444" s="18"/>
      <c r="M1444" s="18"/>
      <c r="N1444" s="18"/>
      <c r="O1444" s="18"/>
      <c r="P1444" s="18"/>
      <c r="Q1444" s="18"/>
      <c r="R1444" s="18"/>
      <c r="S1444" s="18"/>
      <c r="T1444" s="301"/>
      <c r="U1444" s="301"/>
      <c r="V1444" s="301"/>
      <c r="W1444" s="18"/>
      <c r="X1444" s="18"/>
      <c r="Y1444" s="18"/>
      <c r="Z1444" s="18"/>
    </row>
    <row r="1445" spans="1:26" ht="16.5" customHeight="1" x14ac:dyDescent="0.35">
      <c r="A1445" s="134"/>
      <c r="B1445" s="135"/>
      <c r="C1445" s="136"/>
      <c r="D1445" s="26"/>
      <c r="E1445" s="137"/>
      <c r="F1445" s="26"/>
      <c r="G1445" s="26"/>
      <c r="H1445" s="26"/>
      <c r="I1445" s="26"/>
      <c r="J1445" s="26"/>
      <c r="K1445" s="26"/>
      <c r="L1445" s="18"/>
      <c r="M1445" s="18"/>
      <c r="N1445" s="18"/>
      <c r="O1445" s="18"/>
      <c r="P1445" s="18"/>
      <c r="Q1445" s="18"/>
      <c r="R1445" s="18"/>
      <c r="S1445" s="18"/>
      <c r="T1445" s="284"/>
      <c r="U1445" s="284"/>
      <c r="V1445" s="284"/>
      <c r="W1445" s="18"/>
      <c r="X1445" s="18"/>
      <c r="Y1445" s="18"/>
      <c r="Z1445" s="18"/>
    </row>
    <row r="1446" spans="1:26" ht="16.5" customHeight="1" x14ac:dyDescent="0.35">
      <c r="A1446" s="134"/>
      <c r="B1446" s="135"/>
      <c r="C1446" s="136"/>
      <c r="D1446" s="26"/>
      <c r="E1446" s="137"/>
      <c r="F1446" s="26"/>
      <c r="G1446" s="26"/>
      <c r="H1446" s="26"/>
      <c r="I1446" s="26"/>
      <c r="J1446" s="26"/>
      <c r="K1446" s="26"/>
      <c r="L1446" s="18"/>
      <c r="M1446" s="18"/>
      <c r="N1446" s="18"/>
      <c r="O1446" s="18"/>
      <c r="P1446" s="18"/>
      <c r="Q1446" s="18"/>
      <c r="R1446" s="18"/>
      <c r="S1446" s="18"/>
      <c r="T1446" s="301"/>
      <c r="U1446" s="301"/>
      <c r="V1446" s="301"/>
      <c r="W1446" s="18"/>
      <c r="X1446" s="18"/>
      <c r="Y1446" s="18"/>
      <c r="Z1446" s="18"/>
    </row>
    <row r="1447" spans="1:26" ht="16.5" customHeight="1" x14ac:dyDescent="0.35">
      <c r="A1447" s="134"/>
      <c r="B1447" s="135"/>
      <c r="C1447" s="136"/>
      <c r="D1447" s="26"/>
      <c r="E1447" s="137"/>
      <c r="F1447" s="26"/>
      <c r="G1447" s="26"/>
      <c r="H1447" s="26"/>
      <c r="I1447" s="26"/>
      <c r="J1447" s="26"/>
      <c r="K1447" s="26"/>
      <c r="L1447" s="18"/>
      <c r="M1447" s="18"/>
      <c r="N1447" s="18"/>
      <c r="O1447" s="18"/>
      <c r="P1447" s="18"/>
      <c r="Q1447" s="18"/>
      <c r="R1447" s="18"/>
      <c r="S1447" s="18"/>
      <c r="T1447" s="284"/>
      <c r="U1447" s="284"/>
      <c r="V1447" s="284"/>
      <c r="W1447" s="18"/>
      <c r="X1447" s="18"/>
      <c r="Y1447" s="18"/>
      <c r="Z1447" s="18"/>
    </row>
    <row r="1448" spans="1:26" ht="16.5" customHeight="1" x14ac:dyDescent="0.35">
      <c r="A1448" s="134"/>
      <c r="B1448" s="135"/>
      <c r="C1448" s="136"/>
      <c r="D1448" s="26"/>
      <c r="E1448" s="137"/>
      <c r="F1448" s="26"/>
      <c r="G1448" s="26"/>
      <c r="H1448" s="26"/>
      <c r="I1448" s="26"/>
      <c r="J1448" s="26"/>
      <c r="K1448" s="26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 spans="1:26" ht="16.5" customHeight="1" x14ac:dyDescent="0.35">
      <c r="A1449" s="134"/>
      <c r="B1449" s="135"/>
      <c r="C1449" s="136"/>
      <c r="D1449" s="26"/>
      <c r="E1449" s="137"/>
      <c r="F1449" s="26"/>
      <c r="G1449" s="26"/>
      <c r="H1449" s="26"/>
      <c r="I1449" s="26"/>
      <c r="J1449" s="26"/>
      <c r="K1449" s="26"/>
      <c r="L1449" s="18"/>
      <c r="M1449" s="18"/>
      <c r="N1449" s="18"/>
      <c r="O1449" s="18"/>
      <c r="P1449" s="18"/>
      <c r="Q1449" s="18"/>
      <c r="R1449" s="18"/>
      <c r="S1449" s="18"/>
      <c r="T1449" s="301"/>
      <c r="U1449" s="301"/>
      <c r="V1449" s="301"/>
      <c r="W1449" s="18"/>
      <c r="X1449" s="18"/>
      <c r="Y1449" s="18"/>
      <c r="Z1449" s="18"/>
    </row>
    <row r="1450" spans="1:26" ht="16.5" customHeight="1" x14ac:dyDescent="0.35">
      <c r="A1450" s="134"/>
      <c r="B1450" s="135"/>
      <c r="C1450" s="136"/>
      <c r="D1450" s="26"/>
      <c r="E1450" s="137"/>
      <c r="F1450" s="26"/>
      <c r="G1450" s="26"/>
      <c r="H1450" s="26"/>
      <c r="I1450" s="26"/>
      <c r="J1450" s="26"/>
      <c r="K1450" s="26"/>
      <c r="L1450" s="18"/>
      <c r="M1450" s="18"/>
      <c r="N1450" s="18"/>
      <c r="O1450" s="18"/>
      <c r="P1450" s="18"/>
      <c r="Q1450" s="18"/>
      <c r="R1450" s="18"/>
      <c r="S1450" s="18"/>
      <c r="T1450" s="284"/>
      <c r="U1450" s="284"/>
      <c r="V1450" s="284"/>
      <c r="W1450" s="18"/>
      <c r="X1450" s="18"/>
      <c r="Y1450" s="18"/>
      <c r="Z1450" s="18"/>
    </row>
    <row r="1451" spans="1:26" ht="16.5" customHeight="1" x14ac:dyDescent="0.35">
      <c r="A1451" s="134"/>
      <c r="B1451" s="135"/>
      <c r="C1451" s="136"/>
      <c r="D1451" s="26"/>
      <c r="E1451" s="137"/>
      <c r="F1451" s="26"/>
      <c r="G1451" s="26"/>
      <c r="H1451" s="26"/>
      <c r="I1451" s="26"/>
      <c r="J1451" s="26"/>
      <c r="K1451" s="26"/>
      <c r="L1451" s="18"/>
      <c r="M1451" s="18"/>
      <c r="N1451" s="18"/>
      <c r="O1451" s="18"/>
      <c r="P1451" s="18"/>
      <c r="Q1451" s="18"/>
      <c r="R1451" s="18"/>
      <c r="S1451" s="18"/>
      <c r="T1451" s="301"/>
      <c r="U1451" s="18"/>
      <c r="V1451" s="301"/>
      <c r="W1451" s="18"/>
      <c r="X1451" s="18"/>
      <c r="Y1451" s="18"/>
      <c r="Z1451" s="18"/>
    </row>
    <row r="1452" spans="1:26" ht="16.5" customHeight="1" x14ac:dyDescent="0.35">
      <c r="A1452" s="134"/>
      <c r="B1452" s="135"/>
      <c r="C1452" s="136"/>
      <c r="D1452" s="26"/>
      <c r="E1452" s="137"/>
      <c r="F1452" s="26"/>
      <c r="G1452" s="26"/>
      <c r="H1452" s="26"/>
      <c r="I1452" s="26"/>
      <c r="J1452" s="26"/>
      <c r="K1452" s="26"/>
      <c r="L1452" s="18"/>
      <c r="M1452" s="18"/>
      <c r="N1452" s="18"/>
      <c r="O1452" s="18"/>
      <c r="P1452" s="18"/>
      <c r="Q1452" s="18"/>
      <c r="R1452" s="18"/>
      <c r="S1452" s="18"/>
      <c r="T1452" s="284"/>
      <c r="U1452" s="18"/>
      <c r="V1452" s="284"/>
      <c r="W1452" s="18"/>
      <c r="X1452" s="18"/>
      <c r="Y1452" s="18"/>
      <c r="Z1452" s="18"/>
    </row>
    <row r="1453" spans="1:26" ht="16.5" customHeight="1" x14ac:dyDescent="0.35">
      <c r="A1453" s="134"/>
      <c r="B1453" s="135"/>
      <c r="C1453" s="136"/>
      <c r="D1453" s="26"/>
      <c r="E1453" s="137"/>
      <c r="F1453" s="26"/>
      <c r="G1453" s="26"/>
      <c r="H1453" s="26"/>
      <c r="I1453" s="26"/>
      <c r="J1453" s="26"/>
      <c r="K1453" s="26"/>
      <c r="L1453" s="18"/>
      <c r="M1453" s="18"/>
      <c r="N1453" s="18"/>
      <c r="O1453" s="18"/>
      <c r="P1453" s="18"/>
      <c r="Q1453" s="18"/>
      <c r="R1453" s="18"/>
      <c r="S1453" s="18"/>
      <c r="T1453" s="301"/>
      <c r="U1453" s="301"/>
      <c r="V1453" s="301"/>
      <c r="W1453" s="18"/>
      <c r="X1453" s="18"/>
      <c r="Y1453" s="18"/>
      <c r="Z1453" s="18"/>
    </row>
    <row r="1454" spans="1:26" ht="16.5" customHeight="1" x14ac:dyDescent="0.35">
      <c r="A1454" s="134"/>
      <c r="B1454" s="135"/>
      <c r="C1454" s="136"/>
      <c r="D1454" s="26"/>
      <c r="E1454" s="137"/>
      <c r="F1454" s="26"/>
      <c r="G1454" s="26"/>
      <c r="H1454" s="26"/>
      <c r="I1454" s="26"/>
      <c r="J1454" s="26"/>
      <c r="K1454" s="26"/>
      <c r="L1454" s="18"/>
      <c r="M1454" s="18"/>
      <c r="N1454" s="18"/>
      <c r="O1454" s="18"/>
      <c r="P1454" s="18"/>
      <c r="Q1454" s="18"/>
      <c r="R1454" s="18"/>
      <c r="S1454" s="18"/>
      <c r="T1454" s="284"/>
      <c r="U1454" s="284"/>
      <c r="V1454" s="284"/>
      <c r="W1454" s="18"/>
      <c r="X1454" s="18"/>
      <c r="Y1454" s="18"/>
      <c r="Z1454" s="18"/>
    </row>
    <row r="1455" spans="1:26" ht="16.5" customHeight="1" x14ac:dyDescent="0.35">
      <c r="A1455" s="134"/>
      <c r="B1455" s="135"/>
      <c r="C1455" s="136"/>
      <c r="D1455" s="26"/>
      <c r="E1455" s="137"/>
      <c r="F1455" s="26"/>
      <c r="G1455" s="26"/>
      <c r="H1455" s="26"/>
      <c r="I1455" s="26"/>
      <c r="J1455" s="26"/>
      <c r="K1455" s="26"/>
      <c r="L1455" s="18"/>
      <c r="M1455" s="18"/>
      <c r="N1455" s="18"/>
      <c r="O1455" s="18"/>
      <c r="P1455" s="18"/>
      <c r="Q1455" s="18"/>
      <c r="R1455" s="18"/>
      <c r="S1455" s="18"/>
      <c r="T1455" s="301"/>
      <c r="U1455" s="301"/>
      <c r="V1455" s="301"/>
      <c r="W1455" s="18"/>
      <c r="X1455" s="18"/>
      <c r="Y1455" s="18"/>
      <c r="Z1455" s="18"/>
    </row>
    <row r="1456" spans="1:26" ht="16.5" customHeight="1" x14ac:dyDescent="0.35">
      <c r="A1456" s="134"/>
      <c r="B1456" s="135"/>
      <c r="C1456" s="136"/>
      <c r="D1456" s="26"/>
      <c r="E1456" s="137"/>
      <c r="F1456" s="26"/>
      <c r="G1456" s="26"/>
      <c r="H1456" s="26"/>
      <c r="I1456" s="26"/>
      <c r="J1456" s="26"/>
      <c r="K1456" s="26"/>
      <c r="L1456" s="18"/>
      <c r="M1456" s="18"/>
      <c r="N1456" s="18"/>
      <c r="O1456" s="18"/>
      <c r="P1456" s="18"/>
      <c r="Q1456" s="18"/>
      <c r="R1456" s="18"/>
      <c r="S1456" s="18"/>
      <c r="T1456" s="284"/>
      <c r="U1456" s="284"/>
      <c r="V1456" s="284"/>
      <c r="W1456" s="18"/>
      <c r="X1456" s="18"/>
      <c r="Y1456" s="18"/>
      <c r="Z1456" s="18"/>
    </row>
    <row r="1457" spans="1:26" ht="16.5" customHeight="1" x14ac:dyDescent="0.35">
      <c r="A1457" s="134"/>
      <c r="B1457" s="135"/>
      <c r="C1457" s="136"/>
      <c r="D1457" s="26"/>
      <c r="E1457" s="137"/>
      <c r="F1457" s="26"/>
      <c r="G1457" s="26"/>
      <c r="H1457" s="26"/>
      <c r="I1457" s="26"/>
      <c r="J1457" s="26"/>
      <c r="K1457" s="26"/>
      <c r="L1457" s="18"/>
      <c r="M1457" s="18"/>
      <c r="N1457" s="18"/>
      <c r="O1457" s="18"/>
      <c r="P1457" s="18"/>
      <c r="Q1457" s="18"/>
      <c r="R1457" s="18"/>
      <c r="S1457" s="18"/>
      <c r="T1457" s="301"/>
      <c r="U1457" s="301"/>
      <c r="V1457" s="301"/>
      <c r="W1457" s="18"/>
      <c r="X1457" s="18"/>
      <c r="Y1457" s="18"/>
      <c r="Z1457" s="18"/>
    </row>
    <row r="1458" spans="1:26" ht="16.5" customHeight="1" x14ac:dyDescent="0.35">
      <c r="A1458" s="134"/>
      <c r="B1458" s="135"/>
      <c r="C1458" s="136"/>
      <c r="D1458" s="26"/>
      <c r="E1458" s="137"/>
      <c r="F1458" s="26"/>
      <c r="G1458" s="26"/>
      <c r="H1458" s="26"/>
      <c r="I1458" s="26"/>
      <c r="J1458" s="26"/>
      <c r="K1458" s="26"/>
      <c r="L1458" s="18"/>
      <c r="M1458" s="18"/>
      <c r="N1458" s="18"/>
      <c r="O1458" s="18"/>
      <c r="P1458" s="18"/>
      <c r="Q1458" s="18"/>
      <c r="R1458" s="18"/>
      <c r="S1458" s="18"/>
      <c r="T1458" s="284"/>
      <c r="U1458" s="284"/>
      <c r="V1458" s="284"/>
      <c r="W1458" s="18"/>
      <c r="X1458" s="18"/>
      <c r="Y1458" s="18"/>
      <c r="Z1458" s="18"/>
    </row>
    <row r="1459" spans="1:26" ht="16.5" customHeight="1" x14ac:dyDescent="0.35">
      <c r="A1459" s="134"/>
      <c r="B1459" s="135"/>
      <c r="C1459" s="136"/>
      <c r="D1459" s="26"/>
      <c r="E1459" s="137"/>
      <c r="F1459" s="26"/>
      <c r="G1459" s="26"/>
      <c r="H1459" s="26"/>
      <c r="I1459" s="26"/>
      <c r="J1459" s="26"/>
      <c r="K1459" s="26"/>
      <c r="L1459" s="18"/>
      <c r="M1459" s="18"/>
      <c r="N1459" s="18"/>
      <c r="O1459" s="18"/>
      <c r="P1459" s="18"/>
      <c r="Q1459" s="18"/>
      <c r="R1459" s="18"/>
      <c r="S1459" s="18"/>
      <c r="T1459" s="301"/>
      <c r="U1459" s="301"/>
      <c r="V1459" s="301"/>
      <c r="W1459" s="18"/>
      <c r="X1459" s="18"/>
      <c r="Y1459" s="18"/>
      <c r="Z1459" s="18"/>
    </row>
    <row r="1460" spans="1:26" ht="16.5" customHeight="1" x14ac:dyDescent="0.35">
      <c r="A1460" s="134"/>
      <c r="B1460" s="135"/>
      <c r="C1460" s="136"/>
      <c r="D1460" s="26"/>
      <c r="E1460" s="137"/>
      <c r="F1460" s="26"/>
      <c r="G1460" s="26"/>
      <c r="H1460" s="26"/>
      <c r="I1460" s="26"/>
      <c r="J1460" s="26"/>
      <c r="K1460" s="26"/>
      <c r="L1460" s="18"/>
      <c r="M1460" s="18"/>
      <c r="N1460" s="18"/>
      <c r="O1460" s="18"/>
      <c r="P1460" s="18"/>
      <c r="Q1460" s="18"/>
      <c r="R1460" s="18"/>
      <c r="S1460" s="18"/>
      <c r="T1460" s="284"/>
      <c r="U1460" s="284"/>
      <c r="V1460" s="284"/>
      <c r="W1460" s="18"/>
      <c r="X1460" s="18"/>
      <c r="Y1460" s="18"/>
      <c r="Z1460" s="18"/>
    </row>
    <row r="1461" spans="1:26" ht="16.5" customHeight="1" x14ac:dyDescent="0.35">
      <c r="A1461" s="134"/>
      <c r="B1461" s="135"/>
      <c r="C1461" s="136"/>
      <c r="D1461" s="26"/>
      <c r="E1461" s="137"/>
      <c r="F1461" s="26"/>
      <c r="G1461" s="26"/>
      <c r="H1461" s="26"/>
      <c r="I1461" s="26"/>
      <c r="J1461" s="26"/>
      <c r="K1461" s="26"/>
      <c r="L1461" s="18"/>
      <c r="M1461" s="18"/>
      <c r="N1461" s="18"/>
      <c r="O1461" s="18"/>
      <c r="P1461" s="18"/>
      <c r="Q1461" s="18"/>
      <c r="R1461" s="18"/>
      <c r="S1461" s="18"/>
      <c r="T1461" s="301"/>
      <c r="U1461" s="301"/>
      <c r="V1461" s="301"/>
      <c r="W1461" s="18"/>
      <c r="X1461" s="18"/>
      <c r="Y1461" s="18"/>
      <c r="Z1461" s="18"/>
    </row>
    <row r="1462" spans="1:26" ht="16.5" customHeight="1" x14ac:dyDescent="0.35">
      <c r="A1462" s="134"/>
      <c r="B1462" s="135"/>
      <c r="C1462" s="136"/>
      <c r="D1462" s="26"/>
      <c r="E1462" s="137"/>
      <c r="F1462" s="26"/>
      <c r="G1462" s="26"/>
      <c r="H1462" s="26"/>
      <c r="I1462" s="26"/>
      <c r="J1462" s="26"/>
      <c r="K1462" s="26"/>
      <c r="L1462" s="18"/>
      <c r="M1462" s="18"/>
      <c r="N1462" s="18"/>
      <c r="O1462" s="18"/>
      <c r="P1462" s="18"/>
      <c r="Q1462" s="18"/>
      <c r="R1462" s="18"/>
      <c r="S1462" s="18"/>
      <c r="T1462" s="284"/>
      <c r="U1462" s="284"/>
      <c r="V1462" s="284"/>
      <c r="W1462" s="18"/>
      <c r="X1462" s="18"/>
      <c r="Y1462" s="18"/>
      <c r="Z1462" s="18"/>
    </row>
    <row r="1463" spans="1:26" ht="16.5" customHeight="1" x14ac:dyDescent="0.35">
      <c r="A1463" s="134"/>
      <c r="B1463" s="135"/>
      <c r="C1463" s="136"/>
      <c r="D1463" s="26"/>
      <c r="E1463" s="137"/>
      <c r="F1463" s="26"/>
      <c r="G1463" s="26"/>
      <c r="H1463" s="26"/>
      <c r="I1463" s="26"/>
      <c r="J1463" s="26"/>
      <c r="K1463" s="26"/>
      <c r="L1463" s="18"/>
      <c r="M1463" s="18"/>
      <c r="N1463" s="18"/>
      <c r="O1463" s="18"/>
      <c r="P1463" s="18"/>
      <c r="Q1463" s="18"/>
      <c r="R1463" s="18"/>
      <c r="S1463" s="18"/>
      <c r="T1463" s="301"/>
      <c r="U1463" s="301"/>
      <c r="V1463" s="301"/>
      <c r="W1463" s="18"/>
      <c r="X1463" s="18"/>
      <c r="Y1463" s="18"/>
      <c r="Z1463" s="18"/>
    </row>
    <row r="1464" spans="1:26" ht="16.5" customHeight="1" x14ac:dyDescent="0.35">
      <c r="A1464" s="134"/>
      <c r="B1464" s="135"/>
      <c r="C1464" s="136"/>
      <c r="D1464" s="26"/>
      <c r="E1464" s="137"/>
      <c r="F1464" s="26"/>
      <c r="G1464" s="26"/>
      <c r="H1464" s="26"/>
      <c r="I1464" s="26"/>
      <c r="J1464" s="26"/>
      <c r="K1464" s="26"/>
      <c r="L1464" s="18"/>
      <c r="M1464" s="18"/>
      <c r="N1464" s="18"/>
      <c r="O1464" s="18"/>
      <c r="P1464" s="18"/>
      <c r="Q1464" s="18"/>
      <c r="R1464" s="18"/>
      <c r="S1464" s="18"/>
      <c r="T1464" s="284"/>
      <c r="U1464" s="284"/>
      <c r="V1464" s="284"/>
      <c r="W1464" s="18"/>
      <c r="X1464" s="18"/>
      <c r="Y1464" s="18"/>
      <c r="Z1464" s="18"/>
    </row>
    <row r="1465" spans="1:26" ht="16.5" customHeight="1" x14ac:dyDescent="0.35">
      <c r="A1465" s="134"/>
      <c r="B1465" s="135"/>
      <c r="C1465" s="136"/>
      <c r="D1465" s="26"/>
      <c r="E1465" s="137"/>
      <c r="F1465" s="26"/>
      <c r="G1465" s="26"/>
      <c r="H1465" s="26"/>
      <c r="I1465" s="26"/>
      <c r="J1465" s="26"/>
      <c r="K1465" s="26"/>
      <c r="L1465" s="18"/>
      <c r="M1465" s="18"/>
      <c r="N1465" s="18"/>
      <c r="O1465" s="18"/>
      <c r="P1465" s="18"/>
      <c r="Q1465" s="18"/>
      <c r="R1465" s="18"/>
      <c r="S1465" s="18"/>
      <c r="T1465" s="301"/>
      <c r="U1465" s="301"/>
      <c r="V1465" s="301"/>
      <c r="W1465" s="18"/>
      <c r="X1465" s="18"/>
      <c r="Y1465" s="18"/>
      <c r="Z1465" s="18"/>
    </row>
    <row r="1466" spans="1:26" ht="16.5" customHeight="1" x14ac:dyDescent="0.35">
      <c r="A1466" s="134"/>
      <c r="B1466" s="135"/>
      <c r="C1466" s="136"/>
      <c r="D1466" s="26"/>
      <c r="E1466" s="137"/>
      <c r="F1466" s="26"/>
      <c r="G1466" s="26"/>
      <c r="H1466" s="26"/>
      <c r="I1466" s="26"/>
      <c r="J1466" s="26"/>
      <c r="K1466" s="26"/>
      <c r="L1466" s="18"/>
      <c r="M1466" s="18"/>
      <c r="N1466" s="18"/>
      <c r="O1466" s="18"/>
      <c r="P1466" s="18"/>
      <c r="Q1466" s="18"/>
      <c r="R1466" s="18"/>
      <c r="S1466" s="18"/>
      <c r="T1466" s="284"/>
      <c r="U1466" s="284"/>
      <c r="V1466" s="284"/>
      <c r="W1466" s="18"/>
      <c r="X1466" s="18"/>
      <c r="Y1466" s="18"/>
      <c r="Z1466" s="18"/>
    </row>
    <row r="1467" spans="1:26" ht="16.5" customHeight="1" x14ac:dyDescent="0.35">
      <c r="A1467" s="134"/>
      <c r="B1467" s="135"/>
      <c r="C1467" s="136"/>
      <c r="D1467" s="26"/>
      <c r="E1467" s="137"/>
      <c r="F1467" s="26"/>
      <c r="G1467" s="26"/>
      <c r="H1467" s="26"/>
      <c r="I1467" s="26"/>
      <c r="J1467" s="26"/>
      <c r="K1467" s="26"/>
      <c r="L1467" s="18"/>
      <c r="M1467" s="18"/>
      <c r="N1467" s="18"/>
      <c r="O1467" s="18"/>
      <c r="P1467" s="18"/>
      <c r="Q1467" s="18"/>
      <c r="R1467" s="18"/>
      <c r="S1467" s="18"/>
      <c r="T1467" s="301"/>
      <c r="U1467" s="301"/>
      <c r="V1467" s="301"/>
      <c r="W1467" s="18"/>
      <c r="X1467" s="18"/>
      <c r="Y1467" s="18"/>
      <c r="Z1467" s="18"/>
    </row>
    <row r="1468" spans="1:26" ht="16.5" customHeight="1" x14ac:dyDescent="0.35">
      <c r="A1468" s="134"/>
      <c r="B1468" s="135"/>
      <c r="C1468" s="136"/>
      <c r="D1468" s="26"/>
      <c r="E1468" s="137"/>
      <c r="F1468" s="26"/>
      <c r="G1468" s="26"/>
      <c r="H1468" s="26"/>
      <c r="I1468" s="26"/>
      <c r="J1468" s="26"/>
      <c r="K1468" s="26"/>
      <c r="L1468" s="18"/>
      <c r="M1468" s="18"/>
      <c r="N1468" s="18"/>
      <c r="O1468" s="18"/>
      <c r="P1468" s="18"/>
      <c r="Q1468" s="18"/>
      <c r="R1468" s="18"/>
      <c r="S1468" s="18"/>
      <c r="T1468" s="284"/>
      <c r="U1468" s="284"/>
      <c r="V1468" s="284"/>
      <c r="W1468" s="18"/>
      <c r="X1468" s="18"/>
      <c r="Y1468" s="18"/>
      <c r="Z1468" s="18"/>
    </row>
    <row r="1469" spans="1:26" ht="16.5" customHeight="1" x14ac:dyDescent="0.35">
      <c r="A1469" s="134"/>
      <c r="B1469" s="135"/>
      <c r="C1469" s="136"/>
      <c r="D1469" s="26"/>
      <c r="E1469" s="137"/>
      <c r="F1469" s="26"/>
      <c r="G1469" s="26"/>
      <c r="H1469" s="26"/>
      <c r="I1469" s="26"/>
      <c r="J1469" s="26"/>
      <c r="K1469" s="26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 spans="1:26" ht="16.5" customHeight="1" x14ac:dyDescent="0.35">
      <c r="A1470" s="134"/>
      <c r="B1470" s="135"/>
      <c r="C1470" s="136"/>
      <c r="D1470" s="26"/>
      <c r="E1470" s="137"/>
      <c r="F1470" s="26"/>
      <c r="G1470" s="26"/>
      <c r="H1470" s="26"/>
      <c r="I1470" s="26"/>
      <c r="J1470" s="26"/>
      <c r="K1470" s="26"/>
      <c r="L1470" s="18"/>
      <c r="M1470" s="18"/>
      <c r="N1470" s="18"/>
      <c r="O1470" s="18"/>
      <c r="P1470" s="18"/>
      <c r="Q1470" s="18"/>
      <c r="R1470" s="18"/>
      <c r="S1470" s="18"/>
      <c r="T1470" s="301"/>
      <c r="U1470" s="301"/>
      <c r="V1470" s="301"/>
      <c r="W1470" s="18"/>
      <c r="X1470" s="18"/>
      <c r="Y1470" s="18"/>
      <c r="Z1470" s="18"/>
    </row>
    <row r="1471" spans="1:26" ht="16.5" customHeight="1" x14ac:dyDescent="0.35">
      <c r="A1471" s="134"/>
      <c r="B1471" s="135"/>
      <c r="C1471" s="136"/>
      <c r="D1471" s="26"/>
      <c r="E1471" s="137"/>
      <c r="F1471" s="26"/>
      <c r="G1471" s="26"/>
      <c r="H1471" s="26"/>
      <c r="I1471" s="26"/>
      <c r="J1471" s="26"/>
      <c r="K1471" s="26"/>
      <c r="L1471" s="18"/>
      <c r="M1471" s="18"/>
      <c r="N1471" s="18"/>
      <c r="O1471" s="18"/>
      <c r="P1471" s="18"/>
      <c r="Q1471" s="18"/>
      <c r="R1471" s="18"/>
      <c r="S1471" s="18"/>
      <c r="T1471" s="284"/>
      <c r="U1471" s="284"/>
      <c r="V1471" s="284"/>
      <c r="W1471" s="18"/>
      <c r="X1471" s="18"/>
      <c r="Y1471" s="18"/>
      <c r="Z1471" s="18"/>
    </row>
    <row r="1472" spans="1:26" ht="16.5" customHeight="1" x14ac:dyDescent="0.35">
      <c r="A1472" s="134"/>
      <c r="B1472" s="135"/>
      <c r="C1472" s="136"/>
      <c r="D1472" s="26"/>
      <c r="E1472" s="137"/>
      <c r="F1472" s="26"/>
      <c r="G1472" s="26"/>
      <c r="H1472" s="26"/>
      <c r="I1472" s="26"/>
      <c r="J1472" s="26"/>
      <c r="K1472" s="26"/>
      <c r="L1472" s="18"/>
      <c r="M1472" s="18"/>
      <c r="N1472" s="18"/>
      <c r="O1472" s="18"/>
      <c r="P1472" s="18"/>
      <c r="Q1472" s="18"/>
      <c r="R1472" s="18"/>
      <c r="S1472" s="18"/>
      <c r="T1472" s="301"/>
      <c r="U1472" s="301"/>
      <c r="V1472" s="301"/>
      <c r="W1472" s="18"/>
      <c r="X1472" s="18"/>
      <c r="Y1472" s="18"/>
      <c r="Z1472" s="18"/>
    </row>
    <row r="1473" spans="1:26" ht="16.5" customHeight="1" x14ac:dyDescent="0.35">
      <c r="A1473" s="134"/>
      <c r="B1473" s="135"/>
      <c r="C1473" s="136"/>
      <c r="D1473" s="26"/>
      <c r="E1473" s="137"/>
      <c r="F1473" s="26"/>
      <c r="G1473" s="26"/>
      <c r="H1473" s="26"/>
      <c r="I1473" s="26"/>
      <c r="J1473" s="26"/>
      <c r="K1473" s="26"/>
      <c r="L1473" s="18"/>
      <c r="M1473" s="18"/>
      <c r="N1473" s="18"/>
      <c r="O1473" s="18"/>
      <c r="P1473" s="18"/>
      <c r="Q1473" s="18"/>
      <c r="R1473" s="18"/>
      <c r="S1473" s="18"/>
      <c r="T1473" s="284"/>
      <c r="U1473" s="284"/>
      <c r="V1473" s="284"/>
      <c r="W1473" s="18"/>
      <c r="X1473" s="18"/>
      <c r="Y1473" s="18"/>
      <c r="Z1473" s="18"/>
    </row>
    <row r="1474" spans="1:26" ht="16.5" customHeight="1" x14ac:dyDescent="0.35">
      <c r="A1474" s="134"/>
      <c r="B1474" s="135"/>
      <c r="C1474" s="136"/>
      <c r="D1474" s="26"/>
      <c r="E1474" s="137"/>
      <c r="F1474" s="26"/>
      <c r="G1474" s="26"/>
      <c r="H1474" s="26"/>
      <c r="I1474" s="26"/>
      <c r="J1474" s="26"/>
      <c r="K1474" s="26"/>
      <c r="L1474" s="18"/>
      <c r="M1474" s="18"/>
      <c r="N1474" s="18"/>
      <c r="O1474" s="18"/>
      <c r="P1474" s="18"/>
      <c r="Q1474" s="18"/>
      <c r="R1474" s="18"/>
      <c r="S1474" s="18"/>
      <c r="T1474" s="301"/>
      <c r="U1474" s="301"/>
      <c r="V1474" s="301"/>
      <c r="W1474" s="18"/>
      <c r="X1474" s="18"/>
      <c r="Y1474" s="18"/>
      <c r="Z1474" s="18"/>
    </row>
    <row r="1475" spans="1:26" ht="16.5" customHeight="1" x14ac:dyDescent="0.35">
      <c r="A1475" s="134"/>
      <c r="B1475" s="135"/>
      <c r="C1475" s="136"/>
      <c r="D1475" s="26"/>
      <c r="E1475" s="137"/>
      <c r="F1475" s="26"/>
      <c r="G1475" s="26"/>
      <c r="H1475" s="26"/>
      <c r="I1475" s="26"/>
      <c r="J1475" s="26"/>
      <c r="K1475" s="26"/>
      <c r="L1475" s="18"/>
      <c r="M1475" s="18"/>
      <c r="N1475" s="18"/>
      <c r="O1475" s="18"/>
      <c r="P1475" s="18"/>
      <c r="Q1475" s="18"/>
      <c r="R1475" s="18"/>
      <c r="S1475" s="18"/>
      <c r="T1475" s="284"/>
      <c r="U1475" s="284"/>
      <c r="V1475" s="284"/>
      <c r="W1475" s="18"/>
      <c r="X1475" s="18"/>
      <c r="Y1475" s="18"/>
      <c r="Z1475" s="18"/>
    </row>
    <row r="1476" spans="1:26" ht="16.5" customHeight="1" x14ac:dyDescent="0.35">
      <c r="A1476" s="134"/>
      <c r="B1476" s="135"/>
      <c r="C1476" s="136"/>
      <c r="D1476" s="26"/>
      <c r="E1476" s="137"/>
      <c r="F1476" s="26"/>
      <c r="G1476" s="26"/>
      <c r="H1476" s="26"/>
      <c r="I1476" s="26"/>
      <c r="J1476" s="26"/>
      <c r="K1476" s="26"/>
      <c r="L1476" s="18"/>
      <c r="M1476" s="18"/>
      <c r="N1476" s="18"/>
      <c r="O1476" s="18"/>
      <c r="P1476" s="18"/>
      <c r="Q1476" s="18"/>
      <c r="R1476" s="18"/>
      <c r="S1476" s="18"/>
      <c r="T1476" s="301"/>
      <c r="U1476" s="301"/>
      <c r="V1476" s="301"/>
      <c r="W1476" s="18"/>
      <c r="X1476" s="18"/>
      <c r="Y1476" s="18"/>
      <c r="Z1476" s="18"/>
    </row>
    <row r="1477" spans="1:26" ht="16.5" customHeight="1" x14ac:dyDescent="0.35">
      <c r="A1477" s="134"/>
      <c r="B1477" s="135"/>
      <c r="C1477" s="136"/>
      <c r="D1477" s="26"/>
      <c r="E1477" s="137"/>
      <c r="F1477" s="26"/>
      <c r="G1477" s="26"/>
      <c r="H1477" s="26"/>
      <c r="I1477" s="26"/>
      <c r="J1477" s="26"/>
      <c r="K1477" s="26"/>
      <c r="L1477" s="18"/>
      <c r="M1477" s="18"/>
      <c r="N1477" s="18"/>
      <c r="O1477" s="18"/>
      <c r="P1477" s="18"/>
      <c r="Q1477" s="18"/>
      <c r="R1477" s="18"/>
      <c r="S1477" s="18"/>
      <c r="T1477" s="284"/>
      <c r="U1477" s="284"/>
      <c r="V1477" s="284"/>
      <c r="W1477" s="18"/>
      <c r="X1477" s="18"/>
      <c r="Y1477" s="18"/>
      <c r="Z1477" s="18"/>
    </row>
    <row r="1478" spans="1:26" ht="16.5" customHeight="1" x14ac:dyDescent="0.35">
      <c r="A1478" s="134"/>
      <c r="B1478" s="135"/>
      <c r="C1478" s="136"/>
      <c r="D1478" s="26"/>
      <c r="E1478" s="137"/>
      <c r="F1478" s="26"/>
      <c r="G1478" s="26"/>
      <c r="H1478" s="26"/>
      <c r="I1478" s="26"/>
      <c r="J1478" s="26"/>
      <c r="K1478" s="26"/>
      <c r="L1478" s="18"/>
      <c r="M1478" s="18"/>
      <c r="N1478" s="18"/>
      <c r="O1478" s="18"/>
      <c r="P1478" s="18"/>
      <c r="Q1478" s="18"/>
      <c r="R1478" s="18"/>
      <c r="S1478" s="18"/>
      <c r="T1478" s="301"/>
      <c r="U1478" s="301"/>
      <c r="V1478" s="301"/>
      <c r="W1478" s="18"/>
      <c r="X1478" s="18"/>
      <c r="Y1478" s="18"/>
      <c r="Z1478" s="18"/>
    </row>
    <row r="1479" spans="1:26" ht="16.5" customHeight="1" x14ac:dyDescent="0.35">
      <c r="A1479" s="134"/>
      <c r="B1479" s="135"/>
      <c r="C1479" s="136"/>
      <c r="D1479" s="26"/>
      <c r="E1479" s="137"/>
      <c r="F1479" s="26"/>
      <c r="G1479" s="26"/>
      <c r="H1479" s="26"/>
      <c r="I1479" s="26"/>
      <c r="J1479" s="26"/>
      <c r="K1479" s="26"/>
      <c r="L1479" s="18"/>
      <c r="M1479" s="18"/>
      <c r="N1479" s="18"/>
      <c r="O1479" s="18"/>
      <c r="P1479" s="18"/>
      <c r="Q1479" s="18"/>
      <c r="R1479" s="18"/>
      <c r="S1479" s="18"/>
      <c r="T1479" s="284"/>
      <c r="U1479" s="284"/>
      <c r="V1479" s="284"/>
      <c r="W1479" s="18"/>
      <c r="X1479" s="18"/>
      <c r="Y1479" s="18"/>
      <c r="Z1479" s="18"/>
    </row>
    <row r="1480" spans="1:26" ht="16.5" customHeight="1" x14ac:dyDescent="0.35">
      <c r="A1480" s="134"/>
      <c r="B1480" s="135"/>
      <c r="C1480" s="136"/>
      <c r="D1480" s="26"/>
      <c r="E1480" s="137"/>
      <c r="F1480" s="26"/>
      <c r="G1480" s="26"/>
      <c r="H1480" s="26"/>
      <c r="I1480" s="26"/>
      <c r="J1480" s="26"/>
      <c r="K1480" s="26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 spans="1:26" ht="16.5" customHeight="1" x14ac:dyDescent="0.35">
      <c r="A1481" s="134"/>
      <c r="B1481" s="135"/>
      <c r="C1481" s="136"/>
      <c r="D1481" s="26"/>
      <c r="E1481" s="137"/>
      <c r="F1481" s="26"/>
      <c r="G1481" s="26"/>
      <c r="H1481" s="26"/>
      <c r="I1481" s="26"/>
      <c r="J1481" s="26"/>
      <c r="K1481" s="26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 spans="1:26" ht="16.5" customHeight="1" x14ac:dyDescent="0.35">
      <c r="A1482" s="134"/>
      <c r="B1482" s="135"/>
      <c r="C1482" s="136"/>
      <c r="D1482" s="26"/>
      <c r="E1482" s="137"/>
      <c r="F1482" s="26"/>
      <c r="G1482" s="26"/>
      <c r="H1482" s="26"/>
      <c r="I1482" s="26"/>
      <c r="J1482" s="26"/>
      <c r="K1482" s="26"/>
      <c r="L1482" s="18"/>
      <c r="M1482" s="18"/>
      <c r="N1482" s="18"/>
      <c r="O1482" s="18"/>
      <c r="P1482" s="18"/>
      <c r="Q1482" s="18"/>
      <c r="R1482" s="18"/>
      <c r="S1482" s="18"/>
      <c r="T1482" s="301"/>
      <c r="U1482" s="301"/>
      <c r="V1482" s="301"/>
      <c r="W1482" s="18"/>
      <c r="X1482" s="18"/>
      <c r="Y1482" s="18"/>
      <c r="Z1482" s="18"/>
    </row>
    <row r="1483" spans="1:26" ht="16.5" customHeight="1" x14ac:dyDescent="0.35">
      <c r="A1483" s="134"/>
      <c r="B1483" s="135"/>
      <c r="C1483" s="136"/>
      <c r="D1483" s="26"/>
      <c r="E1483" s="137"/>
      <c r="F1483" s="26"/>
      <c r="G1483" s="26"/>
      <c r="H1483" s="26"/>
      <c r="I1483" s="26"/>
      <c r="J1483" s="26"/>
      <c r="K1483" s="26"/>
      <c r="L1483" s="18"/>
      <c r="M1483" s="18"/>
      <c r="N1483" s="18"/>
      <c r="O1483" s="18"/>
      <c r="P1483" s="18"/>
      <c r="Q1483" s="18"/>
      <c r="R1483" s="18"/>
      <c r="S1483" s="18"/>
      <c r="T1483" s="284"/>
      <c r="U1483" s="284"/>
      <c r="V1483" s="284"/>
      <c r="W1483" s="18"/>
      <c r="X1483" s="18"/>
      <c r="Y1483" s="18"/>
      <c r="Z1483" s="18"/>
    </row>
    <row r="1484" spans="1:26" ht="16.5" customHeight="1" x14ac:dyDescent="0.35">
      <c r="A1484" s="134"/>
      <c r="B1484" s="135"/>
      <c r="C1484" s="136"/>
      <c r="D1484" s="26"/>
      <c r="E1484" s="137"/>
      <c r="F1484" s="26"/>
      <c r="G1484" s="26"/>
      <c r="H1484" s="26"/>
      <c r="I1484" s="26"/>
      <c r="J1484" s="26"/>
      <c r="K1484" s="26"/>
      <c r="L1484" s="18"/>
      <c r="M1484" s="18"/>
      <c r="N1484" s="18"/>
      <c r="O1484" s="18"/>
      <c r="P1484" s="18"/>
      <c r="Q1484" s="18"/>
      <c r="R1484" s="18"/>
      <c r="S1484" s="18"/>
      <c r="T1484" s="301"/>
      <c r="U1484" s="301"/>
      <c r="V1484" s="301"/>
      <c r="W1484" s="18"/>
      <c r="X1484" s="18"/>
      <c r="Y1484" s="18"/>
      <c r="Z1484" s="18"/>
    </row>
    <row r="1485" spans="1:26" ht="16.5" customHeight="1" x14ac:dyDescent="0.35">
      <c r="A1485" s="134"/>
      <c r="B1485" s="135"/>
      <c r="C1485" s="136"/>
      <c r="D1485" s="26"/>
      <c r="E1485" s="137"/>
      <c r="F1485" s="26"/>
      <c r="G1485" s="26"/>
      <c r="H1485" s="26"/>
      <c r="I1485" s="26"/>
      <c r="J1485" s="26"/>
      <c r="K1485" s="26"/>
      <c r="L1485" s="18"/>
      <c r="M1485" s="18"/>
      <c r="N1485" s="18"/>
      <c r="O1485" s="18"/>
      <c r="P1485" s="18"/>
      <c r="Q1485" s="18"/>
      <c r="R1485" s="18"/>
      <c r="S1485" s="18"/>
      <c r="T1485" s="284"/>
      <c r="U1485" s="284"/>
      <c r="V1485" s="284"/>
      <c r="W1485" s="18"/>
      <c r="X1485" s="18"/>
      <c r="Y1485" s="18"/>
      <c r="Z1485" s="18"/>
    </row>
    <row r="1486" spans="1:26" ht="16.5" customHeight="1" x14ac:dyDescent="0.35">
      <c r="A1486" s="134"/>
      <c r="B1486" s="135"/>
      <c r="C1486" s="136"/>
      <c r="D1486" s="26"/>
      <c r="E1486" s="137"/>
      <c r="F1486" s="26"/>
      <c r="G1486" s="26"/>
      <c r="H1486" s="26"/>
      <c r="I1486" s="26"/>
      <c r="J1486" s="26"/>
      <c r="K1486" s="26"/>
      <c r="L1486" s="18"/>
      <c r="M1486" s="18"/>
      <c r="N1486" s="18"/>
      <c r="O1486" s="18"/>
      <c r="P1486" s="18"/>
      <c r="Q1486" s="18"/>
      <c r="R1486" s="18"/>
      <c r="S1486" s="18"/>
      <c r="T1486" s="301"/>
      <c r="U1486" s="301"/>
      <c r="V1486" s="301"/>
      <c r="W1486" s="18"/>
      <c r="X1486" s="18"/>
      <c r="Y1486" s="18"/>
      <c r="Z1486" s="18"/>
    </row>
    <row r="1487" spans="1:26" ht="16.5" customHeight="1" x14ac:dyDescent="0.35">
      <c r="A1487" s="134"/>
      <c r="B1487" s="135"/>
      <c r="C1487" s="136"/>
      <c r="D1487" s="26"/>
      <c r="E1487" s="137"/>
      <c r="F1487" s="26"/>
      <c r="G1487" s="26"/>
      <c r="H1487" s="26"/>
      <c r="I1487" s="26"/>
      <c r="J1487" s="26"/>
      <c r="K1487" s="26"/>
      <c r="L1487" s="18"/>
      <c r="M1487" s="18"/>
      <c r="N1487" s="18"/>
      <c r="O1487" s="18"/>
      <c r="P1487" s="18"/>
      <c r="Q1487" s="18"/>
      <c r="R1487" s="18"/>
      <c r="S1487" s="18"/>
      <c r="T1487" s="284"/>
      <c r="U1487" s="284"/>
      <c r="V1487" s="284"/>
      <c r="W1487" s="18"/>
      <c r="X1487" s="18"/>
      <c r="Y1487" s="18"/>
      <c r="Z1487" s="18"/>
    </row>
    <row r="1488" spans="1:26" ht="16.5" customHeight="1" x14ac:dyDescent="0.35">
      <c r="A1488" s="134"/>
      <c r="B1488" s="135"/>
      <c r="C1488" s="136"/>
      <c r="D1488" s="26"/>
      <c r="E1488" s="137"/>
      <c r="F1488" s="26"/>
      <c r="G1488" s="26"/>
      <c r="H1488" s="26"/>
      <c r="I1488" s="26"/>
      <c r="J1488" s="26"/>
      <c r="K1488" s="26"/>
      <c r="L1488" s="18"/>
      <c r="M1488" s="18"/>
      <c r="N1488" s="18"/>
      <c r="O1488" s="18"/>
      <c r="P1488" s="18"/>
      <c r="Q1488" s="18"/>
      <c r="R1488" s="18"/>
      <c r="S1488" s="18"/>
      <c r="T1488" s="301"/>
      <c r="U1488" s="301"/>
      <c r="V1488" s="301"/>
      <c r="W1488" s="18"/>
      <c r="X1488" s="18"/>
      <c r="Y1488" s="18"/>
      <c r="Z1488" s="18"/>
    </row>
    <row r="1489" spans="1:26" ht="16.5" customHeight="1" x14ac:dyDescent="0.35">
      <c r="A1489" s="134"/>
      <c r="B1489" s="135"/>
      <c r="C1489" s="136"/>
      <c r="D1489" s="26"/>
      <c r="E1489" s="137"/>
      <c r="F1489" s="26"/>
      <c r="G1489" s="26"/>
      <c r="H1489" s="26"/>
      <c r="I1489" s="26"/>
      <c r="J1489" s="26"/>
      <c r="K1489" s="26"/>
      <c r="L1489" s="18"/>
      <c r="M1489" s="18"/>
      <c r="N1489" s="18"/>
      <c r="O1489" s="18"/>
      <c r="P1489" s="18"/>
      <c r="Q1489" s="18"/>
      <c r="R1489" s="18"/>
      <c r="S1489" s="18"/>
      <c r="T1489" s="284"/>
      <c r="U1489" s="284"/>
      <c r="V1489" s="284"/>
      <c r="W1489" s="18"/>
      <c r="X1489" s="18"/>
      <c r="Y1489" s="18"/>
      <c r="Z1489" s="18"/>
    </row>
    <row r="1490" spans="1:26" ht="16.5" customHeight="1" x14ac:dyDescent="0.35">
      <c r="A1490" s="134"/>
      <c r="B1490" s="135"/>
      <c r="C1490" s="136"/>
      <c r="D1490" s="26"/>
      <c r="E1490" s="137"/>
      <c r="F1490" s="26"/>
      <c r="G1490" s="26"/>
      <c r="H1490" s="26"/>
      <c r="I1490" s="26"/>
      <c r="J1490" s="26"/>
      <c r="K1490" s="26"/>
      <c r="L1490" s="18"/>
      <c r="M1490" s="18"/>
      <c r="N1490" s="18"/>
      <c r="O1490" s="18"/>
      <c r="P1490" s="18"/>
      <c r="Q1490" s="18"/>
      <c r="R1490" s="18"/>
      <c r="S1490" s="18"/>
      <c r="T1490" s="301"/>
      <c r="U1490" s="301"/>
      <c r="V1490" s="301"/>
      <c r="W1490" s="18"/>
      <c r="X1490" s="18"/>
      <c r="Y1490" s="18"/>
      <c r="Z1490" s="18"/>
    </row>
    <row r="1491" spans="1:26" ht="16.5" customHeight="1" x14ac:dyDescent="0.35">
      <c r="A1491" s="134"/>
      <c r="B1491" s="135"/>
      <c r="C1491" s="136"/>
      <c r="D1491" s="26"/>
      <c r="E1491" s="137"/>
      <c r="F1491" s="26"/>
      <c r="G1491" s="26"/>
      <c r="H1491" s="26"/>
      <c r="I1491" s="26"/>
      <c r="J1491" s="26"/>
      <c r="K1491" s="26"/>
      <c r="L1491" s="18"/>
      <c r="M1491" s="18"/>
      <c r="N1491" s="18"/>
      <c r="O1491" s="18"/>
      <c r="P1491" s="18"/>
      <c r="Q1491" s="18"/>
      <c r="R1491" s="18"/>
      <c r="S1491" s="18"/>
      <c r="T1491" s="284"/>
      <c r="U1491" s="284"/>
      <c r="V1491" s="284"/>
      <c r="W1491" s="18"/>
      <c r="X1491" s="18"/>
      <c r="Y1491" s="18"/>
      <c r="Z1491" s="18"/>
    </row>
    <row r="1492" spans="1:26" ht="16.5" customHeight="1" x14ac:dyDescent="0.35">
      <c r="A1492" s="134"/>
      <c r="B1492" s="135"/>
      <c r="C1492" s="136"/>
      <c r="D1492" s="26"/>
      <c r="E1492" s="137"/>
      <c r="F1492" s="26"/>
      <c r="G1492" s="26"/>
      <c r="H1492" s="26"/>
      <c r="I1492" s="26"/>
      <c r="J1492" s="26"/>
      <c r="K1492" s="26"/>
      <c r="L1492" s="18"/>
      <c r="M1492" s="18"/>
      <c r="N1492" s="18"/>
      <c r="O1492" s="18"/>
      <c r="P1492" s="18"/>
      <c r="Q1492" s="18"/>
      <c r="R1492" s="18"/>
      <c r="S1492" s="18"/>
      <c r="T1492" s="301"/>
      <c r="U1492" s="301"/>
      <c r="V1492" s="301"/>
      <c r="W1492" s="18"/>
      <c r="X1492" s="18"/>
      <c r="Y1492" s="18"/>
      <c r="Z1492" s="18"/>
    </row>
    <row r="1493" spans="1:26" ht="16.5" customHeight="1" x14ac:dyDescent="0.35">
      <c r="A1493" s="134"/>
      <c r="B1493" s="135"/>
      <c r="C1493" s="136"/>
      <c r="D1493" s="26"/>
      <c r="E1493" s="137"/>
      <c r="F1493" s="26"/>
      <c r="G1493" s="26"/>
      <c r="H1493" s="26"/>
      <c r="I1493" s="26"/>
      <c r="J1493" s="26"/>
      <c r="K1493" s="26"/>
      <c r="L1493" s="18"/>
      <c r="M1493" s="18"/>
      <c r="N1493" s="18"/>
      <c r="O1493" s="18"/>
      <c r="P1493" s="18"/>
      <c r="Q1493" s="18"/>
      <c r="R1493" s="18"/>
      <c r="S1493" s="18"/>
      <c r="T1493" s="284"/>
      <c r="U1493" s="284"/>
      <c r="V1493" s="284"/>
      <c r="W1493" s="18"/>
      <c r="X1493" s="18"/>
      <c r="Y1493" s="18"/>
      <c r="Z1493" s="18"/>
    </row>
    <row r="1494" spans="1:26" ht="16.5" customHeight="1" x14ac:dyDescent="0.35">
      <c r="A1494" s="134"/>
      <c r="B1494" s="135"/>
      <c r="C1494" s="136"/>
      <c r="D1494" s="26"/>
      <c r="E1494" s="137"/>
      <c r="F1494" s="26"/>
      <c r="G1494" s="26"/>
      <c r="H1494" s="26"/>
      <c r="I1494" s="26"/>
      <c r="J1494" s="26"/>
      <c r="K1494" s="26"/>
      <c r="L1494" s="18"/>
      <c r="M1494" s="18"/>
      <c r="N1494" s="18"/>
      <c r="O1494" s="18"/>
      <c r="P1494" s="18"/>
      <c r="Q1494" s="18"/>
      <c r="R1494" s="18"/>
      <c r="S1494" s="18"/>
      <c r="T1494" s="301"/>
      <c r="U1494" s="301"/>
      <c r="V1494" s="301"/>
      <c r="W1494" s="18"/>
      <c r="X1494" s="18"/>
      <c r="Y1494" s="18"/>
      <c r="Z1494" s="18"/>
    </row>
    <row r="1495" spans="1:26" ht="16.5" customHeight="1" x14ac:dyDescent="0.35">
      <c r="A1495" s="134"/>
      <c r="B1495" s="135"/>
      <c r="C1495" s="136"/>
      <c r="D1495" s="26"/>
      <c r="E1495" s="137"/>
      <c r="F1495" s="26"/>
      <c r="G1495" s="26"/>
      <c r="H1495" s="26"/>
      <c r="I1495" s="26"/>
      <c r="J1495" s="26"/>
      <c r="K1495" s="26"/>
      <c r="L1495" s="18"/>
      <c r="M1495" s="18"/>
      <c r="N1495" s="18"/>
      <c r="O1495" s="18"/>
      <c r="P1495" s="18"/>
      <c r="Q1495" s="18"/>
      <c r="R1495" s="18"/>
      <c r="S1495" s="18"/>
      <c r="T1495" s="284"/>
      <c r="U1495" s="284"/>
      <c r="V1495" s="284"/>
      <c r="W1495" s="18"/>
      <c r="X1495" s="18"/>
      <c r="Y1495" s="18"/>
      <c r="Z1495" s="18"/>
    </row>
    <row r="1496" spans="1:26" ht="16.5" customHeight="1" x14ac:dyDescent="0.35">
      <c r="A1496" s="134"/>
      <c r="B1496" s="135"/>
      <c r="C1496" s="136"/>
      <c r="D1496" s="26"/>
      <c r="E1496" s="137"/>
      <c r="F1496" s="26"/>
      <c r="G1496" s="26"/>
      <c r="H1496" s="26"/>
      <c r="I1496" s="26"/>
      <c r="J1496" s="26"/>
      <c r="K1496" s="26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 spans="1:26" ht="16.5" customHeight="1" x14ac:dyDescent="0.35">
      <c r="A1497" s="134"/>
      <c r="B1497" s="135"/>
      <c r="C1497" s="136"/>
      <c r="D1497" s="26"/>
      <c r="E1497" s="137"/>
      <c r="F1497" s="26"/>
      <c r="G1497" s="26"/>
      <c r="H1497" s="26"/>
      <c r="I1497" s="26"/>
      <c r="J1497" s="26"/>
      <c r="K1497" s="26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 spans="1:26" ht="16.5" customHeight="1" x14ac:dyDescent="0.35">
      <c r="A1498" s="134"/>
      <c r="B1498" s="135"/>
      <c r="C1498" s="136"/>
      <c r="D1498" s="26"/>
      <c r="E1498" s="137"/>
      <c r="F1498" s="26"/>
      <c r="G1498" s="26"/>
      <c r="H1498" s="26"/>
      <c r="I1498" s="26"/>
      <c r="J1498" s="26"/>
      <c r="K1498" s="26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 spans="1:26" ht="16.5" customHeight="1" x14ac:dyDescent="0.35">
      <c r="A1499" s="134"/>
      <c r="B1499" s="135"/>
      <c r="C1499" s="136"/>
      <c r="D1499" s="26"/>
      <c r="E1499" s="137"/>
      <c r="F1499" s="26"/>
      <c r="G1499" s="26"/>
      <c r="H1499" s="26"/>
      <c r="I1499" s="26"/>
      <c r="J1499" s="26"/>
      <c r="K1499" s="26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 spans="1:26" ht="16.5" customHeight="1" x14ac:dyDescent="0.35">
      <c r="A1500" s="134"/>
      <c r="B1500" s="135"/>
      <c r="C1500" s="136"/>
      <c r="D1500" s="26"/>
      <c r="E1500" s="137"/>
      <c r="F1500" s="26"/>
      <c r="G1500" s="26"/>
      <c r="H1500" s="26"/>
      <c r="I1500" s="26"/>
      <c r="J1500" s="26"/>
      <c r="K1500" s="26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</row>
    <row r="1501" spans="1:26" ht="16.5" customHeight="1" x14ac:dyDescent="0.35">
      <c r="A1501" s="134"/>
      <c r="B1501" s="135"/>
      <c r="C1501" s="136"/>
      <c r="D1501" s="26"/>
      <c r="E1501" s="137"/>
      <c r="F1501" s="26"/>
      <c r="G1501" s="26"/>
      <c r="H1501" s="26"/>
      <c r="I1501" s="26"/>
      <c r="J1501" s="26"/>
      <c r="K1501" s="26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</row>
    <row r="1502" spans="1:26" ht="16.5" customHeight="1" x14ac:dyDescent="0.35">
      <c r="A1502" s="134"/>
      <c r="B1502" s="135"/>
      <c r="C1502" s="136"/>
      <c r="D1502" s="26"/>
      <c r="E1502" s="137"/>
      <c r="F1502" s="26"/>
      <c r="G1502" s="26"/>
      <c r="H1502" s="26"/>
      <c r="I1502" s="26"/>
      <c r="J1502" s="26"/>
      <c r="K1502" s="26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 spans="1:26" ht="16.5" customHeight="1" x14ac:dyDescent="0.35">
      <c r="A1503" s="134"/>
      <c r="B1503" s="135"/>
      <c r="C1503" s="136"/>
      <c r="D1503" s="26"/>
      <c r="E1503" s="137"/>
      <c r="F1503" s="26"/>
      <c r="G1503" s="26"/>
      <c r="H1503" s="26"/>
      <c r="I1503" s="26"/>
      <c r="J1503" s="26"/>
      <c r="K1503" s="26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</row>
    <row r="1504" spans="1:26" ht="16.5" customHeight="1" x14ac:dyDescent="0.35">
      <c r="A1504" s="134"/>
      <c r="B1504" s="135"/>
      <c r="C1504" s="136"/>
      <c r="D1504" s="26"/>
      <c r="E1504" s="137"/>
      <c r="F1504" s="26"/>
      <c r="G1504" s="26"/>
      <c r="H1504" s="26"/>
      <c r="I1504" s="26"/>
      <c r="J1504" s="26"/>
      <c r="K1504" s="26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 spans="1:26" ht="16.5" customHeight="1" x14ac:dyDescent="0.35">
      <c r="A1505" s="134"/>
      <c r="B1505" s="135"/>
      <c r="C1505" s="136"/>
      <c r="D1505" s="26"/>
      <c r="E1505" s="137"/>
      <c r="F1505" s="26"/>
      <c r="G1505" s="26"/>
      <c r="H1505" s="26"/>
      <c r="I1505" s="26"/>
      <c r="J1505" s="26"/>
      <c r="K1505" s="26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</row>
    <row r="1506" spans="1:26" ht="16.5" customHeight="1" x14ac:dyDescent="0.35">
      <c r="A1506" s="134"/>
      <c r="B1506" s="135"/>
      <c r="C1506" s="136"/>
      <c r="D1506" s="26"/>
      <c r="E1506" s="137"/>
      <c r="F1506" s="26"/>
      <c r="G1506" s="26"/>
      <c r="H1506" s="26"/>
      <c r="I1506" s="26"/>
      <c r="J1506" s="26"/>
      <c r="K1506" s="26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 spans="1:26" ht="16.5" customHeight="1" x14ac:dyDescent="0.35">
      <c r="A1507" s="134"/>
      <c r="B1507" s="135"/>
      <c r="C1507" s="136"/>
      <c r="D1507" s="26"/>
      <c r="E1507" s="137"/>
      <c r="F1507" s="26"/>
      <c r="G1507" s="26"/>
      <c r="H1507" s="26"/>
      <c r="I1507" s="26"/>
      <c r="J1507" s="26"/>
      <c r="K1507" s="26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</row>
    <row r="1508" spans="1:26" ht="16.5" customHeight="1" x14ac:dyDescent="0.35">
      <c r="A1508" s="134"/>
      <c r="B1508" s="135"/>
      <c r="C1508" s="136"/>
      <c r="D1508" s="26"/>
      <c r="E1508" s="137"/>
      <c r="F1508" s="26"/>
      <c r="G1508" s="26"/>
      <c r="H1508" s="26"/>
      <c r="I1508" s="26"/>
      <c r="J1508" s="26"/>
      <c r="K1508" s="26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 spans="1:26" ht="16.5" customHeight="1" x14ac:dyDescent="0.35">
      <c r="A1509" s="134"/>
      <c r="B1509" s="135"/>
      <c r="C1509" s="136"/>
      <c r="D1509" s="26"/>
      <c r="E1509" s="137"/>
      <c r="F1509" s="26"/>
      <c r="G1509" s="26"/>
      <c r="H1509" s="26"/>
      <c r="I1509" s="26"/>
      <c r="J1509" s="26"/>
      <c r="K1509" s="26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</row>
    <row r="1510" spans="1:26" ht="16.5" customHeight="1" x14ac:dyDescent="0.35">
      <c r="A1510" s="134"/>
      <c r="B1510" s="135"/>
      <c r="C1510" s="136"/>
      <c r="D1510" s="26"/>
      <c r="E1510" s="137"/>
      <c r="F1510" s="26"/>
      <c r="G1510" s="26"/>
      <c r="H1510" s="26"/>
      <c r="I1510" s="26"/>
      <c r="J1510" s="26"/>
      <c r="K1510" s="26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 spans="1:26" ht="16.5" customHeight="1" x14ac:dyDescent="0.35">
      <c r="A1511" s="134"/>
      <c r="B1511" s="135"/>
      <c r="C1511" s="136"/>
      <c r="D1511" s="26"/>
      <c r="E1511" s="137"/>
      <c r="F1511" s="26"/>
      <c r="G1511" s="26"/>
      <c r="H1511" s="26"/>
      <c r="I1511" s="26"/>
      <c r="J1511" s="26"/>
      <c r="K1511" s="26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</row>
    <row r="1512" spans="1:26" ht="16.5" customHeight="1" x14ac:dyDescent="0.35">
      <c r="A1512" s="134"/>
      <c r="B1512" s="135"/>
      <c r="C1512" s="136"/>
      <c r="D1512" s="26"/>
      <c r="E1512" s="137"/>
      <c r="F1512" s="26"/>
      <c r="G1512" s="26"/>
      <c r="H1512" s="26"/>
      <c r="I1512" s="26"/>
      <c r="J1512" s="26"/>
      <c r="K1512" s="26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 spans="1:26" ht="16.5" customHeight="1" x14ac:dyDescent="0.35">
      <c r="A1513" s="134"/>
      <c r="B1513" s="135"/>
      <c r="C1513" s="136"/>
      <c r="D1513" s="26"/>
      <c r="E1513" s="137"/>
      <c r="F1513" s="26"/>
      <c r="G1513" s="26"/>
      <c r="H1513" s="26"/>
      <c r="I1513" s="26"/>
      <c r="J1513" s="26"/>
      <c r="K1513" s="26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 spans="1:26" ht="16.5" customHeight="1" x14ac:dyDescent="0.35">
      <c r="A1514" s="134"/>
      <c r="B1514" s="135"/>
      <c r="C1514" s="136"/>
      <c r="D1514" s="26"/>
      <c r="E1514" s="137"/>
      <c r="F1514" s="26"/>
      <c r="G1514" s="26"/>
      <c r="H1514" s="26"/>
      <c r="I1514" s="26"/>
      <c r="J1514" s="26"/>
      <c r="K1514" s="26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 spans="1:26" ht="16.5" customHeight="1" x14ac:dyDescent="0.35">
      <c r="A1515" s="134"/>
      <c r="B1515" s="135"/>
      <c r="C1515" s="136"/>
      <c r="D1515" s="26"/>
      <c r="E1515" s="137"/>
      <c r="F1515" s="26"/>
      <c r="G1515" s="26"/>
      <c r="H1515" s="26"/>
      <c r="I1515" s="26"/>
      <c r="J1515" s="26"/>
      <c r="K1515" s="26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</row>
    <row r="1516" spans="1:26" ht="16.5" customHeight="1" x14ac:dyDescent="0.35">
      <c r="A1516" s="134"/>
      <c r="B1516" s="135"/>
      <c r="C1516" s="136"/>
      <c r="D1516" s="26"/>
      <c r="E1516" s="137"/>
      <c r="F1516" s="26"/>
      <c r="G1516" s="26"/>
      <c r="H1516" s="26"/>
      <c r="I1516" s="26"/>
      <c r="J1516" s="26"/>
      <c r="K1516" s="26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 spans="1:26" ht="16.5" customHeight="1" x14ac:dyDescent="0.35">
      <c r="A1517" s="134"/>
      <c r="B1517" s="135"/>
      <c r="C1517" s="136"/>
      <c r="D1517" s="26"/>
      <c r="E1517" s="137"/>
      <c r="F1517" s="26"/>
      <c r="G1517" s="26"/>
      <c r="H1517" s="26"/>
      <c r="I1517" s="26"/>
      <c r="J1517" s="26"/>
      <c r="K1517" s="26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</row>
    <row r="1518" spans="1:26" ht="16.5" customHeight="1" x14ac:dyDescent="0.35">
      <c r="A1518" s="134"/>
      <c r="B1518" s="135"/>
      <c r="C1518" s="136"/>
      <c r="D1518" s="26"/>
      <c r="E1518" s="137"/>
      <c r="F1518" s="26"/>
      <c r="G1518" s="26"/>
      <c r="H1518" s="26"/>
      <c r="I1518" s="26"/>
      <c r="J1518" s="26"/>
      <c r="K1518" s="26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</row>
    <row r="1519" spans="1:26" ht="16.5" customHeight="1" x14ac:dyDescent="0.35">
      <c r="A1519" s="134"/>
      <c r="B1519" s="135"/>
      <c r="C1519" s="136"/>
      <c r="D1519" s="26"/>
      <c r="E1519" s="137"/>
      <c r="F1519" s="26"/>
      <c r="G1519" s="26"/>
      <c r="H1519" s="26"/>
      <c r="I1519" s="26"/>
      <c r="J1519" s="26"/>
      <c r="K1519" s="26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</row>
    <row r="1520" spans="1:26" ht="16.5" customHeight="1" x14ac:dyDescent="0.35">
      <c r="A1520" s="134"/>
      <c r="B1520" s="135"/>
      <c r="C1520" s="136"/>
      <c r="D1520" s="26"/>
      <c r="E1520" s="137"/>
      <c r="F1520" s="26"/>
      <c r="G1520" s="26"/>
      <c r="H1520" s="26"/>
      <c r="I1520" s="26"/>
      <c r="J1520" s="26"/>
      <c r="K1520" s="26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 spans="1:26" ht="16.5" customHeight="1" x14ac:dyDescent="0.35">
      <c r="A1521" s="134"/>
      <c r="B1521" s="135"/>
      <c r="C1521" s="136"/>
      <c r="D1521" s="26"/>
      <c r="E1521" s="137"/>
      <c r="F1521" s="26"/>
      <c r="G1521" s="26"/>
      <c r="H1521" s="26"/>
      <c r="I1521" s="26"/>
      <c r="J1521" s="26"/>
      <c r="K1521" s="26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</row>
    <row r="1522" spans="1:26" ht="16.5" customHeight="1" x14ac:dyDescent="0.35">
      <c r="A1522" s="134"/>
      <c r="B1522" s="135"/>
      <c r="C1522" s="136"/>
      <c r="D1522" s="26"/>
      <c r="E1522" s="137"/>
      <c r="F1522" s="26"/>
      <c r="G1522" s="26"/>
      <c r="H1522" s="26"/>
      <c r="I1522" s="26"/>
      <c r="J1522" s="26"/>
      <c r="K1522" s="26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</row>
    <row r="1523" spans="1:26" ht="16.5" customHeight="1" x14ac:dyDescent="0.35">
      <c r="A1523" s="134"/>
      <c r="B1523" s="135"/>
      <c r="C1523" s="136"/>
      <c r="D1523" s="26"/>
      <c r="E1523" s="137"/>
      <c r="F1523" s="26"/>
      <c r="G1523" s="26"/>
      <c r="H1523" s="26"/>
      <c r="I1523" s="26"/>
      <c r="J1523" s="26"/>
      <c r="K1523" s="26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</row>
    <row r="1524" spans="1:26" ht="16.5" customHeight="1" x14ac:dyDescent="0.35">
      <c r="A1524" s="134"/>
      <c r="B1524" s="135"/>
      <c r="C1524" s="136"/>
      <c r="D1524" s="26"/>
      <c r="E1524" s="137"/>
      <c r="F1524" s="26"/>
      <c r="G1524" s="26"/>
      <c r="H1524" s="26"/>
      <c r="I1524" s="26"/>
      <c r="J1524" s="26"/>
      <c r="K1524" s="26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 spans="1:26" ht="16.5" customHeight="1" x14ac:dyDescent="0.35">
      <c r="A1525" s="134"/>
      <c r="B1525" s="135"/>
      <c r="C1525" s="136"/>
      <c r="D1525" s="26"/>
      <c r="E1525" s="137"/>
      <c r="F1525" s="26"/>
      <c r="G1525" s="26"/>
      <c r="H1525" s="26"/>
      <c r="I1525" s="26"/>
      <c r="J1525" s="26"/>
      <c r="K1525" s="26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</row>
    <row r="1526" spans="1:26" ht="16.5" customHeight="1" x14ac:dyDescent="0.35">
      <c r="A1526" s="134"/>
      <c r="B1526" s="135"/>
      <c r="C1526" s="136"/>
      <c r="D1526" s="26"/>
      <c r="E1526" s="137"/>
      <c r="F1526" s="26"/>
      <c r="G1526" s="26"/>
      <c r="H1526" s="26"/>
      <c r="I1526" s="26"/>
      <c r="J1526" s="26"/>
      <c r="K1526" s="26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</row>
    <row r="1527" spans="1:26" ht="16.5" customHeight="1" x14ac:dyDescent="0.35">
      <c r="A1527" s="134"/>
      <c r="B1527" s="135"/>
      <c r="C1527" s="136"/>
      <c r="D1527" s="26"/>
      <c r="E1527" s="137"/>
      <c r="F1527" s="26"/>
      <c r="G1527" s="26"/>
      <c r="H1527" s="26"/>
      <c r="I1527" s="26"/>
      <c r="J1527" s="26"/>
      <c r="K1527" s="26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</row>
    <row r="1528" spans="1:26" ht="16.5" customHeight="1" x14ac:dyDescent="0.35">
      <c r="A1528" s="134"/>
      <c r="B1528" s="135"/>
      <c r="C1528" s="136"/>
      <c r="D1528" s="26"/>
      <c r="E1528" s="137"/>
      <c r="F1528" s="26"/>
      <c r="G1528" s="26"/>
      <c r="H1528" s="26"/>
      <c r="I1528" s="26"/>
      <c r="J1528" s="26"/>
      <c r="K1528" s="26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 spans="1:26" ht="16.5" customHeight="1" x14ac:dyDescent="0.35">
      <c r="A1529" s="134"/>
      <c r="B1529" s="135"/>
      <c r="C1529" s="136"/>
      <c r="D1529" s="26"/>
      <c r="E1529" s="137"/>
      <c r="F1529" s="26"/>
      <c r="G1529" s="26"/>
      <c r="H1529" s="26"/>
      <c r="I1529" s="26"/>
      <c r="J1529" s="26"/>
      <c r="K1529" s="26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</row>
    <row r="1530" spans="1:26" ht="16.5" customHeight="1" x14ac:dyDescent="0.35">
      <c r="A1530" s="134"/>
      <c r="B1530" s="135"/>
      <c r="C1530" s="136"/>
      <c r="D1530" s="26"/>
      <c r="E1530" s="137"/>
      <c r="F1530" s="26"/>
      <c r="G1530" s="26"/>
      <c r="H1530" s="26"/>
      <c r="I1530" s="26"/>
      <c r="J1530" s="26"/>
      <c r="K1530" s="26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</row>
    <row r="1531" spans="1:26" ht="16.5" customHeight="1" x14ac:dyDescent="0.35">
      <c r="A1531" s="134"/>
      <c r="B1531" s="135"/>
      <c r="C1531" s="136"/>
      <c r="D1531" s="26"/>
      <c r="E1531" s="137"/>
      <c r="F1531" s="26"/>
      <c r="G1531" s="26"/>
      <c r="H1531" s="26"/>
      <c r="I1531" s="26"/>
      <c r="J1531" s="26"/>
      <c r="K1531" s="26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</row>
    <row r="1532" spans="1:26" ht="16.5" customHeight="1" x14ac:dyDescent="0.35">
      <c r="A1532" s="134"/>
      <c r="B1532" s="135"/>
      <c r="C1532" s="136"/>
      <c r="D1532" s="26"/>
      <c r="E1532" s="137"/>
      <c r="F1532" s="26"/>
      <c r="G1532" s="26"/>
      <c r="H1532" s="26"/>
      <c r="I1532" s="26"/>
      <c r="J1532" s="26"/>
      <c r="K1532" s="26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</row>
    <row r="1533" spans="1:26" ht="16.5" customHeight="1" x14ac:dyDescent="0.35">
      <c r="A1533" s="134"/>
      <c r="B1533" s="135"/>
      <c r="C1533" s="136"/>
      <c r="D1533" s="26"/>
      <c r="E1533" s="137"/>
      <c r="F1533" s="26"/>
      <c r="G1533" s="26"/>
      <c r="H1533" s="26"/>
      <c r="I1533" s="26"/>
      <c r="J1533" s="26"/>
      <c r="K1533" s="26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</row>
    <row r="1534" spans="1:26" ht="16.5" customHeight="1" x14ac:dyDescent="0.35">
      <c r="A1534" s="134"/>
      <c r="B1534" s="135"/>
      <c r="C1534" s="136"/>
      <c r="D1534" s="26"/>
      <c r="E1534" s="137"/>
      <c r="F1534" s="26"/>
      <c r="G1534" s="26"/>
      <c r="H1534" s="26"/>
      <c r="I1534" s="26"/>
      <c r="J1534" s="26"/>
      <c r="K1534" s="26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 spans="1:26" ht="16.5" customHeight="1" x14ac:dyDescent="0.35">
      <c r="A1535" s="134"/>
      <c r="B1535" s="135"/>
      <c r="C1535" s="136"/>
      <c r="D1535" s="26"/>
      <c r="E1535" s="137"/>
      <c r="F1535" s="26"/>
      <c r="G1535" s="26"/>
      <c r="H1535" s="26"/>
      <c r="I1535" s="26"/>
      <c r="J1535" s="26"/>
      <c r="K1535" s="26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</row>
    <row r="1536" spans="1:26" ht="16.5" customHeight="1" x14ac:dyDescent="0.35">
      <c r="A1536" s="134"/>
      <c r="B1536" s="135"/>
      <c r="C1536" s="136"/>
      <c r="D1536" s="26"/>
      <c r="E1536" s="137"/>
      <c r="F1536" s="26"/>
      <c r="G1536" s="26"/>
      <c r="H1536" s="26"/>
      <c r="I1536" s="26"/>
      <c r="J1536" s="26"/>
      <c r="K1536" s="26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 spans="1:26" ht="16.5" customHeight="1" x14ac:dyDescent="0.35">
      <c r="A1537" s="134"/>
      <c r="B1537" s="135"/>
      <c r="C1537" s="136"/>
      <c r="D1537" s="26"/>
      <c r="E1537" s="137"/>
      <c r="F1537" s="26"/>
      <c r="G1537" s="26"/>
      <c r="H1537" s="26"/>
      <c r="I1537" s="26"/>
      <c r="J1537" s="26"/>
      <c r="K1537" s="26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</row>
    <row r="1538" spans="1:26" ht="16.5" customHeight="1" x14ac:dyDescent="0.35">
      <c r="A1538" s="134"/>
      <c r="B1538" s="135"/>
      <c r="C1538" s="136"/>
      <c r="D1538" s="26"/>
      <c r="E1538" s="137"/>
      <c r="F1538" s="26"/>
      <c r="G1538" s="26"/>
      <c r="H1538" s="26"/>
      <c r="I1538" s="26"/>
      <c r="J1538" s="26"/>
      <c r="K1538" s="26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 spans="1:26" ht="16.5" customHeight="1" x14ac:dyDescent="0.35">
      <c r="A1539" s="134"/>
      <c r="B1539" s="135"/>
      <c r="C1539" s="136"/>
      <c r="D1539" s="26"/>
      <c r="E1539" s="137"/>
      <c r="F1539" s="26"/>
      <c r="G1539" s="26"/>
      <c r="H1539" s="26"/>
      <c r="I1539" s="26"/>
      <c r="J1539" s="26"/>
      <c r="K1539" s="26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</row>
    <row r="1540" spans="1:26" ht="16.5" customHeight="1" x14ac:dyDescent="0.35">
      <c r="A1540" s="134"/>
      <c r="B1540" s="135"/>
      <c r="C1540" s="136"/>
      <c r="D1540" s="26"/>
      <c r="E1540" s="137"/>
      <c r="F1540" s="26"/>
      <c r="G1540" s="26"/>
      <c r="H1540" s="26"/>
      <c r="I1540" s="26"/>
      <c r="J1540" s="26"/>
      <c r="K1540" s="26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</row>
    <row r="1541" spans="1:26" ht="16.5" customHeight="1" x14ac:dyDescent="0.35">
      <c r="A1541" s="134"/>
      <c r="B1541" s="135"/>
      <c r="C1541" s="136"/>
      <c r="D1541" s="26"/>
      <c r="E1541" s="137"/>
      <c r="F1541" s="26"/>
      <c r="G1541" s="26"/>
      <c r="H1541" s="26"/>
      <c r="I1541" s="26"/>
      <c r="J1541" s="26"/>
      <c r="K1541" s="26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</row>
    <row r="1542" spans="1:26" ht="16.5" customHeight="1" x14ac:dyDescent="0.35">
      <c r="A1542" s="134"/>
      <c r="B1542" s="135"/>
      <c r="C1542" s="136"/>
      <c r="D1542" s="26"/>
      <c r="E1542" s="137"/>
      <c r="F1542" s="26"/>
      <c r="G1542" s="26"/>
      <c r="H1542" s="26"/>
      <c r="I1542" s="26"/>
      <c r="J1542" s="26"/>
      <c r="K1542" s="26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</row>
    <row r="1543" spans="1:26" ht="16.5" customHeight="1" x14ac:dyDescent="0.35">
      <c r="A1543" s="134"/>
      <c r="B1543" s="135"/>
      <c r="C1543" s="136"/>
      <c r="D1543" s="26"/>
      <c r="E1543" s="137"/>
      <c r="F1543" s="26"/>
      <c r="G1543" s="26"/>
      <c r="H1543" s="26"/>
      <c r="I1543" s="26"/>
      <c r="J1543" s="26"/>
      <c r="K1543" s="26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</row>
    <row r="1544" spans="1:26" ht="16.5" customHeight="1" x14ac:dyDescent="0.35">
      <c r="A1544" s="134"/>
      <c r="B1544" s="135"/>
      <c r="C1544" s="136"/>
      <c r="D1544" s="26"/>
      <c r="E1544" s="137"/>
      <c r="F1544" s="26"/>
      <c r="G1544" s="26"/>
      <c r="H1544" s="26"/>
      <c r="I1544" s="26"/>
      <c r="J1544" s="26"/>
      <c r="K1544" s="26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</sheetData>
  <mergeCells count="7180">
    <mergeCell ref="P1289:P1290"/>
    <mergeCell ref="Q1289:Q1290"/>
    <mergeCell ref="R1289:R1290"/>
    <mergeCell ref="P1291:P1292"/>
    <mergeCell ref="Q1291:Q1292"/>
    <mergeCell ref="Q1297:Q1298"/>
    <mergeCell ref="R1297:R1298"/>
    <mergeCell ref="P1293:P1294"/>
    <mergeCell ref="Q1293:Q1294"/>
    <mergeCell ref="R1293:R1294"/>
    <mergeCell ref="P1295:P1296"/>
    <mergeCell ref="Q1295:Q1296"/>
    <mergeCell ref="R1295:R1296"/>
    <mergeCell ref="P1297:P1298"/>
    <mergeCell ref="U1299:U1300"/>
    <mergeCell ref="V1299:V1300"/>
    <mergeCell ref="T1301:T1302"/>
    <mergeCell ref="U1301:U1302"/>
    <mergeCell ref="V1301:V1302"/>
    <mergeCell ref="T1295:T1296"/>
    <mergeCell ref="U1295:U1296"/>
    <mergeCell ref="V1295:V1296"/>
    <mergeCell ref="T1297:T1298"/>
    <mergeCell ref="U1297:U1298"/>
    <mergeCell ref="V1297:V1298"/>
    <mergeCell ref="T1299:T1300"/>
    <mergeCell ref="T1281:T1282"/>
    <mergeCell ref="U1281:U1282"/>
    <mergeCell ref="V1281:V1282"/>
    <mergeCell ref="P1282:P1283"/>
    <mergeCell ref="Q1282:Q1283"/>
    <mergeCell ref="R1282:R1283"/>
    <mergeCell ref="T1283:T1284"/>
    <mergeCell ref="T1287:T1288"/>
    <mergeCell ref="U1287:U1288"/>
    <mergeCell ref="P1284:P1285"/>
    <mergeCell ref="Q1284:Q1285"/>
    <mergeCell ref="R1284:R1285"/>
    <mergeCell ref="T1285:T1286"/>
    <mergeCell ref="U1285:U1286"/>
    <mergeCell ref="V1285:V1286"/>
    <mergeCell ref="P1287:P1288"/>
    <mergeCell ref="V1287:V1288"/>
    <mergeCell ref="Q1287:Q1288"/>
    <mergeCell ref="R1287:R1288"/>
    <mergeCell ref="P1255:P1256"/>
    <mergeCell ref="Q1255:Q1256"/>
    <mergeCell ref="R1255:R1256"/>
    <mergeCell ref="T1255:T1256"/>
    <mergeCell ref="U1255:U1256"/>
    <mergeCell ref="V1255:V1256"/>
    <mergeCell ref="P1257:P1258"/>
    <mergeCell ref="V1257:V1258"/>
    <mergeCell ref="T1266:T1267"/>
    <mergeCell ref="U1266:U1267"/>
    <mergeCell ref="V1266:V1267"/>
    <mergeCell ref="R1291:R1292"/>
    <mergeCell ref="T1291:T1292"/>
    <mergeCell ref="U1291:U1292"/>
    <mergeCell ref="V1291:V1292"/>
    <mergeCell ref="T1293:T1294"/>
    <mergeCell ref="U1293:U1294"/>
    <mergeCell ref="V1293:V1294"/>
    <mergeCell ref="T1270:T1271"/>
    <mergeCell ref="U1270:U1271"/>
    <mergeCell ref="P1268:P1269"/>
    <mergeCell ref="Q1268:Q1269"/>
    <mergeCell ref="R1268:R1269"/>
    <mergeCell ref="T1268:T1269"/>
    <mergeCell ref="U1268:U1269"/>
    <mergeCell ref="V1268:V1269"/>
    <mergeCell ref="P1270:P1271"/>
    <mergeCell ref="V1270:V1271"/>
    <mergeCell ref="Q1270:Q1271"/>
    <mergeCell ref="R1270:R1271"/>
    <mergeCell ref="U1273:U1274"/>
    <mergeCell ref="V1273:V1274"/>
    <mergeCell ref="P1168:P1169"/>
    <mergeCell ref="Q1168:Q1169"/>
    <mergeCell ref="R1168:R1169"/>
    <mergeCell ref="Q1170:Q1171"/>
    <mergeCell ref="R1170:R1171"/>
    <mergeCell ref="P1170:P1171"/>
    <mergeCell ref="P1172:P1173"/>
    <mergeCell ref="Q1172:Q1173"/>
    <mergeCell ref="R1172:R1173"/>
    <mergeCell ref="P1174:P1175"/>
    <mergeCell ref="Q1174:Q1175"/>
    <mergeCell ref="R1174:R1175"/>
    <mergeCell ref="U1253:U1254"/>
    <mergeCell ref="V1253:V1254"/>
    <mergeCell ref="P1251:P1252"/>
    <mergeCell ref="Q1251:Q1252"/>
    <mergeCell ref="R1251:R1252"/>
    <mergeCell ref="P1253:P1254"/>
    <mergeCell ref="Q1253:Q1254"/>
    <mergeCell ref="R1253:R1254"/>
    <mergeCell ref="T1253:T1254"/>
    <mergeCell ref="U1247:U1248"/>
    <mergeCell ref="V1247:V1248"/>
    <mergeCell ref="T1245:T1246"/>
    <mergeCell ref="U1245:U1246"/>
    <mergeCell ref="V1245:V1246"/>
    <mergeCell ref="P1246:P1247"/>
    <mergeCell ref="Q1246:Q1247"/>
    <mergeCell ref="R1246:R1247"/>
    <mergeCell ref="T1247:T1248"/>
    <mergeCell ref="P1198:P1199"/>
    <mergeCell ref="Q1198:Q1199"/>
    <mergeCell ref="U1204:U1205"/>
    <mergeCell ref="V1204:V1205"/>
    <mergeCell ref="Q1200:Q1201"/>
    <mergeCell ref="R1200:R1201"/>
    <mergeCell ref="U1202:U1203"/>
    <mergeCell ref="V1202:V1203"/>
    <mergeCell ref="P1204:P1205"/>
    <mergeCell ref="Q1204:Q1205"/>
    <mergeCell ref="R1204:R1205"/>
    <mergeCell ref="Q1224:Q1225"/>
    <mergeCell ref="R1224:R1225"/>
    <mergeCell ref="P1222:P1223"/>
    <mergeCell ref="Q1222:Q1223"/>
    <mergeCell ref="R1222:R1223"/>
    <mergeCell ref="T1223:T1224"/>
    <mergeCell ref="U1223:U1224"/>
    <mergeCell ref="V1223:V1224"/>
    <mergeCell ref="P1224:P1225"/>
    <mergeCell ref="Q1218:Q1219"/>
    <mergeCell ref="R1218:R1219"/>
    <mergeCell ref="T1219:T1220"/>
    <mergeCell ref="T1228:T1229"/>
    <mergeCell ref="U1228:U1229"/>
    <mergeCell ref="T1225:T1226"/>
    <mergeCell ref="U1225:U1226"/>
    <mergeCell ref="V1225:V1226"/>
    <mergeCell ref="P1226:P1227"/>
    <mergeCell ref="Q1226:Q1227"/>
    <mergeCell ref="R1226:R1227"/>
    <mergeCell ref="P1228:P1229"/>
    <mergeCell ref="V1228:V1229"/>
    <mergeCell ref="P1212:P1213"/>
    <mergeCell ref="V1212:V1213"/>
    <mergeCell ref="P1214:P1215"/>
    <mergeCell ref="P1216:P1217"/>
    <mergeCell ref="Q1216:Q1217"/>
    <mergeCell ref="R1216:R1217"/>
    <mergeCell ref="Q1212:Q1213"/>
    <mergeCell ref="R1212:R1213"/>
    <mergeCell ref="Q1214:Q1215"/>
    <mergeCell ref="R1214:R1215"/>
    <mergeCell ref="T1215:T1216"/>
    <mergeCell ref="U1215:U1216"/>
    <mergeCell ref="V1215:V1216"/>
    <mergeCell ref="U1219:U1220"/>
    <mergeCell ref="V1219:V1220"/>
    <mergeCell ref="T1221:T1222"/>
    <mergeCell ref="U1221:U1222"/>
    <mergeCell ref="V1221:V1222"/>
    <mergeCell ref="T1217:T1218"/>
    <mergeCell ref="U1217:U1218"/>
    <mergeCell ref="V1217:V1218"/>
    <mergeCell ref="P1218:P1219"/>
    <mergeCell ref="T1168:T1169"/>
    <mergeCell ref="U1168:U1169"/>
    <mergeCell ref="V1168:V1169"/>
    <mergeCell ref="U1170:U1171"/>
    <mergeCell ref="V1170:V1171"/>
    <mergeCell ref="T1176:T1177"/>
    <mergeCell ref="U1176:U1177"/>
    <mergeCell ref="V1176:V1177"/>
    <mergeCell ref="T1170:T1171"/>
    <mergeCell ref="T1172:T1173"/>
    <mergeCell ref="U1172:U1173"/>
    <mergeCell ref="V1172:V1173"/>
    <mergeCell ref="T1174:T1175"/>
    <mergeCell ref="U1174:U1175"/>
    <mergeCell ref="V1174:V1175"/>
    <mergeCell ref="P1248:P1249"/>
    <mergeCell ref="Q1248:Q1249"/>
    <mergeCell ref="R1248:R1249"/>
    <mergeCell ref="T1249:T1250"/>
    <mergeCell ref="U1249:U1250"/>
    <mergeCell ref="V1249:V1250"/>
    <mergeCell ref="T1202:T1203"/>
    <mergeCell ref="T1204:T1205"/>
    <mergeCell ref="Q1206:Q1207"/>
    <mergeCell ref="R1206:R1207"/>
    <mergeCell ref="T1206:T1207"/>
    <mergeCell ref="U1206:U1207"/>
    <mergeCell ref="V1206:V1207"/>
    <mergeCell ref="P1206:P1207"/>
    <mergeCell ref="P1208:P1209"/>
    <mergeCell ref="Q1208:Q1209"/>
    <mergeCell ref="R1208:R1209"/>
    <mergeCell ref="T1154:T1155"/>
    <mergeCell ref="U1154:U1155"/>
    <mergeCell ref="V1154:V1155"/>
    <mergeCell ref="P1150:P1151"/>
    <mergeCell ref="Q1150:Q1151"/>
    <mergeCell ref="R1150:R1151"/>
    <mergeCell ref="T1150:T1151"/>
    <mergeCell ref="U1150:U1151"/>
    <mergeCell ref="V1150:V1151"/>
    <mergeCell ref="P1152:P1153"/>
    <mergeCell ref="P1164:P1165"/>
    <mergeCell ref="Q1164:Q1165"/>
    <mergeCell ref="R1164:R1165"/>
    <mergeCell ref="T1164:T1165"/>
    <mergeCell ref="U1164:U1165"/>
    <mergeCell ref="V1164:V1165"/>
    <mergeCell ref="P1166:P1167"/>
    <mergeCell ref="V1166:V1167"/>
    <mergeCell ref="T1166:T1167"/>
    <mergeCell ref="U1166:U1167"/>
    <mergeCell ref="Q1166:Q1167"/>
    <mergeCell ref="R1166:R1167"/>
    <mergeCell ref="P1178:P1179"/>
    <mergeCell ref="Q1178:Q1179"/>
    <mergeCell ref="R1178:R1179"/>
    <mergeCell ref="T1179:T1180"/>
    <mergeCell ref="U1179:U1180"/>
    <mergeCell ref="V1179:V1180"/>
    <mergeCell ref="P1180:P1181"/>
    <mergeCell ref="Q1228:Q1229"/>
    <mergeCell ref="R1228:R1229"/>
    <mergeCell ref="Q1230:Q1231"/>
    <mergeCell ref="R1230:R1231"/>
    <mergeCell ref="T1230:T1231"/>
    <mergeCell ref="U1230:U1231"/>
    <mergeCell ref="V1230:V1231"/>
    <mergeCell ref="P1230:P1231"/>
    <mergeCell ref="P1241:P1242"/>
    <mergeCell ref="Q1241:Q1242"/>
    <mergeCell ref="R1241:R1242"/>
    <mergeCell ref="T1241:T1242"/>
    <mergeCell ref="U1241:U1242"/>
    <mergeCell ref="V1241:V1242"/>
    <mergeCell ref="T1208:T1209"/>
    <mergeCell ref="U1208:U1209"/>
    <mergeCell ref="V1208:V1209"/>
    <mergeCell ref="T1212:T1213"/>
    <mergeCell ref="U1212:U1213"/>
    <mergeCell ref="P1210:P1211"/>
    <mergeCell ref="Q1210:Q1211"/>
    <mergeCell ref="R1210:R1211"/>
    <mergeCell ref="T1210:T1211"/>
    <mergeCell ref="U1210:U1211"/>
    <mergeCell ref="V1210:V1211"/>
    <mergeCell ref="V1116:V1117"/>
    <mergeCell ref="P1118:P1119"/>
    <mergeCell ref="V1118:V1119"/>
    <mergeCell ref="U1126:U1127"/>
    <mergeCell ref="V1126:V1127"/>
    <mergeCell ref="P1124:P1125"/>
    <mergeCell ref="Q1124:Q1125"/>
    <mergeCell ref="R1124:R1125"/>
    <mergeCell ref="T1124:T1125"/>
    <mergeCell ref="U1124:U1125"/>
    <mergeCell ref="V1124:V1125"/>
    <mergeCell ref="T1126:T1127"/>
    <mergeCell ref="Q1129:Q1130"/>
    <mergeCell ref="R1129:R1130"/>
    <mergeCell ref="P1127:P1128"/>
    <mergeCell ref="Q1127:Q1128"/>
    <mergeCell ref="R1127:R1128"/>
    <mergeCell ref="T1128:T1129"/>
    <mergeCell ref="U1128:U1129"/>
    <mergeCell ref="V1128:V1129"/>
    <mergeCell ref="P1129:P1130"/>
    <mergeCell ref="P1122:P1123"/>
    <mergeCell ref="Q1122:Q1123"/>
    <mergeCell ref="R1122:R1123"/>
    <mergeCell ref="T1122:T1123"/>
    <mergeCell ref="U1122:U1123"/>
    <mergeCell ref="V1122:V1123"/>
    <mergeCell ref="V1130:V1131"/>
    <mergeCell ref="P1131:P1132"/>
    <mergeCell ref="Q1131:Q1132"/>
    <mergeCell ref="R1131:R1132"/>
    <mergeCell ref="T1130:T1131"/>
    <mergeCell ref="P1106:P1107"/>
    <mergeCell ref="Q1106:Q1107"/>
    <mergeCell ref="R1106:R1107"/>
    <mergeCell ref="Q1108:Q1109"/>
    <mergeCell ref="R1108:R1109"/>
    <mergeCell ref="P1108:P1109"/>
    <mergeCell ref="P1110:P1111"/>
    <mergeCell ref="Q1110:Q1111"/>
    <mergeCell ref="R1110:R1111"/>
    <mergeCell ref="P1112:P1113"/>
    <mergeCell ref="Q1112:Q1113"/>
    <mergeCell ref="R1112:R1113"/>
    <mergeCell ref="T1118:T1119"/>
    <mergeCell ref="U1118:U1119"/>
    <mergeCell ref="P1116:P1117"/>
    <mergeCell ref="Q1116:Q1117"/>
    <mergeCell ref="R1116:R1117"/>
    <mergeCell ref="T1116:T1117"/>
    <mergeCell ref="U1116:U1117"/>
    <mergeCell ref="T1093:T1094"/>
    <mergeCell ref="U1093:U1094"/>
    <mergeCell ref="T1095:T1096"/>
    <mergeCell ref="U1095:U1096"/>
    <mergeCell ref="V1095:V1096"/>
    <mergeCell ref="T1097:T1098"/>
    <mergeCell ref="U1097:U1098"/>
    <mergeCell ref="V1097:V1098"/>
    <mergeCell ref="P1091:P1092"/>
    <mergeCell ref="Q1091:Q1092"/>
    <mergeCell ref="R1091:R1092"/>
    <mergeCell ref="T1091:T1092"/>
    <mergeCell ref="U1091:U1092"/>
    <mergeCell ref="V1091:V1092"/>
    <mergeCell ref="P1093:P1094"/>
    <mergeCell ref="V1093:V1094"/>
    <mergeCell ref="Q1104:Q1105"/>
    <mergeCell ref="R1104:R1105"/>
    <mergeCell ref="Q1093:Q1094"/>
    <mergeCell ref="R1093:R1094"/>
    <mergeCell ref="P1095:P1096"/>
    <mergeCell ref="Q1095:Q1096"/>
    <mergeCell ref="R1095:R1096"/>
    <mergeCell ref="Q1098:Q1099"/>
    <mergeCell ref="R1098:R1099"/>
    <mergeCell ref="P1098:P1099"/>
    <mergeCell ref="P1100:P1101"/>
    <mergeCell ref="Q1100:Q1101"/>
    <mergeCell ref="R1100:R1101"/>
    <mergeCell ref="T1101:T1102"/>
    <mergeCell ref="U1101:U1102"/>
    <mergeCell ref="V1101:V1102"/>
    <mergeCell ref="R1055:R1056"/>
    <mergeCell ref="Q1057:Q1058"/>
    <mergeCell ref="R1057:R1058"/>
    <mergeCell ref="P1057:P1058"/>
    <mergeCell ref="P1059:P1060"/>
    <mergeCell ref="Q1059:Q1060"/>
    <mergeCell ref="R1059:R1060"/>
    <mergeCell ref="P1061:P1062"/>
    <mergeCell ref="Q1061:Q1062"/>
    <mergeCell ref="R1061:R1062"/>
    <mergeCell ref="Q1087:Q1088"/>
    <mergeCell ref="R1087:R1088"/>
    <mergeCell ref="T1087:T1088"/>
    <mergeCell ref="U1087:U1088"/>
    <mergeCell ref="V1087:V1088"/>
    <mergeCell ref="P1089:P1090"/>
    <mergeCell ref="Q1089:Q1090"/>
    <mergeCell ref="R1089:R1090"/>
    <mergeCell ref="T1089:T1090"/>
    <mergeCell ref="U1089:U1090"/>
    <mergeCell ref="V1089:V1090"/>
    <mergeCell ref="P1065:P1066"/>
    <mergeCell ref="Q1065:Q1066"/>
    <mergeCell ref="R1065:R1066"/>
    <mergeCell ref="P1067:P1068"/>
    <mergeCell ref="Q1067:Q1068"/>
    <mergeCell ref="R1067:R1068"/>
    <mergeCell ref="P1087:P1088"/>
    <mergeCell ref="P1050:P1051"/>
    <mergeCell ref="Q1050:Q1051"/>
    <mergeCell ref="R1050:R1051"/>
    <mergeCell ref="T1050:T1051"/>
    <mergeCell ref="U1050:U1051"/>
    <mergeCell ref="V1050:V1051"/>
    <mergeCell ref="P1052:P1053"/>
    <mergeCell ref="V1052:V1053"/>
    <mergeCell ref="T1052:T1053"/>
    <mergeCell ref="U1052:U1053"/>
    <mergeCell ref="T1054:T1055"/>
    <mergeCell ref="U1054:U1055"/>
    <mergeCell ref="V1054:V1055"/>
    <mergeCell ref="U1056:U1057"/>
    <mergeCell ref="V1056:V1057"/>
    <mergeCell ref="P1063:P1064"/>
    <mergeCell ref="Q1063:Q1064"/>
    <mergeCell ref="R1063:R1064"/>
    <mergeCell ref="T1063:T1064"/>
    <mergeCell ref="U1063:U1064"/>
    <mergeCell ref="V1063:V1064"/>
    <mergeCell ref="T1056:T1057"/>
    <mergeCell ref="T1058:T1059"/>
    <mergeCell ref="U1058:U1059"/>
    <mergeCell ref="V1058:V1059"/>
    <mergeCell ref="T1061:T1062"/>
    <mergeCell ref="U1061:U1062"/>
    <mergeCell ref="V1061:V1062"/>
    <mergeCell ref="Q1052:Q1053"/>
    <mergeCell ref="R1052:R1053"/>
    <mergeCell ref="P1055:P1056"/>
    <mergeCell ref="Q1055:Q1056"/>
    <mergeCell ref="Q1040:Q1041"/>
    <mergeCell ref="R1040:R1041"/>
    <mergeCell ref="T1040:T1041"/>
    <mergeCell ref="U1040:U1041"/>
    <mergeCell ref="V1040:V1041"/>
    <mergeCell ref="P1044:P1045"/>
    <mergeCell ref="Q1044:Q1045"/>
    <mergeCell ref="R1044:R1045"/>
    <mergeCell ref="Q1046:Q1047"/>
    <mergeCell ref="R1046:R1047"/>
    <mergeCell ref="T1046:T1047"/>
    <mergeCell ref="U1046:U1047"/>
    <mergeCell ref="V1046:V1047"/>
    <mergeCell ref="P1046:P1047"/>
    <mergeCell ref="P1048:P1049"/>
    <mergeCell ref="Q1048:Q1049"/>
    <mergeCell ref="R1048:R1049"/>
    <mergeCell ref="T1048:T1049"/>
    <mergeCell ref="U1048:U1049"/>
    <mergeCell ref="V1048:V1049"/>
    <mergeCell ref="P1102:P1103"/>
    <mergeCell ref="Q1102:Q1103"/>
    <mergeCell ref="R1102:R1103"/>
    <mergeCell ref="T1103:T1104"/>
    <mergeCell ref="U1103:U1104"/>
    <mergeCell ref="V1103:V1104"/>
    <mergeCell ref="P1104:P1105"/>
    <mergeCell ref="U1109:U1110"/>
    <mergeCell ref="V1109:V1110"/>
    <mergeCell ref="T1111:T1112"/>
    <mergeCell ref="U1111:U1112"/>
    <mergeCell ref="V1111:V1112"/>
    <mergeCell ref="T930:T931"/>
    <mergeCell ref="U930:U931"/>
    <mergeCell ref="V930:V931"/>
    <mergeCell ref="P931:P932"/>
    <mergeCell ref="Q931:Q932"/>
    <mergeCell ref="R931:R932"/>
    <mergeCell ref="T1076:T1077"/>
    <mergeCell ref="P992:P993"/>
    <mergeCell ref="Q992:Q993"/>
    <mergeCell ref="R992:R993"/>
    <mergeCell ref="Q994:Q995"/>
    <mergeCell ref="R994:R995"/>
    <mergeCell ref="P994:P995"/>
    <mergeCell ref="P996:P997"/>
    <mergeCell ref="Q996:Q997"/>
    <mergeCell ref="R996:R997"/>
    <mergeCell ref="P998:P999"/>
    <mergeCell ref="Q998:Q999"/>
    <mergeCell ref="R998:R999"/>
    <mergeCell ref="Q1013:Q1014"/>
    <mergeCell ref="P917:P918"/>
    <mergeCell ref="P919:P920"/>
    <mergeCell ref="Q919:Q920"/>
    <mergeCell ref="R919:R920"/>
    <mergeCell ref="P929:P930"/>
    <mergeCell ref="Q929:Q930"/>
    <mergeCell ref="R929:R930"/>
    <mergeCell ref="Q1118:Q1119"/>
    <mergeCell ref="R1118:R1119"/>
    <mergeCell ref="Q1120:Q1121"/>
    <mergeCell ref="R1120:R1121"/>
    <mergeCell ref="T1120:T1121"/>
    <mergeCell ref="U1120:U1121"/>
    <mergeCell ref="V1120:V1121"/>
    <mergeCell ref="P1120:P1121"/>
    <mergeCell ref="T1113:T1114"/>
    <mergeCell ref="U1113:U1114"/>
    <mergeCell ref="V1113:V1114"/>
    <mergeCell ref="T1105:T1106"/>
    <mergeCell ref="U1105:U1106"/>
    <mergeCell ref="V1105:V1106"/>
    <mergeCell ref="T1107:T1108"/>
    <mergeCell ref="U1107:U1108"/>
    <mergeCell ref="V1107:V1108"/>
    <mergeCell ref="T1109:T1110"/>
    <mergeCell ref="P1040:P1041"/>
    <mergeCell ref="Q917:Q918"/>
    <mergeCell ref="R917:R918"/>
    <mergeCell ref="T918:T919"/>
    <mergeCell ref="U918:U919"/>
    <mergeCell ref="V918:V919"/>
    <mergeCell ref="U920:U929"/>
    <mergeCell ref="V920:V929"/>
    <mergeCell ref="T909:T910"/>
    <mergeCell ref="U909:U910"/>
    <mergeCell ref="V909:V910"/>
    <mergeCell ref="T911:T912"/>
    <mergeCell ref="U911:U912"/>
    <mergeCell ref="V911:V912"/>
    <mergeCell ref="T920:T929"/>
    <mergeCell ref="U834:U835"/>
    <mergeCell ref="V834:V835"/>
    <mergeCell ref="T830:T831"/>
    <mergeCell ref="U830:U831"/>
    <mergeCell ref="V830:V831"/>
    <mergeCell ref="T832:T833"/>
    <mergeCell ref="U832:U833"/>
    <mergeCell ref="V832:V833"/>
    <mergeCell ref="T834:T835"/>
    <mergeCell ref="U855:U856"/>
    <mergeCell ref="V855:V856"/>
    <mergeCell ref="T842:T852"/>
    <mergeCell ref="U842:U852"/>
    <mergeCell ref="V842:V852"/>
    <mergeCell ref="T853:T854"/>
    <mergeCell ref="U853:U854"/>
    <mergeCell ref="V853:V854"/>
    <mergeCell ref="T855:T856"/>
    <mergeCell ref="T893:T894"/>
    <mergeCell ref="U893:U894"/>
    <mergeCell ref="V893:V894"/>
    <mergeCell ref="U895:U896"/>
    <mergeCell ref="V895:V896"/>
    <mergeCell ref="T895:T896"/>
    <mergeCell ref="Q910:Q911"/>
    <mergeCell ref="R910:R911"/>
    <mergeCell ref="P906:P907"/>
    <mergeCell ref="Q906:Q907"/>
    <mergeCell ref="R906:R907"/>
    <mergeCell ref="P908:P909"/>
    <mergeCell ref="Q908:Q909"/>
    <mergeCell ref="R908:R909"/>
    <mergeCell ref="P910:P911"/>
    <mergeCell ref="P913:P914"/>
    <mergeCell ref="Q913:Q914"/>
    <mergeCell ref="R913:R914"/>
    <mergeCell ref="T913:T914"/>
    <mergeCell ref="U913:U914"/>
    <mergeCell ref="V913:V914"/>
    <mergeCell ref="P915:P916"/>
    <mergeCell ref="Q915:Q916"/>
    <mergeCell ref="R915:R916"/>
    <mergeCell ref="T897:T898"/>
    <mergeCell ref="U897:U898"/>
    <mergeCell ref="V897:V898"/>
    <mergeCell ref="T899:T900"/>
    <mergeCell ref="U899:U900"/>
    <mergeCell ref="V899:V900"/>
    <mergeCell ref="U907:U908"/>
    <mergeCell ref="V907:V908"/>
    <mergeCell ref="T901:T902"/>
    <mergeCell ref="U901:U902"/>
    <mergeCell ref="V901:V902"/>
    <mergeCell ref="T905:T906"/>
    <mergeCell ref="U905:U906"/>
    <mergeCell ref="V905:V906"/>
    <mergeCell ref="T907:T908"/>
    <mergeCell ref="T622:T623"/>
    <mergeCell ref="U622:U623"/>
    <mergeCell ref="V622:V623"/>
    <mergeCell ref="T624:T625"/>
    <mergeCell ref="U630:U631"/>
    <mergeCell ref="V630:V631"/>
    <mergeCell ref="T626:T627"/>
    <mergeCell ref="U626:U627"/>
    <mergeCell ref="V626:V627"/>
    <mergeCell ref="T628:T629"/>
    <mergeCell ref="U628:U629"/>
    <mergeCell ref="V628:V629"/>
    <mergeCell ref="T630:T631"/>
    <mergeCell ref="U654:U655"/>
    <mergeCell ref="V654:V655"/>
    <mergeCell ref="T641:T642"/>
    <mergeCell ref="U641:U642"/>
    <mergeCell ref="V641:V642"/>
    <mergeCell ref="T643:T644"/>
    <mergeCell ref="U643:U644"/>
    <mergeCell ref="V643:V644"/>
    <mergeCell ref="T654:T655"/>
    <mergeCell ref="U482:U483"/>
    <mergeCell ref="V482:V483"/>
    <mergeCell ref="T477:T478"/>
    <mergeCell ref="U477:U478"/>
    <mergeCell ref="V477:V478"/>
    <mergeCell ref="T479:T480"/>
    <mergeCell ref="U479:U480"/>
    <mergeCell ref="V479:V480"/>
    <mergeCell ref="T482:T483"/>
    <mergeCell ref="U639:U640"/>
    <mergeCell ref="V639:V640"/>
    <mergeCell ref="T635:T636"/>
    <mergeCell ref="U635:U636"/>
    <mergeCell ref="V635:V636"/>
    <mergeCell ref="T637:T638"/>
    <mergeCell ref="U637:U638"/>
    <mergeCell ref="V637:V638"/>
    <mergeCell ref="T639:T640"/>
    <mergeCell ref="U570:U571"/>
    <mergeCell ref="V570:V571"/>
    <mergeCell ref="T566:T567"/>
    <mergeCell ref="U566:U567"/>
    <mergeCell ref="V566:V567"/>
    <mergeCell ref="T568:T569"/>
    <mergeCell ref="U568:U569"/>
    <mergeCell ref="V568:V569"/>
    <mergeCell ref="T570:T571"/>
    <mergeCell ref="U624:U625"/>
    <mergeCell ref="V624:V625"/>
    <mergeCell ref="T612:T621"/>
    <mergeCell ref="U612:U621"/>
    <mergeCell ref="V612:V621"/>
    <mergeCell ref="U449:U450"/>
    <mergeCell ref="V449:V450"/>
    <mergeCell ref="T445:T446"/>
    <mergeCell ref="U445:U446"/>
    <mergeCell ref="V445:V446"/>
    <mergeCell ref="T447:T448"/>
    <mergeCell ref="U447:U448"/>
    <mergeCell ref="V447:V448"/>
    <mergeCell ref="T449:T450"/>
    <mergeCell ref="U475:U476"/>
    <mergeCell ref="V475:V476"/>
    <mergeCell ref="T471:T472"/>
    <mergeCell ref="U471:U472"/>
    <mergeCell ref="V471:V472"/>
    <mergeCell ref="T473:T474"/>
    <mergeCell ref="U473:U474"/>
    <mergeCell ref="V473:V474"/>
    <mergeCell ref="T475:T476"/>
    <mergeCell ref="U564:U565"/>
    <mergeCell ref="V564:V565"/>
    <mergeCell ref="T559:T560"/>
    <mergeCell ref="U559:U560"/>
    <mergeCell ref="V559:V560"/>
    <mergeCell ref="T562:T563"/>
    <mergeCell ref="U562:U563"/>
    <mergeCell ref="V562:V563"/>
    <mergeCell ref="T564:T565"/>
    <mergeCell ref="U437:U438"/>
    <mergeCell ref="V437:V438"/>
    <mergeCell ref="T432:T433"/>
    <mergeCell ref="U432:U433"/>
    <mergeCell ref="V432:V433"/>
    <mergeCell ref="T434:T435"/>
    <mergeCell ref="U434:U435"/>
    <mergeCell ref="V434:V435"/>
    <mergeCell ref="T437:T438"/>
    <mergeCell ref="U443:U444"/>
    <mergeCell ref="V443:V444"/>
    <mergeCell ref="T439:T440"/>
    <mergeCell ref="U439:U440"/>
    <mergeCell ref="V439:V440"/>
    <mergeCell ref="T441:T442"/>
    <mergeCell ref="U441:U442"/>
    <mergeCell ref="V441:V442"/>
    <mergeCell ref="T443:T444"/>
    <mergeCell ref="U415:U416"/>
    <mergeCell ref="V415:V416"/>
    <mergeCell ref="T411:T412"/>
    <mergeCell ref="U411:U412"/>
    <mergeCell ref="V411:V412"/>
    <mergeCell ref="T413:T414"/>
    <mergeCell ref="U413:U414"/>
    <mergeCell ref="V413:V414"/>
    <mergeCell ref="T415:T416"/>
    <mergeCell ref="U430:U431"/>
    <mergeCell ref="V430:V431"/>
    <mergeCell ref="T426:T427"/>
    <mergeCell ref="U426:U427"/>
    <mergeCell ref="V426:V427"/>
    <mergeCell ref="T428:T429"/>
    <mergeCell ref="U428:U429"/>
    <mergeCell ref="V428:V429"/>
    <mergeCell ref="T430:T431"/>
    <mergeCell ref="U424:U425"/>
    <mergeCell ref="V424:V425"/>
    <mergeCell ref="T417:T418"/>
    <mergeCell ref="U417:U418"/>
    <mergeCell ref="V417:V418"/>
    <mergeCell ref="T419:T420"/>
    <mergeCell ref="U419:U420"/>
    <mergeCell ref="V419:V420"/>
    <mergeCell ref="T424:T425"/>
    <mergeCell ref="V370:V371"/>
    <mergeCell ref="T366:T367"/>
    <mergeCell ref="U401:U402"/>
    <mergeCell ref="V401:V402"/>
    <mergeCell ref="T396:T397"/>
    <mergeCell ref="U396:U397"/>
    <mergeCell ref="V396:V397"/>
    <mergeCell ref="T399:T400"/>
    <mergeCell ref="U399:U400"/>
    <mergeCell ref="V399:V400"/>
    <mergeCell ref="T401:T402"/>
    <mergeCell ref="U407:U408"/>
    <mergeCell ref="V407:V408"/>
    <mergeCell ref="T403:T404"/>
    <mergeCell ref="U403:U404"/>
    <mergeCell ref="V403:V404"/>
    <mergeCell ref="T405:T406"/>
    <mergeCell ref="U405:U406"/>
    <mergeCell ref="V405:V406"/>
    <mergeCell ref="T407:T408"/>
    <mergeCell ref="T357:T358"/>
    <mergeCell ref="U345:U346"/>
    <mergeCell ref="V341:V342"/>
    <mergeCell ref="T345:T346"/>
    <mergeCell ref="U380:U381"/>
    <mergeCell ref="V380:V381"/>
    <mergeCell ref="T376:T377"/>
    <mergeCell ref="U376:U377"/>
    <mergeCell ref="V376:V377"/>
    <mergeCell ref="T378:T379"/>
    <mergeCell ref="U378:U379"/>
    <mergeCell ref="V378:V379"/>
    <mergeCell ref="T380:T381"/>
    <mergeCell ref="U394:U395"/>
    <mergeCell ref="V394:V395"/>
    <mergeCell ref="T390:T391"/>
    <mergeCell ref="U390:U391"/>
    <mergeCell ref="V390:V391"/>
    <mergeCell ref="T392:T393"/>
    <mergeCell ref="U392:U393"/>
    <mergeCell ref="V392:V393"/>
    <mergeCell ref="T394:T395"/>
    <mergeCell ref="U364:U365"/>
    <mergeCell ref="V364:V365"/>
    <mergeCell ref="T360:T361"/>
    <mergeCell ref="U360:U361"/>
    <mergeCell ref="V360:V361"/>
    <mergeCell ref="T362:T363"/>
    <mergeCell ref="U362:U363"/>
    <mergeCell ref="V362:V363"/>
    <mergeCell ref="T364:T365"/>
    <mergeCell ref="U370:U371"/>
    <mergeCell ref="R351:R352"/>
    <mergeCell ref="P353:P354"/>
    <mergeCell ref="U366:U367"/>
    <mergeCell ref="V366:V367"/>
    <mergeCell ref="T368:T369"/>
    <mergeCell ref="U368:U369"/>
    <mergeCell ref="V368:V369"/>
    <mergeCell ref="T370:T371"/>
    <mergeCell ref="T333:T334"/>
    <mergeCell ref="U333:U334"/>
    <mergeCell ref="V333:V334"/>
    <mergeCell ref="T335:T336"/>
    <mergeCell ref="U335:U336"/>
    <mergeCell ref="V335:V336"/>
    <mergeCell ref="T337:T338"/>
    <mergeCell ref="U351:U352"/>
    <mergeCell ref="V351:V352"/>
    <mergeCell ref="T347:T348"/>
    <mergeCell ref="U347:U348"/>
    <mergeCell ref="V347:V348"/>
    <mergeCell ref="T349:T350"/>
    <mergeCell ref="U349:U350"/>
    <mergeCell ref="V349:V350"/>
    <mergeCell ref="T351:T352"/>
    <mergeCell ref="U357:U358"/>
    <mergeCell ref="V357:V358"/>
    <mergeCell ref="T353:T354"/>
    <mergeCell ref="U353:U354"/>
    <mergeCell ref="V353:V354"/>
    <mergeCell ref="T355:T356"/>
    <mergeCell ref="U355:U356"/>
    <mergeCell ref="V355:V356"/>
    <mergeCell ref="P347:P348"/>
    <mergeCell ref="U319:U320"/>
    <mergeCell ref="V319:V320"/>
    <mergeCell ref="T321:T322"/>
    <mergeCell ref="U321:U322"/>
    <mergeCell ref="V321:V322"/>
    <mergeCell ref="T325:T326"/>
    <mergeCell ref="U331:U332"/>
    <mergeCell ref="V331:V332"/>
    <mergeCell ref="T327:T328"/>
    <mergeCell ref="U327:U328"/>
    <mergeCell ref="V327:V328"/>
    <mergeCell ref="T329:T330"/>
    <mergeCell ref="U329:U330"/>
    <mergeCell ref="V329:V330"/>
    <mergeCell ref="T331:T332"/>
    <mergeCell ref="V345:V346"/>
    <mergeCell ref="T339:T340"/>
    <mergeCell ref="U339:U340"/>
    <mergeCell ref="V339:V340"/>
    <mergeCell ref="T341:T342"/>
    <mergeCell ref="U341:U342"/>
    <mergeCell ref="P337:P338"/>
    <mergeCell ref="Q337:Q338"/>
    <mergeCell ref="P270:P271"/>
    <mergeCell ref="Q270:Q271"/>
    <mergeCell ref="R270:R271"/>
    <mergeCell ref="P272:P273"/>
    <mergeCell ref="Q272:Q273"/>
    <mergeCell ref="R272:R273"/>
    <mergeCell ref="P274:P275"/>
    <mergeCell ref="P257:P258"/>
    <mergeCell ref="Q257:Q258"/>
    <mergeCell ref="R257:R258"/>
    <mergeCell ref="P259:P260"/>
    <mergeCell ref="Q259:Q260"/>
    <mergeCell ref="R259:R260"/>
    <mergeCell ref="P261:P262"/>
    <mergeCell ref="Q261:Q262"/>
    <mergeCell ref="R261:R262"/>
    <mergeCell ref="Q331:Q332"/>
    <mergeCell ref="R331:R332"/>
    <mergeCell ref="Q329:Q330"/>
    <mergeCell ref="R329:R330"/>
    <mergeCell ref="P325:P326"/>
    <mergeCell ref="Q325:Q326"/>
    <mergeCell ref="R325:R326"/>
    <mergeCell ref="P327:P328"/>
    <mergeCell ref="Q327:Q328"/>
    <mergeCell ref="R327:R328"/>
    <mergeCell ref="P329:P330"/>
    <mergeCell ref="P319:P320"/>
    <mergeCell ref="Q319:Q320"/>
    <mergeCell ref="R319:R320"/>
    <mergeCell ref="Q274:Q275"/>
    <mergeCell ref="R274:R275"/>
    <mergeCell ref="V265:V266"/>
    <mergeCell ref="T268:T269"/>
    <mergeCell ref="U268:U269"/>
    <mergeCell ref="V268:V269"/>
    <mergeCell ref="T270:T271"/>
    <mergeCell ref="U270:U271"/>
    <mergeCell ref="V270:V271"/>
    <mergeCell ref="T272:T273"/>
    <mergeCell ref="U272:U273"/>
    <mergeCell ref="V272:V273"/>
    <mergeCell ref="U274:U275"/>
    <mergeCell ref="V274:V275"/>
    <mergeCell ref="T274:T275"/>
    <mergeCell ref="T236:T237"/>
    <mergeCell ref="U236:U237"/>
    <mergeCell ref="V236:V237"/>
    <mergeCell ref="Q254:Q255"/>
    <mergeCell ref="R254:R255"/>
    <mergeCell ref="Q242:Q243"/>
    <mergeCell ref="R242:R243"/>
    <mergeCell ref="T250:T251"/>
    <mergeCell ref="U257:U258"/>
    <mergeCell ref="V257:V258"/>
    <mergeCell ref="T252:T253"/>
    <mergeCell ref="U252:U253"/>
    <mergeCell ref="V252:V253"/>
    <mergeCell ref="T254:T255"/>
    <mergeCell ref="U254:U255"/>
    <mergeCell ref="V254:V255"/>
    <mergeCell ref="T257:T258"/>
    <mergeCell ref="T265:T266"/>
    <mergeCell ref="U265:U266"/>
    <mergeCell ref="Q268:Q269"/>
    <mergeCell ref="R268:R269"/>
    <mergeCell ref="P263:P264"/>
    <mergeCell ref="Q263:Q264"/>
    <mergeCell ref="R263:R264"/>
    <mergeCell ref="P265:P266"/>
    <mergeCell ref="Q265:Q266"/>
    <mergeCell ref="R265:R266"/>
    <mergeCell ref="P268:P269"/>
    <mergeCell ref="P217:P218"/>
    <mergeCell ref="Q217:Q218"/>
    <mergeCell ref="R217:R218"/>
    <mergeCell ref="Q236:Q237"/>
    <mergeCell ref="Q240:Q241"/>
    <mergeCell ref="R240:R241"/>
    <mergeCell ref="P234:P235"/>
    <mergeCell ref="P236:P237"/>
    <mergeCell ref="R236:R237"/>
    <mergeCell ref="P238:P239"/>
    <mergeCell ref="Q238:Q239"/>
    <mergeCell ref="R238:R239"/>
    <mergeCell ref="P240:P241"/>
    <mergeCell ref="Q248:Q249"/>
    <mergeCell ref="R248:R249"/>
    <mergeCell ref="P242:P243"/>
    <mergeCell ref="V234:V235"/>
    <mergeCell ref="T221:T222"/>
    <mergeCell ref="U221:U222"/>
    <mergeCell ref="P219:P220"/>
    <mergeCell ref="Q219:Q220"/>
    <mergeCell ref="R219:R220"/>
    <mergeCell ref="T219:T220"/>
    <mergeCell ref="U219:U220"/>
    <mergeCell ref="V219:V220"/>
    <mergeCell ref="P221:P222"/>
    <mergeCell ref="V221:V222"/>
    <mergeCell ref="Q215:Q216"/>
    <mergeCell ref="R215:R216"/>
    <mergeCell ref="K219:K220"/>
    <mergeCell ref="K221:K222"/>
    <mergeCell ref="F223:K223"/>
    <mergeCell ref="H231:K231"/>
    <mergeCell ref="K234:K235"/>
    <mergeCell ref="Q234:Q235"/>
    <mergeCell ref="G219:G220"/>
    <mergeCell ref="V213:V214"/>
    <mergeCell ref="P208:P209"/>
    <mergeCell ref="Q208:Q209"/>
    <mergeCell ref="R208:R209"/>
    <mergeCell ref="Q211:Q212"/>
    <mergeCell ref="R211:R212"/>
    <mergeCell ref="P211:P212"/>
    <mergeCell ref="P213:P214"/>
    <mergeCell ref="Q213:Q214"/>
    <mergeCell ref="R213:R214"/>
    <mergeCell ref="P215:P216"/>
    <mergeCell ref="T217:T218"/>
    <mergeCell ref="U217:U218"/>
    <mergeCell ref="V217:V218"/>
    <mergeCell ref="K206:K207"/>
    <mergeCell ref="K208:K209"/>
    <mergeCell ref="F210:K210"/>
    <mergeCell ref="K211:K212"/>
    <mergeCell ref="K213:K214"/>
    <mergeCell ref="K215:K216"/>
    <mergeCell ref="K217:K218"/>
    <mergeCell ref="T215:T216"/>
    <mergeCell ref="U215:U216"/>
    <mergeCell ref="V215:V216"/>
    <mergeCell ref="T211:T212"/>
    <mergeCell ref="U211:U212"/>
    <mergeCell ref="V211:V212"/>
    <mergeCell ref="T213:T214"/>
    <mergeCell ref="G217:G218"/>
    <mergeCell ref="R193:R194"/>
    <mergeCell ref="P195:P196"/>
    <mergeCell ref="P187:P188"/>
    <mergeCell ref="Q187:Q188"/>
    <mergeCell ref="U187:U188"/>
    <mergeCell ref="V187:V188"/>
    <mergeCell ref="K200:K201"/>
    <mergeCell ref="K202:K203"/>
    <mergeCell ref="K204:K205"/>
    <mergeCell ref="Q204:Q205"/>
    <mergeCell ref="R204:R205"/>
    <mergeCell ref="T204:T205"/>
    <mergeCell ref="T206:T207"/>
    <mergeCell ref="Q206:Q207"/>
    <mergeCell ref="R206:R207"/>
    <mergeCell ref="U206:U207"/>
    <mergeCell ref="V206:V207"/>
    <mergeCell ref="Q195:Q196"/>
    <mergeCell ref="R195:R196"/>
    <mergeCell ref="P191:P192"/>
    <mergeCell ref="Q191:Q192"/>
    <mergeCell ref="R191:R192"/>
    <mergeCell ref="P193:P194"/>
    <mergeCell ref="U204:U205"/>
    <mergeCell ref="V204:V205"/>
    <mergeCell ref="P198:P199"/>
    <mergeCell ref="Q198:Q199"/>
    <mergeCell ref="R198:R199"/>
    <mergeCell ref="P204:P205"/>
    <mergeCell ref="P206:P207"/>
    <mergeCell ref="T198:T199"/>
    <mergeCell ref="U198:U199"/>
    <mergeCell ref="V198:V199"/>
    <mergeCell ref="T208:T209"/>
    <mergeCell ref="U208:U209"/>
    <mergeCell ref="V208:V209"/>
    <mergeCell ref="K183:K184"/>
    <mergeCell ref="P183:P184"/>
    <mergeCell ref="Q183:Q184"/>
    <mergeCell ref="R183:R184"/>
    <mergeCell ref="F186:K186"/>
    <mergeCell ref="R187:R188"/>
    <mergeCell ref="U189:U190"/>
    <mergeCell ref="V189:V190"/>
    <mergeCell ref="U191:U192"/>
    <mergeCell ref="V191:V192"/>
    <mergeCell ref="U193:U194"/>
    <mergeCell ref="V193:V194"/>
    <mergeCell ref="U195:U196"/>
    <mergeCell ref="V195:V196"/>
    <mergeCell ref="T195:T196"/>
    <mergeCell ref="K187:K188"/>
    <mergeCell ref="K189:K190"/>
    <mergeCell ref="K191:K192"/>
    <mergeCell ref="K193:K194"/>
    <mergeCell ref="K195:K196"/>
    <mergeCell ref="P189:P190"/>
    <mergeCell ref="Q189:Q190"/>
    <mergeCell ref="R189:R190"/>
    <mergeCell ref="T187:T188"/>
    <mergeCell ref="P175:P176"/>
    <mergeCell ref="P177:P178"/>
    <mergeCell ref="Q177:Q178"/>
    <mergeCell ref="R177:R178"/>
    <mergeCell ref="T177:T178"/>
    <mergeCell ref="U177:U178"/>
    <mergeCell ref="V177:V178"/>
    <mergeCell ref="Q168:Q169"/>
    <mergeCell ref="Q170:Q171"/>
    <mergeCell ref="U175:U176"/>
    <mergeCell ref="T181:T182"/>
    <mergeCell ref="U181:U182"/>
    <mergeCell ref="T183:T184"/>
    <mergeCell ref="U183:U184"/>
    <mergeCell ref="V183:V184"/>
    <mergeCell ref="V181:V182"/>
    <mergeCell ref="R202:R203"/>
    <mergeCell ref="T202:T203"/>
    <mergeCell ref="U202:U203"/>
    <mergeCell ref="P200:P201"/>
    <mergeCell ref="Q200:Q201"/>
    <mergeCell ref="R200:R201"/>
    <mergeCell ref="T200:T201"/>
    <mergeCell ref="U200:U201"/>
    <mergeCell ref="V200:V201"/>
    <mergeCell ref="P202:P203"/>
    <mergeCell ref="V202:V203"/>
    <mergeCell ref="T189:T190"/>
    <mergeCell ref="T191:T192"/>
    <mergeCell ref="T193:T194"/>
    <mergeCell ref="Q202:Q203"/>
    <mergeCell ref="Q193:Q194"/>
    <mergeCell ref="K175:K176"/>
    <mergeCell ref="Q175:Q176"/>
    <mergeCell ref="R175:R176"/>
    <mergeCell ref="K177:K178"/>
    <mergeCell ref="P179:P180"/>
    <mergeCell ref="P181:P182"/>
    <mergeCell ref="Q181:Q182"/>
    <mergeCell ref="R181:R182"/>
    <mergeCell ref="K179:K180"/>
    <mergeCell ref="Q179:Q180"/>
    <mergeCell ref="R179:R180"/>
    <mergeCell ref="T179:T180"/>
    <mergeCell ref="U179:U180"/>
    <mergeCell ref="V179:V180"/>
    <mergeCell ref="K181:K182"/>
    <mergeCell ref="P160:P161"/>
    <mergeCell ref="P162:P163"/>
    <mergeCell ref="P164:P165"/>
    <mergeCell ref="P166:P167"/>
    <mergeCell ref="P168:P169"/>
    <mergeCell ref="P170:P171"/>
    <mergeCell ref="P172:P173"/>
    <mergeCell ref="Q162:Q163"/>
    <mergeCell ref="R162:R163"/>
    <mergeCell ref="Q164:Q165"/>
    <mergeCell ref="R164:R165"/>
    <mergeCell ref="Q166:Q167"/>
    <mergeCell ref="R166:R167"/>
    <mergeCell ref="R168:R169"/>
    <mergeCell ref="R170:R171"/>
    <mergeCell ref="T175:T176"/>
    <mergeCell ref="V175:V176"/>
    <mergeCell ref="K162:K163"/>
    <mergeCell ref="K164:K165"/>
    <mergeCell ref="K166:K167"/>
    <mergeCell ref="K168:K169"/>
    <mergeCell ref="K170:K171"/>
    <mergeCell ref="K172:K173"/>
    <mergeCell ref="K160:K161"/>
    <mergeCell ref="Q160:Q161"/>
    <mergeCell ref="R160:R161"/>
    <mergeCell ref="T160:T161"/>
    <mergeCell ref="U160:U161"/>
    <mergeCell ref="V160:V161"/>
    <mergeCell ref="V162:V163"/>
    <mergeCell ref="T166:T167"/>
    <mergeCell ref="T168:T169"/>
    <mergeCell ref="U168:U169"/>
    <mergeCell ref="V168:V169"/>
    <mergeCell ref="T170:T171"/>
    <mergeCell ref="U170:U171"/>
    <mergeCell ref="V170:V171"/>
    <mergeCell ref="T162:T163"/>
    <mergeCell ref="U162:U163"/>
    <mergeCell ref="T164:T165"/>
    <mergeCell ref="U164:U165"/>
    <mergeCell ref="V164:V165"/>
    <mergeCell ref="U166:U167"/>
    <mergeCell ref="V166:V167"/>
    <mergeCell ref="Q172:Q173"/>
    <mergeCell ref="R172:R173"/>
    <mergeCell ref="T172:T173"/>
    <mergeCell ref="U172:U173"/>
    <mergeCell ref="V172:V173"/>
    <mergeCell ref="P142:P143"/>
    <mergeCell ref="Q142:Q143"/>
    <mergeCell ref="R142:R143"/>
    <mergeCell ref="T142:T143"/>
    <mergeCell ref="U142:U143"/>
    <mergeCell ref="V142:V143"/>
    <mergeCell ref="P144:P145"/>
    <mergeCell ref="V144:V145"/>
    <mergeCell ref="P148:P149"/>
    <mergeCell ref="P158:P159"/>
    <mergeCell ref="T144:T145"/>
    <mergeCell ref="U144:U145"/>
    <mergeCell ref="T146:T147"/>
    <mergeCell ref="U146:U147"/>
    <mergeCell ref="V146:V147"/>
    <mergeCell ref="T148:T149"/>
    <mergeCell ref="U148:U149"/>
    <mergeCell ref="V148:V149"/>
    <mergeCell ref="Q144:Q145"/>
    <mergeCell ref="R144:R145"/>
    <mergeCell ref="P146:P147"/>
    <mergeCell ref="Q146:Q147"/>
    <mergeCell ref="R146:R147"/>
    <mergeCell ref="Q148:Q149"/>
    <mergeCell ref="R148:R149"/>
    <mergeCell ref="Q158:Q159"/>
    <mergeCell ref="R158:R159"/>
    <mergeCell ref="T158:T159"/>
    <mergeCell ref="U158:U159"/>
    <mergeCell ref="V158:V159"/>
    <mergeCell ref="T139:T140"/>
    <mergeCell ref="U139:U140"/>
    <mergeCell ref="V139:V140"/>
    <mergeCell ref="T131:T132"/>
    <mergeCell ref="U131:U132"/>
    <mergeCell ref="T133:T134"/>
    <mergeCell ref="U133:U134"/>
    <mergeCell ref="V133:V134"/>
    <mergeCell ref="U135:U136"/>
    <mergeCell ref="V135:V136"/>
    <mergeCell ref="P135:P136"/>
    <mergeCell ref="P137:P138"/>
    <mergeCell ref="Q137:Q138"/>
    <mergeCell ref="R137:R138"/>
    <mergeCell ref="P139:P140"/>
    <mergeCell ref="Q139:Q140"/>
    <mergeCell ref="R139:R140"/>
    <mergeCell ref="P129:P130"/>
    <mergeCell ref="Q129:Q130"/>
    <mergeCell ref="R129:R130"/>
    <mergeCell ref="T129:T130"/>
    <mergeCell ref="U129:U130"/>
    <mergeCell ref="V129:V130"/>
    <mergeCell ref="P131:P132"/>
    <mergeCell ref="V131:V132"/>
    <mergeCell ref="Q131:Q132"/>
    <mergeCell ref="R131:R132"/>
    <mergeCell ref="P133:P134"/>
    <mergeCell ref="Q133:Q134"/>
    <mergeCell ref="R133:R134"/>
    <mergeCell ref="Q135:Q136"/>
    <mergeCell ref="R135:R136"/>
    <mergeCell ref="T135:T136"/>
    <mergeCell ref="T137:T138"/>
    <mergeCell ref="U137:U138"/>
    <mergeCell ref="V137:V138"/>
    <mergeCell ref="K858:K859"/>
    <mergeCell ref="K860:K861"/>
    <mergeCell ref="U874:U875"/>
    <mergeCell ref="V874:V875"/>
    <mergeCell ref="T870:T871"/>
    <mergeCell ref="U870:U871"/>
    <mergeCell ref="V870:V871"/>
    <mergeCell ref="T872:T873"/>
    <mergeCell ref="U872:U873"/>
    <mergeCell ref="V872:V873"/>
    <mergeCell ref="T874:T875"/>
    <mergeCell ref="U882:U883"/>
    <mergeCell ref="V882:V883"/>
    <mergeCell ref="V890:V891"/>
    <mergeCell ref="T878:T879"/>
    <mergeCell ref="U878:U879"/>
    <mergeCell ref="V878:V879"/>
    <mergeCell ref="T880:T881"/>
    <mergeCell ref="U880:U881"/>
    <mergeCell ref="V880:V881"/>
    <mergeCell ref="T882:T883"/>
    <mergeCell ref="T890:T891"/>
    <mergeCell ref="U890:U891"/>
    <mergeCell ref="U868:U869"/>
    <mergeCell ref="V868:V869"/>
    <mergeCell ref="T864:T865"/>
    <mergeCell ref="U864:U865"/>
    <mergeCell ref="V864:V865"/>
    <mergeCell ref="T866:T867"/>
    <mergeCell ref="U866:U867"/>
    <mergeCell ref="V866:V867"/>
    <mergeCell ref="T868:T869"/>
    <mergeCell ref="U861:U862"/>
    <mergeCell ref="V861:V862"/>
    <mergeCell ref="T857:T858"/>
    <mergeCell ref="U857:U858"/>
    <mergeCell ref="V857:V858"/>
    <mergeCell ref="T859:T860"/>
    <mergeCell ref="U859:U860"/>
    <mergeCell ref="V859:V860"/>
    <mergeCell ref="T861:T862"/>
    <mergeCell ref="T824:T825"/>
    <mergeCell ref="U824:U825"/>
    <mergeCell ref="V824:V825"/>
    <mergeCell ref="T826:T827"/>
    <mergeCell ref="U826:U827"/>
    <mergeCell ref="V826:V827"/>
    <mergeCell ref="T828:T829"/>
    <mergeCell ref="K817:K818"/>
    <mergeCell ref="K821:K822"/>
    <mergeCell ref="K823:K824"/>
    <mergeCell ref="K825:K826"/>
    <mergeCell ref="K827:K828"/>
    <mergeCell ref="K829:K830"/>
    <mergeCell ref="H849:K849"/>
    <mergeCell ref="F857:K857"/>
    <mergeCell ref="P841:P842"/>
    <mergeCell ref="P852:P853"/>
    <mergeCell ref="Q852:Q853"/>
    <mergeCell ref="R852:R853"/>
    <mergeCell ref="P854:P855"/>
    <mergeCell ref="Q854:Q855"/>
    <mergeCell ref="R854:R855"/>
    <mergeCell ref="K854:K855"/>
    <mergeCell ref="Q833:Q834"/>
    <mergeCell ref="R833:R834"/>
    <mergeCell ref="F836:K836"/>
    <mergeCell ref="K833:K834"/>
    <mergeCell ref="K837:K838"/>
    <mergeCell ref="K839:K840"/>
    <mergeCell ref="T840:T841"/>
    <mergeCell ref="U840:U841"/>
    <mergeCell ref="V840:V841"/>
    <mergeCell ref="T836:T837"/>
    <mergeCell ref="U836:U837"/>
    <mergeCell ref="V836:V837"/>
    <mergeCell ref="P837:P838"/>
    <mergeCell ref="Q837:Q838"/>
    <mergeCell ref="R837:R838"/>
    <mergeCell ref="P839:P840"/>
    <mergeCell ref="P817:P818"/>
    <mergeCell ref="Q817:Q818"/>
    <mergeCell ref="R817:R818"/>
    <mergeCell ref="F820:K820"/>
    <mergeCell ref="T820:T821"/>
    <mergeCell ref="U820:U821"/>
    <mergeCell ref="V820:V821"/>
    <mergeCell ref="P821:P822"/>
    <mergeCell ref="Q821:Q822"/>
    <mergeCell ref="R821:R822"/>
    <mergeCell ref="T822:T823"/>
    <mergeCell ref="U822:U823"/>
    <mergeCell ref="V822:V823"/>
    <mergeCell ref="P823:P824"/>
    <mergeCell ref="U828:U829"/>
    <mergeCell ref="V828:V829"/>
    <mergeCell ref="K841:K842"/>
    <mergeCell ref="Q841:Q842"/>
    <mergeCell ref="R841:R842"/>
    <mergeCell ref="F883:K883"/>
    <mergeCell ref="P886:P887"/>
    <mergeCell ref="P888:P889"/>
    <mergeCell ref="Q823:Q824"/>
    <mergeCell ref="R823:R824"/>
    <mergeCell ref="P825:P826"/>
    <mergeCell ref="Q825:Q826"/>
    <mergeCell ref="R825:R826"/>
    <mergeCell ref="Q827:Q828"/>
    <mergeCell ref="R827:R828"/>
    <mergeCell ref="P827:P828"/>
    <mergeCell ref="P829:P830"/>
    <mergeCell ref="Q829:Q830"/>
    <mergeCell ref="R829:R830"/>
    <mergeCell ref="P831:P832"/>
    <mergeCell ref="Q831:Q832"/>
    <mergeCell ref="R831:R832"/>
    <mergeCell ref="Q839:Q840"/>
    <mergeCell ref="R839:R840"/>
    <mergeCell ref="K869:K870"/>
    <mergeCell ref="K871:K872"/>
    <mergeCell ref="K873:K874"/>
    <mergeCell ref="K875:K876"/>
    <mergeCell ref="K877:K878"/>
    <mergeCell ref="K879:K880"/>
    <mergeCell ref="K881:K882"/>
    <mergeCell ref="K884:K885"/>
    <mergeCell ref="K852:K853"/>
    <mergeCell ref="P833:P834"/>
    <mergeCell ref="K813:K814"/>
    <mergeCell ref="K815:K816"/>
    <mergeCell ref="Q879:Q880"/>
    <mergeCell ref="R879:R880"/>
    <mergeCell ref="P875:P876"/>
    <mergeCell ref="Q875:Q876"/>
    <mergeCell ref="R875:R876"/>
    <mergeCell ref="P877:P878"/>
    <mergeCell ref="Q877:Q878"/>
    <mergeCell ref="R877:R878"/>
    <mergeCell ref="P879:P880"/>
    <mergeCell ref="Q888:Q889"/>
    <mergeCell ref="R888:R889"/>
    <mergeCell ref="P884:P885"/>
    <mergeCell ref="K862:K863"/>
    <mergeCell ref="P858:P859"/>
    <mergeCell ref="Q858:Q859"/>
    <mergeCell ref="R858:R859"/>
    <mergeCell ref="P860:P861"/>
    <mergeCell ref="Q860:Q861"/>
    <mergeCell ref="R860:R861"/>
    <mergeCell ref="P862:P863"/>
    <mergeCell ref="Q873:Q874"/>
    <mergeCell ref="R873:R874"/>
    <mergeCell ref="P869:P870"/>
    <mergeCell ref="Q869:Q870"/>
    <mergeCell ref="R869:R870"/>
    <mergeCell ref="P871:P872"/>
    <mergeCell ref="Q871:Q872"/>
    <mergeCell ref="R871:R872"/>
    <mergeCell ref="P873:P874"/>
    <mergeCell ref="K831:K832"/>
    <mergeCell ref="P890:P891"/>
    <mergeCell ref="Q890:Q891"/>
    <mergeCell ref="R890:R891"/>
    <mergeCell ref="Q884:Q885"/>
    <mergeCell ref="R884:R885"/>
    <mergeCell ref="K886:K887"/>
    <mergeCell ref="Q886:Q887"/>
    <mergeCell ref="R886:R887"/>
    <mergeCell ref="K888:K889"/>
    <mergeCell ref="K890:K891"/>
    <mergeCell ref="Q862:Q863"/>
    <mergeCell ref="R862:R863"/>
    <mergeCell ref="P864:P865"/>
    <mergeCell ref="Q864:Q865"/>
    <mergeCell ref="R864:R865"/>
    <mergeCell ref="P866:P867"/>
    <mergeCell ref="Q866:Q867"/>
    <mergeCell ref="R866:R867"/>
    <mergeCell ref="P881:P882"/>
    <mergeCell ref="Q881:Q882"/>
    <mergeCell ref="R881:R882"/>
    <mergeCell ref="K864:K865"/>
    <mergeCell ref="K866:K867"/>
    <mergeCell ref="Q807:Q808"/>
    <mergeCell ref="R807:R808"/>
    <mergeCell ref="Q811:Q812"/>
    <mergeCell ref="R811:R812"/>
    <mergeCell ref="T812:T813"/>
    <mergeCell ref="U812:U813"/>
    <mergeCell ref="V812:V813"/>
    <mergeCell ref="P811:P812"/>
    <mergeCell ref="P813:P814"/>
    <mergeCell ref="Q813:Q814"/>
    <mergeCell ref="R813:R814"/>
    <mergeCell ref="T814:T815"/>
    <mergeCell ref="U814:U815"/>
    <mergeCell ref="V814:V815"/>
    <mergeCell ref="P809:P810"/>
    <mergeCell ref="P815:P816"/>
    <mergeCell ref="Q815:Q816"/>
    <mergeCell ref="R815:R816"/>
    <mergeCell ref="T816:T817"/>
    <mergeCell ref="U816:U817"/>
    <mergeCell ref="V816:V817"/>
    <mergeCell ref="P807:P808"/>
    <mergeCell ref="T810:T811"/>
    <mergeCell ref="U810:U811"/>
    <mergeCell ref="V810:V811"/>
    <mergeCell ref="K760:K761"/>
    <mergeCell ref="K762:K763"/>
    <mergeCell ref="K764:K765"/>
    <mergeCell ref="H772:K772"/>
    <mergeCell ref="K775:K776"/>
    <mergeCell ref="K777:K778"/>
    <mergeCell ref="F779:K779"/>
    <mergeCell ref="U790:U791"/>
    <mergeCell ref="V790:V791"/>
    <mergeCell ref="P788:P789"/>
    <mergeCell ref="P791:P792"/>
    <mergeCell ref="P802:P803"/>
    <mergeCell ref="Q802:Q803"/>
    <mergeCell ref="R802:R803"/>
    <mergeCell ref="Q788:Q789"/>
    <mergeCell ref="R788:R789"/>
    <mergeCell ref="K780:K781"/>
    <mergeCell ref="K782:K783"/>
    <mergeCell ref="K784:K785"/>
    <mergeCell ref="K786:K787"/>
    <mergeCell ref="Q786:Q787"/>
    <mergeCell ref="R786:R787"/>
    <mergeCell ref="K788:K789"/>
    <mergeCell ref="R760:R761"/>
    <mergeCell ref="P760:P761"/>
    <mergeCell ref="T780:T781"/>
    <mergeCell ref="U780:U781"/>
    <mergeCell ref="T776:T777"/>
    <mergeCell ref="U776:U777"/>
    <mergeCell ref="T763:T764"/>
    <mergeCell ref="U763:U764"/>
    <mergeCell ref="V763:V764"/>
    <mergeCell ref="T756:T757"/>
    <mergeCell ref="U756:U757"/>
    <mergeCell ref="T758:T759"/>
    <mergeCell ref="U758:U759"/>
    <mergeCell ref="V758:V759"/>
    <mergeCell ref="P754:P755"/>
    <mergeCell ref="Q754:Q755"/>
    <mergeCell ref="R754:R755"/>
    <mergeCell ref="T754:T755"/>
    <mergeCell ref="U754:U755"/>
    <mergeCell ref="V754:V755"/>
    <mergeCell ref="P756:P757"/>
    <mergeCell ref="V756:V757"/>
    <mergeCell ref="Q756:Q757"/>
    <mergeCell ref="R756:R757"/>
    <mergeCell ref="K758:K759"/>
    <mergeCell ref="P758:P759"/>
    <mergeCell ref="Q758:Q759"/>
    <mergeCell ref="R758:R759"/>
    <mergeCell ref="K754:K755"/>
    <mergeCell ref="K756:K757"/>
    <mergeCell ref="V776:V777"/>
    <mergeCell ref="T778:T779"/>
    <mergeCell ref="U778:U779"/>
    <mergeCell ref="V778:V779"/>
    <mergeCell ref="P780:P781"/>
    <mergeCell ref="V780:V781"/>
    <mergeCell ref="P782:P783"/>
    <mergeCell ref="P784:P785"/>
    <mergeCell ref="Q784:Q785"/>
    <mergeCell ref="R784:R785"/>
    <mergeCell ref="T784:T785"/>
    <mergeCell ref="U784:U785"/>
    <mergeCell ref="V784:V785"/>
    <mergeCell ref="Q780:Q781"/>
    <mergeCell ref="R780:R781"/>
    <mergeCell ref="Q782:Q783"/>
    <mergeCell ref="R782:R783"/>
    <mergeCell ref="T782:T783"/>
    <mergeCell ref="U782:U783"/>
    <mergeCell ref="V782:V783"/>
    <mergeCell ref="T765:T775"/>
    <mergeCell ref="U765:U775"/>
    <mergeCell ref="V765:V775"/>
    <mergeCell ref="U747:U748"/>
    <mergeCell ref="T796:T797"/>
    <mergeCell ref="T798:T799"/>
    <mergeCell ref="V747:V748"/>
    <mergeCell ref="P748:P749"/>
    <mergeCell ref="Q748:Q749"/>
    <mergeCell ref="R748:R749"/>
    <mergeCell ref="U752:U753"/>
    <mergeCell ref="V752:V753"/>
    <mergeCell ref="P750:P751"/>
    <mergeCell ref="Q750:Q751"/>
    <mergeCell ref="R750:R751"/>
    <mergeCell ref="P752:P753"/>
    <mergeCell ref="Q752:Q753"/>
    <mergeCell ref="R752:R753"/>
    <mergeCell ref="T752:T753"/>
    <mergeCell ref="Q777:Q778"/>
    <mergeCell ref="R777:R778"/>
    <mergeCell ref="P764:P765"/>
    <mergeCell ref="Q764:Q765"/>
    <mergeCell ref="R764:R765"/>
    <mergeCell ref="P775:P776"/>
    <mergeCell ref="Q775:Q776"/>
    <mergeCell ref="R775:R776"/>
    <mergeCell ref="P777:P778"/>
    <mergeCell ref="Q760:Q761"/>
    <mergeCell ref="U760:U761"/>
    <mergeCell ref="V760:V761"/>
    <mergeCell ref="P762:P763"/>
    <mergeCell ref="Q762:Q763"/>
    <mergeCell ref="R762:R763"/>
    <mergeCell ref="T760:T761"/>
    <mergeCell ref="V808:V809"/>
    <mergeCell ref="G798:G799"/>
    <mergeCell ref="F800:F801"/>
    <mergeCell ref="K811:K812"/>
    <mergeCell ref="P798:P799"/>
    <mergeCell ref="P804:P805"/>
    <mergeCell ref="Q804:Q805"/>
    <mergeCell ref="P739:P740"/>
    <mergeCell ref="Q739:Q740"/>
    <mergeCell ref="R739:R740"/>
    <mergeCell ref="T739:T740"/>
    <mergeCell ref="U739:U740"/>
    <mergeCell ref="V739:V740"/>
    <mergeCell ref="P741:P742"/>
    <mergeCell ref="Q741:Q742"/>
    <mergeCell ref="R741:R742"/>
    <mergeCell ref="Q743:Q744"/>
    <mergeCell ref="R743:R744"/>
    <mergeCell ref="T743:T744"/>
    <mergeCell ref="U743:U744"/>
    <mergeCell ref="V743:V744"/>
    <mergeCell ref="P743:P744"/>
    <mergeCell ref="P745:P746"/>
    <mergeCell ref="Q745:Q746"/>
    <mergeCell ref="R745:R746"/>
    <mergeCell ref="U745:U746"/>
    <mergeCell ref="V745:V746"/>
    <mergeCell ref="T749:T750"/>
    <mergeCell ref="U749:U750"/>
    <mergeCell ref="V749:V750"/>
    <mergeCell ref="T745:T746"/>
    <mergeCell ref="T747:T748"/>
    <mergeCell ref="K793:K794"/>
    <mergeCell ref="P793:P794"/>
    <mergeCell ref="T794:T795"/>
    <mergeCell ref="T802:T803"/>
    <mergeCell ref="F804:F805"/>
    <mergeCell ref="G804:G805"/>
    <mergeCell ref="F798:F799"/>
    <mergeCell ref="T806:T807"/>
    <mergeCell ref="T808:T809"/>
    <mergeCell ref="Q793:Q794"/>
    <mergeCell ref="R793:R794"/>
    <mergeCell ref="U794:U795"/>
    <mergeCell ref="V794:V795"/>
    <mergeCell ref="F795:K795"/>
    <mergeCell ref="K796:K797"/>
    <mergeCell ref="R796:R797"/>
    <mergeCell ref="K800:K801"/>
    <mergeCell ref="K802:K803"/>
    <mergeCell ref="F806:K806"/>
    <mergeCell ref="K807:K808"/>
    <mergeCell ref="K809:K810"/>
    <mergeCell ref="U806:U807"/>
    <mergeCell ref="U808:U809"/>
    <mergeCell ref="Q809:Q810"/>
    <mergeCell ref="R809:R810"/>
    <mergeCell ref="U796:U797"/>
    <mergeCell ref="V796:V797"/>
    <mergeCell ref="U798:U799"/>
    <mergeCell ref="V798:V799"/>
    <mergeCell ref="U802:U803"/>
    <mergeCell ref="V802:V803"/>
    <mergeCell ref="V806:V807"/>
    <mergeCell ref="K428:K429"/>
    <mergeCell ref="K430:K431"/>
    <mergeCell ref="K432:K433"/>
    <mergeCell ref="K434:K435"/>
    <mergeCell ref="K437:K438"/>
    <mergeCell ref="F423:K423"/>
    <mergeCell ref="F436:K436"/>
    <mergeCell ref="G407:G408"/>
    <mergeCell ref="G417:G418"/>
    <mergeCell ref="R804:R805"/>
    <mergeCell ref="T804:T805"/>
    <mergeCell ref="U804:U805"/>
    <mergeCell ref="V804:V805"/>
    <mergeCell ref="P796:P797"/>
    <mergeCell ref="Q796:Q797"/>
    <mergeCell ref="K798:K799"/>
    <mergeCell ref="Q798:Q799"/>
    <mergeCell ref="R798:R799"/>
    <mergeCell ref="R800:R801"/>
    <mergeCell ref="K804:K805"/>
    <mergeCell ref="P786:P787"/>
    <mergeCell ref="T788:T789"/>
    <mergeCell ref="U788:U789"/>
    <mergeCell ref="V788:V789"/>
    <mergeCell ref="F790:K790"/>
    <mergeCell ref="T790:T791"/>
    <mergeCell ref="K791:K792"/>
    <mergeCell ref="Q791:Q792"/>
    <mergeCell ref="R791:R792"/>
    <mergeCell ref="T792:T793"/>
    <mergeCell ref="U792:U793"/>
    <mergeCell ref="V792:V793"/>
    <mergeCell ref="K378:K379"/>
    <mergeCell ref="K380:K381"/>
    <mergeCell ref="K390:K391"/>
    <mergeCell ref="H387:K387"/>
    <mergeCell ref="K372:K373"/>
    <mergeCell ref="K399:K400"/>
    <mergeCell ref="K401:K402"/>
    <mergeCell ref="K403:K404"/>
    <mergeCell ref="K405:K406"/>
    <mergeCell ref="K407:K408"/>
    <mergeCell ref="K411:K412"/>
    <mergeCell ref="K413:K414"/>
    <mergeCell ref="K415:K416"/>
    <mergeCell ref="K417:K418"/>
    <mergeCell ref="K419:K420"/>
    <mergeCell ref="K424:K425"/>
    <mergeCell ref="K426:K427"/>
    <mergeCell ref="P378:P379"/>
    <mergeCell ref="Q378:Q379"/>
    <mergeCell ref="R378:R379"/>
    <mergeCell ref="P380:P381"/>
    <mergeCell ref="H695:K695"/>
    <mergeCell ref="Q698:Q699"/>
    <mergeCell ref="R698:R699"/>
    <mergeCell ref="T698:T699"/>
    <mergeCell ref="U698:U699"/>
    <mergeCell ref="V698:V699"/>
    <mergeCell ref="U713:U714"/>
    <mergeCell ref="V713:V714"/>
    <mergeCell ref="K441:K442"/>
    <mergeCell ref="K443:K444"/>
    <mergeCell ref="K445:K446"/>
    <mergeCell ref="K392:K393"/>
    <mergeCell ref="K394:K395"/>
    <mergeCell ref="K396:K397"/>
    <mergeCell ref="F398:K398"/>
    <mergeCell ref="P394:P395"/>
    <mergeCell ref="Q403:Q404"/>
    <mergeCell ref="R364:R365"/>
    <mergeCell ref="P366:P367"/>
    <mergeCell ref="Q366:Q367"/>
    <mergeCell ref="R366:R367"/>
    <mergeCell ref="P368:P369"/>
    <mergeCell ref="K364:K365"/>
    <mergeCell ref="K366:K367"/>
    <mergeCell ref="K368:K369"/>
    <mergeCell ref="K370:K371"/>
    <mergeCell ref="P411:P412"/>
    <mergeCell ref="Q411:Q412"/>
    <mergeCell ref="R411:R412"/>
    <mergeCell ref="P413:P414"/>
    <mergeCell ref="Q413:Q414"/>
    <mergeCell ref="R413:R414"/>
    <mergeCell ref="P415:P416"/>
    <mergeCell ref="Q415:Q416"/>
    <mergeCell ref="R415:R416"/>
    <mergeCell ref="P441:P442"/>
    <mergeCell ref="Q441:Q442"/>
    <mergeCell ref="R441:R442"/>
    <mergeCell ref="P443:P444"/>
    <mergeCell ref="Q443:Q444"/>
    <mergeCell ref="K349:K350"/>
    <mergeCell ref="K351:K352"/>
    <mergeCell ref="K353:K354"/>
    <mergeCell ref="K355:K356"/>
    <mergeCell ref="K357:K358"/>
    <mergeCell ref="K360:K361"/>
    <mergeCell ref="K362:K363"/>
    <mergeCell ref="R339:R340"/>
    <mergeCell ref="P335:P336"/>
    <mergeCell ref="Q335:Q336"/>
    <mergeCell ref="R335:R336"/>
    <mergeCell ref="Q347:Q348"/>
    <mergeCell ref="R347:R348"/>
    <mergeCell ref="P341:P342"/>
    <mergeCell ref="G325:G326"/>
    <mergeCell ref="R355:R356"/>
    <mergeCell ref="P357:P358"/>
    <mergeCell ref="Q357:Q358"/>
    <mergeCell ref="R357:R358"/>
    <mergeCell ref="P360:P361"/>
    <mergeCell ref="P362:P363"/>
    <mergeCell ref="Q362:Q363"/>
    <mergeCell ref="R362:R363"/>
    <mergeCell ref="Q360:Q361"/>
    <mergeCell ref="R360:R361"/>
    <mergeCell ref="P355:P356"/>
    <mergeCell ref="Q355:Q356"/>
    <mergeCell ref="Q341:Q342"/>
    <mergeCell ref="R341:R342"/>
    <mergeCell ref="P345:P346"/>
    <mergeCell ref="Q345:Q346"/>
    <mergeCell ref="R345:R346"/>
    <mergeCell ref="Q380:Q381"/>
    <mergeCell ref="R380:R381"/>
    <mergeCell ref="F324:K324"/>
    <mergeCell ref="P313:P314"/>
    <mergeCell ref="P315:P316"/>
    <mergeCell ref="Q315:Q316"/>
    <mergeCell ref="R315:R316"/>
    <mergeCell ref="P317:P318"/>
    <mergeCell ref="Q317:Q318"/>
    <mergeCell ref="R317:R318"/>
    <mergeCell ref="P333:P334"/>
    <mergeCell ref="Q333:Q334"/>
    <mergeCell ref="R333:R334"/>
    <mergeCell ref="F344:K344"/>
    <mergeCell ref="K325:K326"/>
    <mergeCell ref="K327:K328"/>
    <mergeCell ref="K329:K330"/>
    <mergeCell ref="K331:K332"/>
    <mergeCell ref="P331:P332"/>
    <mergeCell ref="P376:P377"/>
    <mergeCell ref="Q376:Q377"/>
    <mergeCell ref="R376:R377"/>
    <mergeCell ref="Q368:Q369"/>
    <mergeCell ref="R368:R369"/>
    <mergeCell ref="P370:P371"/>
    <mergeCell ref="Q370:Q371"/>
    <mergeCell ref="R370:R371"/>
    <mergeCell ref="F375:K375"/>
    <mergeCell ref="P364:P365"/>
    <mergeCell ref="Q364:Q365"/>
    <mergeCell ref="K345:K346"/>
    <mergeCell ref="K347:K348"/>
    <mergeCell ref="K313:K314"/>
    <mergeCell ref="K315:K316"/>
    <mergeCell ref="K317:K318"/>
    <mergeCell ref="K319:K320"/>
    <mergeCell ref="K321:K322"/>
    <mergeCell ref="K333:K334"/>
    <mergeCell ref="K335:K336"/>
    <mergeCell ref="K337:K338"/>
    <mergeCell ref="K339:K340"/>
    <mergeCell ref="K341:K342"/>
    <mergeCell ref="R337:R338"/>
    <mergeCell ref="P339:P340"/>
    <mergeCell ref="K294:K295"/>
    <mergeCell ref="P294:P295"/>
    <mergeCell ref="Q294:Q295"/>
    <mergeCell ref="R294:R295"/>
    <mergeCell ref="F297:K297"/>
    <mergeCell ref="K298:K299"/>
    <mergeCell ref="H308:K308"/>
    <mergeCell ref="P298:P299"/>
    <mergeCell ref="P300:P301"/>
    <mergeCell ref="P311:P312"/>
    <mergeCell ref="Q311:Q312"/>
    <mergeCell ref="R311:R312"/>
    <mergeCell ref="Q313:Q314"/>
    <mergeCell ref="R313:R314"/>
    <mergeCell ref="G329:G330"/>
    <mergeCell ref="F325:F326"/>
    <mergeCell ref="K300:K301"/>
    <mergeCell ref="K311:K312"/>
    <mergeCell ref="F329:F330"/>
    <mergeCell ref="Q339:Q340"/>
    <mergeCell ref="K276:K277"/>
    <mergeCell ref="K278:K279"/>
    <mergeCell ref="K280:K281"/>
    <mergeCell ref="F283:K283"/>
    <mergeCell ref="P284:P285"/>
    <mergeCell ref="Q284:Q285"/>
    <mergeCell ref="R284:R285"/>
    <mergeCell ref="Q288:Q289"/>
    <mergeCell ref="R288:R289"/>
    <mergeCell ref="P288:P289"/>
    <mergeCell ref="P290:P291"/>
    <mergeCell ref="Q290:Q291"/>
    <mergeCell ref="R290:R291"/>
    <mergeCell ref="P286:P287"/>
    <mergeCell ref="P292:P293"/>
    <mergeCell ref="Q292:Q293"/>
    <mergeCell ref="R292:R293"/>
    <mergeCell ref="K284:K285"/>
    <mergeCell ref="K286:K287"/>
    <mergeCell ref="Q286:Q287"/>
    <mergeCell ref="R286:R287"/>
    <mergeCell ref="K288:K289"/>
    <mergeCell ref="K290:K291"/>
    <mergeCell ref="K292:K293"/>
    <mergeCell ref="F280:F281"/>
    <mergeCell ref="G280:G281"/>
    <mergeCell ref="F278:F279"/>
    <mergeCell ref="G278:G279"/>
    <mergeCell ref="F286:F287"/>
    <mergeCell ref="G286:G287"/>
    <mergeCell ref="F276:F277"/>
    <mergeCell ref="G276:G277"/>
    <mergeCell ref="K265:K266"/>
    <mergeCell ref="F267:K267"/>
    <mergeCell ref="P244:P245"/>
    <mergeCell ref="Q244:Q245"/>
    <mergeCell ref="R244:R245"/>
    <mergeCell ref="P248:P249"/>
    <mergeCell ref="Q221:Q222"/>
    <mergeCell ref="R221:R222"/>
    <mergeCell ref="Q432:Q433"/>
    <mergeCell ref="R432:R433"/>
    <mergeCell ref="P428:P429"/>
    <mergeCell ref="Q428:Q429"/>
    <mergeCell ref="R428:R429"/>
    <mergeCell ref="P430:P431"/>
    <mergeCell ref="Q430:Q431"/>
    <mergeCell ref="R430:R431"/>
    <mergeCell ref="P432:P433"/>
    <mergeCell ref="R349:R350"/>
    <mergeCell ref="P351:P352"/>
    <mergeCell ref="Q351:Q352"/>
    <mergeCell ref="Q394:Q395"/>
    <mergeCell ref="R394:R395"/>
    <mergeCell ref="P396:P397"/>
    <mergeCell ref="Q396:Q397"/>
    <mergeCell ref="R396:R397"/>
    <mergeCell ref="P390:P391"/>
    <mergeCell ref="Q390:Q391"/>
    <mergeCell ref="R390:R391"/>
    <mergeCell ref="P392:P393"/>
    <mergeCell ref="Q392:Q393"/>
    <mergeCell ref="R392:R393"/>
    <mergeCell ref="K274:K275"/>
    <mergeCell ref="K268:K269"/>
    <mergeCell ref="K270:K271"/>
    <mergeCell ref="K272:K273"/>
    <mergeCell ref="Q280:Q281"/>
    <mergeCell ref="R280:R281"/>
    <mergeCell ref="P276:P277"/>
    <mergeCell ref="Q276:Q277"/>
    <mergeCell ref="R276:R277"/>
    <mergeCell ref="P278:P279"/>
    <mergeCell ref="Q278:Q279"/>
    <mergeCell ref="R278:R279"/>
    <mergeCell ref="P280:P281"/>
    <mergeCell ref="Q426:Q427"/>
    <mergeCell ref="R426:R427"/>
    <mergeCell ref="P419:P420"/>
    <mergeCell ref="Q419:Q420"/>
    <mergeCell ref="R419:R420"/>
    <mergeCell ref="P424:P425"/>
    <mergeCell ref="Q424:Q425"/>
    <mergeCell ref="R424:R425"/>
    <mergeCell ref="P426:P427"/>
    <mergeCell ref="Q298:Q299"/>
    <mergeCell ref="R298:R299"/>
    <mergeCell ref="Q300:Q301"/>
    <mergeCell ref="R300:R301"/>
    <mergeCell ref="P321:P322"/>
    <mergeCell ref="Q321:Q322"/>
    <mergeCell ref="R321:R322"/>
    <mergeCell ref="Q353:Q354"/>
    <mergeCell ref="R353:R354"/>
    <mergeCell ref="P349:P350"/>
    <mergeCell ref="Q349:Q350"/>
    <mergeCell ref="U1436:U1437"/>
    <mergeCell ref="V1436:V1437"/>
    <mergeCell ref="T1431:T1432"/>
    <mergeCell ref="U1431:U1432"/>
    <mergeCell ref="V1431:V1432"/>
    <mergeCell ref="T1434:T1435"/>
    <mergeCell ref="U1434:U1435"/>
    <mergeCell ref="V1434:V1435"/>
    <mergeCell ref="T1436:T1437"/>
    <mergeCell ref="Q439:Q440"/>
    <mergeCell ref="R439:R440"/>
    <mergeCell ref="P434:P435"/>
    <mergeCell ref="Q434:Q435"/>
    <mergeCell ref="R434:R435"/>
    <mergeCell ref="P437:P438"/>
    <mergeCell ref="Q437:Q438"/>
    <mergeCell ref="R437:R438"/>
    <mergeCell ref="P439:P440"/>
    <mergeCell ref="Q456:Q457"/>
    <mergeCell ref="R456:R457"/>
    <mergeCell ref="P467:P468"/>
    <mergeCell ref="Q467:Q468"/>
    <mergeCell ref="R467:R468"/>
    <mergeCell ref="P452:P453"/>
    <mergeCell ref="Q452:Q453"/>
    <mergeCell ref="R452:R453"/>
    <mergeCell ref="P454:P455"/>
    <mergeCell ref="Q454:Q455"/>
    <mergeCell ref="R454:R455"/>
    <mergeCell ref="P456:P457"/>
    <mergeCell ref="P800:P801"/>
    <mergeCell ref="Q800:Q801"/>
    <mergeCell ref="U1414:U1415"/>
    <mergeCell ref="V1414:V1415"/>
    <mergeCell ref="T1410:T1411"/>
    <mergeCell ref="U1410:U1411"/>
    <mergeCell ref="V1410:V1411"/>
    <mergeCell ref="T1412:T1413"/>
    <mergeCell ref="U1412:U1413"/>
    <mergeCell ref="V1412:V1413"/>
    <mergeCell ref="T1414:T1415"/>
    <mergeCell ref="U1429:U1430"/>
    <mergeCell ref="V1429:V1430"/>
    <mergeCell ref="T1425:T1426"/>
    <mergeCell ref="U1425:U1426"/>
    <mergeCell ref="V1425:V1426"/>
    <mergeCell ref="T1427:T1428"/>
    <mergeCell ref="U1427:U1428"/>
    <mergeCell ref="V1427:V1428"/>
    <mergeCell ref="T1429:T1430"/>
    <mergeCell ref="T1371:T1372"/>
    <mergeCell ref="U1371:U1372"/>
    <mergeCell ref="V1371:V1372"/>
    <mergeCell ref="T1373:T1374"/>
    <mergeCell ref="U1373:U1374"/>
    <mergeCell ref="V1373:V1374"/>
    <mergeCell ref="U1400:U1401"/>
    <mergeCell ref="V1400:V1401"/>
    <mergeCell ref="T1396:T1397"/>
    <mergeCell ref="U1396:U1397"/>
    <mergeCell ref="V1396:V1397"/>
    <mergeCell ref="T1398:T1399"/>
    <mergeCell ref="U1398:U1399"/>
    <mergeCell ref="V1398:V1399"/>
    <mergeCell ref="T1400:T1401"/>
    <mergeCell ref="U1408:U1409"/>
    <mergeCell ref="V1408:V1409"/>
    <mergeCell ref="T1402:T1403"/>
    <mergeCell ref="U1402:U1403"/>
    <mergeCell ref="V1402:V1403"/>
    <mergeCell ref="T1404:T1405"/>
    <mergeCell ref="U1404:U1405"/>
    <mergeCell ref="V1404:V1405"/>
    <mergeCell ref="T1408:T1409"/>
    <mergeCell ref="Q1364:Q1365"/>
    <mergeCell ref="R1364:R1365"/>
    <mergeCell ref="P1366:P1367"/>
    <mergeCell ref="Q1366:Q1367"/>
    <mergeCell ref="R1366:R1367"/>
    <mergeCell ref="P1368:P1369"/>
    <mergeCell ref="Q1368:Q1369"/>
    <mergeCell ref="R1368:R1369"/>
    <mergeCell ref="P1362:P1363"/>
    <mergeCell ref="Q1362:Q1363"/>
    <mergeCell ref="R1362:R1363"/>
    <mergeCell ref="T1362:T1363"/>
    <mergeCell ref="U1362:U1363"/>
    <mergeCell ref="V1362:V1363"/>
    <mergeCell ref="P1364:P1365"/>
    <mergeCell ref="V1364:V1365"/>
    <mergeCell ref="T1364:T1365"/>
    <mergeCell ref="U1364:U1365"/>
    <mergeCell ref="T1367:T1368"/>
    <mergeCell ref="U1367:U1368"/>
    <mergeCell ref="V1367:V1368"/>
    <mergeCell ref="U1369:U1370"/>
    <mergeCell ref="V1369:V1370"/>
    <mergeCell ref="T1369:T1370"/>
    <mergeCell ref="V1346:V1347"/>
    <mergeCell ref="T1348:T1349"/>
    <mergeCell ref="U1348:U1349"/>
    <mergeCell ref="V1348:V1349"/>
    <mergeCell ref="T1352:T1353"/>
    <mergeCell ref="U1352:U1353"/>
    <mergeCell ref="V1352:V1353"/>
    <mergeCell ref="P1355:P1356"/>
    <mergeCell ref="Q1355:Q1356"/>
    <mergeCell ref="R1355:R1356"/>
    <mergeCell ref="Q1357:Q1358"/>
    <mergeCell ref="R1357:R1358"/>
    <mergeCell ref="P1357:P1358"/>
    <mergeCell ref="P1360:P1361"/>
    <mergeCell ref="Q1360:Q1361"/>
    <mergeCell ref="R1360:R1361"/>
    <mergeCell ref="T1360:T1361"/>
    <mergeCell ref="U1360:U1361"/>
    <mergeCell ref="V1360:V1361"/>
    <mergeCell ref="Q1349:Q1350"/>
    <mergeCell ref="R1349:R1350"/>
    <mergeCell ref="P1351:P1352"/>
    <mergeCell ref="Q1351:Q1352"/>
    <mergeCell ref="R1351:R1352"/>
    <mergeCell ref="P1353:P1354"/>
    <mergeCell ref="Q1353:Q1354"/>
    <mergeCell ref="R1353:R1354"/>
    <mergeCell ref="P1345:P1346"/>
    <mergeCell ref="Q1345:Q1346"/>
    <mergeCell ref="R1345:R1346"/>
    <mergeCell ref="P1347:P1348"/>
    <mergeCell ref="Q1347:Q1348"/>
    <mergeCell ref="U1332:U1333"/>
    <mergeCell ref="V1332:V1333"/>
    <mergeCell ref="T1326:T1327"/>
    <mergeCell ref="U1326:U1327"/>
    <mergeCell ref="V1326:V1327"/>
    <mergeCell ref="T1328:T1329"/>
    <mergeCell ref="U1328:U1329"/>
    <mergeCell ref="V1328:V1329"/>
    <mergeCell ref="T1332:T1333"/>
    <mergeCell ref="U1338:U1339"/>
    <mergeCell ref="V1338:V1339"/>
    <mergeCell ref="T1334:T1335"/>
    <mergeCell ref="U1334:U1335"/>
    <mergeCell ref="V1334:V1335"/>
    <mergeCell ref="T1336:T1337"/>
    <mergeCell ref="U1336:U1337"/>
    <mergeCell ref="V1336:V1337"/>
    <mergeCell ref="T1338:T1339"/>
    <mergeCell ref="V1146:V1147"/>
    <mergeCell ref="T1137:T1138"/>
    <mergeCell ref="U1137:U1138"/>
    <mergeCell ref="T1139:T1140"/>
    <mergeCell ref="U1139:U1140"/>
    <mergeCell ref="V1139:V1140"/>
    <mergeCell ref="U1141:U1142"/>
    <mergeCell ref="V1141:V1142"/>
    <mergeCell ref="P1148:P1149"/>
    <mergeCell ref="Q1148:Q1149"/>
    <mergeCell ref="R1148:R1149"/>
    <mergeCell ref="T1148:T1149"/>
    <mergeCell ref="U1148:U1149"/>
    <mergeCell ref="V1148:V1149"/>
    <mergeCell ref="Q1152:Q1153"/>
    <mergeCell ref="R1152:R1153"/>
    <mergeCell ref="V1152:V1153"/>
    <mergeCell ref="T1152:T1153"/>
    <mergeCell ref="U1152:U1153"/>
    <mergeCell ref="P1146:P1147"/>
    <mergeCell ref="Q1146:Q1147"/>
    <mergeCell ref="R1146:R1147"/>
    <mergeCell ref="P1133:P1134"/>
    <mergeCell ref="P1135:P1136"/>
    <mergeCell ref="Q1135:Q1136"/>
    <mergeCell ref="R1135:R1136"/>
    <mergeCell ref="T1135:T1136"/>
    <mergeCell ref="U1135:U1136"/>
    <mergeCell ref="V1135:V1136"/>
    <mergeCell ref="P1137:P1138"/>
    <mergeCell ref="V1137:V1138"/>
    <mergeCell ref="T1141:T1142"/>
    <mergeCell ref="T1143:T1144"/>
    <mergeCell ref="U1143:U1144"/>
    <mergeCell ref="V1143:V1144"/>
    <mergeCell ref="Q1133:Q1134"/>
    <mergeCell ref="R1133:R1134"/>
    <mergeCell ref="V1133:V1134"/>
    <mergeCell ref="Q1137:Q1138"/>
    <mergeCell ref="R1137:R1138"/>
    <mergeCell ref="P1139:P1140"/>
    <mergeCell ref="Q1139:Q1140"/>
    <mergeCell ref="R1139:R1140"/>
    <mergeCell ref="Q1142:Q1143"/>
    <mergeCell ref="R1142:R1143"/>
    <mergeCell ref="P1142:P1143"/>
    <mergeCell ref="P1144:P1145"/>
    <mergeCell ref="Q1144:Q1145"/>
    <mergeCell ref="R1144:R1145"/>
    <mergeCell ref="T1133:T1134"/>
    <mergeCell ref="U1133:U1134"/>
    <mergeCell ref="U1130:U1131"/>
    <mergeCell ref="T1146:T1147"/>
    <mergeCell ref="U1146:U1147"/>
    <mergeCell ref="T1065:T1066"/>
    <mergeCell ref="U1065:U1066"/>
    <mergeCell ref="V1065:V1066"/>
    <mergeCell ref="T1067:T1068"/>
    <mergeCell ref="U1067:U1068"/>
    <mergeCell ref="V1067:V1068"/>
    <mergeCell ref="T1069:T1070"/>
    <mergeCell ref="P1072:P1073"/>
    <mergeCell ref="P1074:P1075"/>
    <mergeCell ref="Q1074:Q1075"/>
    <mergeCell ref="R1074:R1075"/>
    <mergeCell ref="P1076:P1077"/>
    <mergeCell ref="Q1076:Q1077"/>
    <mergeCell ref="R1076:R1077"/>
    <mergeCell ref="U1069:U1070"/>
    <mergeCell ref="V1069:V1070"/>
    <mergeCell ref="P1070:P1071"/>
    <mergeCell ref="Q1070:Q1071"/>
    <mergeCell ref="R1070:R1071"/>
    <mergeCell ref="Q1072:Q1073"/>
    <mergeCell ref="R1072:R1073"/>
    <mergeCell ref="U1076:U1077"/>
    <mergeCell ref="V1076:V1077"/>
    <mergeCell ref="T1071:T1072"/>
    <mergeCell ref="U1071:U1072"/>
    <mergeCell ref="V1071:V1072"/>
    <mergeCell ref="T1073:T1074"/>
    <mergeCell ref="U1073:U1074"/>
    <mergeCell ref="V1073:V1074"/>
    <mergeCell ref="R1013:R1014"/>
    <mergeCell ref="T1013:T1014"/>
    <mergeCell ref="V1013:V1014"/>
    <mergeCell ref="U1017:U1018"/>
    <mergeCell ref="V1017:V1018"/>
    <mergeCell ref="P1015:P1016"/>
    <mergeCell ref="Q1015:Q1016"/>
    <mergeCell ref="R1015:R1016"/>
    <mergeCell ref="T1015:T1016"/>
    <mergeCell ref="U1015:U1016"/>
    <mergeCell ref="V1015:V1016"/>
    <mergeCell ref="T1017:T1018"/>
    <mergeCell ref="P1008:P1009"/>
    <mergeCell ref="Q1008:Q1009"/>
    <mergeCell ref="R1008:R1009"/>
    <mergeCell ref="P1010:P1011"/>
    <mergeCell ref="Q1010:Q1011"/>
    <mergeCell ref="R1010:R1011"/>
    <mergeCell ref="P1013:P1014"/>
    <mergeCell ref="U977:U978"/>
    <mergeCell ref="V977:V978"/>
    <mergeCell ref="T979:T980"/>
    <mergeCell ref="U995:U996"/>
    <mergeCell ref="V995:V996"/>
    <mergeCell ref="T991:T992"/>
    <mergeCell ref="U991:U992"/>
    <mergeCell ref="V991:V992"/>
    <mergeCell ref="T993:T994"/>
    <mergeCell ref="U993:U994"/>
    <mergeCell ref="V993:V994"/>
    <mergeCell ref="T995:T996"/>
    <mergeCell ref="T983:T984"/>
    <mergeCell ref="U983:U984"/>
    <mergeCell ref="V983:V984"/>
    <mergeCell ref="T985:T986"/>
    <mergeCell ref="U985:U986"/>
    <mergeCell ref="V985:V986"/>
    <mergeCell ref="T987:T988"/>
    <mergeCell ref="U987:U988"/>
    <mergeCell ref="V987:V988"/>
    <mergeCell ref="P950:P951"/>
    <mergeCell ref="Q950:Q951"/>
    <mergeCell ref="R950:R951"/>
    <mergeCell ref="P952:P953"/>
    <mergeCell ref="Q952:Q953"/>
    <mergeCell ref="R952:R953"/>
    <mergeCell ref="Q958:Q959"/>
    <mergeCell ref="R958:R959"/>
    <mergeCell ref="P954:P955"/>
    <mergeCell ref="Q954:Q955"/>
    <mergeCell ref="R954:R955"/>
    <mergeCell ref="P956:P957"/>
    <mergeCell ref="Q956:Q957"/>
    <mergeCell ref="R956:R957"/>
    <mergeCell ref="P958:P959"/>
    <mergeCell ref="U972:U973"/>
    <mergeCell ref="V972:V973"/>
    <mergeCell ref="T968:T969"/>
    <mergeCell ref="U968:U969"/>
    <mergeCell ref="V968:V969"/>
    <mergeCell ref="T970:T971"/>
    <mergeCell ref="U970:U971"/>
    <mergeCell ref="V970:V971"/>
    <mergeCell ref="T972:T973"/>
    <mergeCell ref="U956:U957"/>
    <mergeCell ref="V956:V957"/>
    <mergeCell ref="T951:T952"/>
    <mergeCell ref="U951:U952"/>
    <mergeCell ref="V951:V952"/>
    <mergeCell ref="T953:T954"/>
    <mergeCell ref="U953:U954"/>
    <mergeCell ref="V953:V954"/>
    <mergeCell ref="Q936:Q937"/>
    <mergeCell ref="R936:R937"/>
    <mergeCell ref="K938:K939"/>
    <mergeCell ref="K940:K941"/>
    <mergeCell ref="P940:P941"/>
    <mergeCell ref="Q940:Q941"/>
    <mergeCell ref="R940:R941"/>
    <mergeCell ref="P942:P943"/>
    <mergeCell ref="Q942:Q943"/>
    <mergeCell ref="R942:R943"/>
    <mergeCell ref="P936:P937"/>
    <mergeCell ref="P938:P939"/>
    <mergeCell ref="P944:P945"/>
    <mergeCell ref="Q944:Q945"/>
    <mergeCell ref="R944:R945"/>
    <mergeCell ref="Q948:Q949"/>
    <mergeCell ref="R948:R949"/>
    <mergeCell ref="P948:P949"/>
    <mergeCell ref="Q902:Q903"/>
    <mergeCell ref="R902:R903"/>
    <mergeCell ref="P904:P905"/>
    <mergeCell ref="Q904:Q905"/>
    <mergeCell ref="R904:R905"/>
    <mergeCell ref="K894:K895"/>
    <mergeCell ref="K896:K897"/>
    <mergeCell ref="F899:K899"/>
    <mergeCell ref="K900:K901"/>
    <mergeCell ref="K902:K903"/>
    <mergeCell ref="K904:K905"/>
    <mergeCell ref="K906:K907"/>
    <mergeCell ref="T943:T944"/>
    <mergeCell ref="U943:U944"/>
    <mergeCell ref="V943:V944"/>
    <mergeCell ref="T932:T935"/>
    <mergeCell ref="U932:U935"/>
    <mergeCell ref="V932:V935"/>
    <mergeCell ref="F935:K935"/>
    <mergeCell ref="K933:K934"/>
    <mergeCell ref="K908:K909"/>
    <mergeCell ref="K910:K911"/>
    <mergeCell ref="F912:K912"/>
    <mergeCell ref="K913:K914"/>
    <mergeCell ref="K915:K916"/>
    <mergeCell ref="K917:K918"/>
    <mergeCell ref="H926:K926"/>
    <mergeCell ref="Q938:Q939"/>
    <mergeCell ref="R938:R939"/>
    <mergeCell ref="K919:K920"/>
    <mergeCell ref="K929:K930"/>
    <mergeCell ref="K931:K932"/>
    <mergeCell ref="K1326:K1327"/>
    <mergeCell ref="F1329:K1329"/>
    <mergeCell ref="K1357:K1358"/>
    <mergeCell ref="K1360:K1361"/>
    <mergeCell ref="K1362:K1363"/>
    <mergeCell ref="K1364:K1365"/>
    <mergeCell ref="K1366:K1367"/>
    <mergeCell ref="K1368:K1369"/>
    <mergeCell ref="F1371:K1371"/>
    <mergeCell ref="T884:T885"/>
    <mergeCell ref="U884:U885"/>
    <mergeCell ref="V884:V885"/>
    <mergeCell ref="T886:T887"/>
    <mergeCell ref="U886:U887"/>
    <mergeCell ref="V886:V887"/>
    <mergeCell ref="T888:T889"/>
    <mergeCell ref="U888:U889"/>
    <mergeCell ref="V888:V889"/>
    <mergeCell ref="K892:K893"/>
    <mergeCell ref="P892:P893"/>
    <mergeCell ref="Q892:Q893"/>
    <mergeCell ref="R892:R893"/>
    <mergeCell ref="R894:R895"/>
    <mergeCell ref="P894:P895"/>
    <mergeCell ref="Q894:Q895"/>
    <mergeCell ref="P896:P897"/>
    <mergeCell ref="Q896:Q897"/>
    <mergeCell ref="R896:R897"/>
    <mergeCell ref="Q900:Q901"/>
    <mergeCell ref="R900:R901"/>
    <mergeCell ref="P900:P901"/>
    <mergeCell ref="P902:P903"/>
    <mergeCell ref="K1287:K1288"/>
    <mergeCell ref="K1289:K1290"/>
    <mergeCell ref="K1291:K1292"/>
    <mergeCell ref="K1293:K1294"/>
    <mergeCell ref="K1295:K1296"/>
    <mergeCell ref="K1297:K1298"/>
    <mergeCell ref="F1299:K1299"/>
    <mergeCell ref="K1300:K1301"/>
    <mergeCell ref="K1302:K1303"/>
    <mergeCell ref="K1304:K1305"/>
    <mergeCell ref="K1306:K1307"/>
    <mergeCell ref="F1308:K1308"/>
    <mergeCell ref="K1309:K1310"/>
    <mergeCell ref="K1311:K1312"/>
    <mergeCell ref="H1319:K1319"/>
    <mergeCell ref="K1322:K1323"/>
    <mergeCell ref="K1324:K1325"/>
    <mergeCell ref="F1311:F1312"/>
    <mergeCell ref="G1311:G1312"/>
    <mergeCell ref="G1319:G1320"/>
    <mergeCell ref="F1319:F1320"/>
    <mergeCell ref="K1255:K1256"/>
    <mergeCell ref="K1257:K1258"/>
    <mergeCell ref="K1259:K1260"/>
    <mergeCell ref="F1261:K1261"/>
    <mergeCell ref="K1262:K1263"/>
    <mergeCell ref="K1264:K1265"/>
    <mergeCell ref="K1266:K1267"/>
    <mergeCell ref="K1268:K1269"/>
    <mergeCell ref="K1270:K1271"/>
    <mergeCell ref="F1273:K1273"/>
    <mergeCell ref="K1278:K1279"/>
    <mergeCell ref="K1280:K1281"/>
    <mergeCell ref="K1282:K1283"/>
    <mergeCell ref="K1274:K1275"/>
    <mergeCell ref="K1276:K1277"/>
    <mergeCell ref="K1284:K1285"/>
    <mergeCell ref="F1286:K1286"/>
    <mergeCell ref="G1264:G1265"/>
    <mergeCell ref="G1276:G1277"/>
    <mergeCell ref="F1266:F1267"/>
    <mergeCell ref="G1266:G1267"/>
    <mergeCell ref="K1124:K1125"/>
    <mergeCell ref="K1127:K1128"/>
    <mergeCell ref="K1218:K1219"/>
    <mergeCell ref="K1222:K1223"/>
    <mergeCell ref="K1224:K1225"/>
    <mergeCell ref="K1226:K1227"/>
    <mergeCell ref="K1228:K1229"/>
    <mergeCell ref="K1230:K1231"/>
    <mergeCell ref="H1238:K1238"/>
    <mergeCell ref="K1330:K1331"/>
    <mergeCell ref="K1332:K1333"/>
    <mergeCell ref="K1334:K1335"/>
    <mergeCell ref="K1336:K1337"/>
    <mergeCell ref="K1338:K1339"/>
    <mergeCell ref="K1340:K1341"/>
    <mergeCell ref="F1344:K1344"/>
    <mergeCell ref="F1359:K1359"/>
    <mergeCell ref="K1342:K1343"/>
    <mergeCell ref="K1345:K1346"/>
    <mergeCell ref="K1347:K1348"/>
    <mergeCell ref="K1349:K1350"/>
    <mergeCell ref="K1351:K1352"/>
    <mergeCell ref="K1353:K1354"/>
    <mergeCell ref="K1355:K1356"/>
    <mergeCell ref="K1241:K1242"/>
    <mergeCell ref="F1245:K1245"/>
    <mergeCell ref="K1246:K1247"/>
    <mergeCell ref="K1248:K1249"/>
    <mergeCell ref="F1250:K1250"/>
    <mergeCell ref="K1251:K1252"/>
    <mergeCell ref="K1253:K1254"/>
    <mergeCell ref="K1243:K1244"/>
    <mergeCell ref="K1198:K1199"/>
    <mergeCell ref="K1200:K1201"/>
    <mergeCell ref="F1203:K1203"/>
    <mergeCell ref="K1204:K1205"/>
    <mergeCell ref="K1206:K1207"/>
    <mergeCell ref="K1208:K1209"/>
    <mergeCell ref="K1210:K1211"/>
    <mergeCell ref="K1212:K1213"/>
    <mergeCell ref="F1221:K1221"/>
    <mergeCell ref="K1214:K1215"/>
    <mergeCell ref="K1216:K1217"/>
    <mergeCell ref="K1038:K1039"/>
    <mergeCell ref="K1040:K1041"/>
    <mergeCell ref="F1043:K1043"/>
    <mergeCell ref="K1044:K1045"/>
    <mergeCell ref="K1046:K1047"/>
    <mergeCell ref="K1048:K1049"/>
    <mergeCell ref="K1050:K1051"/>
    <mergeCell ref="K1052:K1053"/>
    <mergeCell ref="F1054:K1054"/>
    <mergeCell ref="K1055:K1056"/>
    <mergeCell ref="K1057:K1058"/>
    <mergeCell ref="K1059:K1060"/>
    <mergeCell ref="K1061:K1062"/>
    <mergeCell ref="K1063:K1064"/>
    <mergeCell ref="K1065:K1066"/>
    <mergeCell ref="K1067:K1068"/>
    <mergeCell ref="F1069:K1069"/>
    <mergeCell ref="K1070:K1071"/>
    <mergeCell ref="K1072:K1073"/>
    <mergeCell ref="K1074:K1075"/>
    <mergeCell ref="H1084:K1084"/>
    <mergeCell ref="K1164:K1165"/>
    <mergeCell ref="K1166:K1167"/>
    <mergeCell ref="K1168:K1169"/>
    <mergeCell ref="K1170:K1171"/>
    <mergeCell ref="K1172:K1173"/>
    <mergeCell ref="F1177:K1177"/>
    <mergeCell ref="F1193:K1193"/>
    <mergeCell ref="K1174:K1175"/>
    <mergeCell ref="K1178:K1179"/>
    <mergeCell ref="K1180:K1181"/>
    <mergeCell ref="K1182:K1183"/>
    <mergeCell ref="K1184:K1185"/>
    <mergeCell ref="K1186:K1187"/>
    <mergeCell ref="K1188:K1189"/>
    <mergeCell ref="K1190:K1191"/>
    <mergeCell ref="K1194:K1195"/>
    <mergeCell ref="K1196:K1197"/>
    <mergeCell ref="K1034:K1035"/>
    <mergeCell ref="K1036:K1037"/>
    <mergeCell ref="K1129:K1130"/>
    <mergeCell ref="K1131:K1132"/>
    <mergeCell ref="K1133:K1134"/>
    <mergeCell ref="K1135:K1136"/>
    <mergeCell ref="K1137:K1138"/>
    <mergeCell ref="K1139:K1140"/>
    <mergeCell ref="F1141:K1141"/>
    <mergeCell ref="K1142:K1143"/>
    <mergeCell ref="K1144:K1145"/>
    <mergeCell ref="K1146:K1147"/>
    <mergeCell ref="K1148:K1149"/>
    <mergeCell ref="K1150:K1151"/>
    <mergeCell ref="F1155:K1155"/>
    <mergeCell ref="H1161:K1161"/>
    <mergeCell ref="K1152:K1153"/>
    <mergeCell ref="F1097:K1097"/>
    <mergeCell ref="K1076:K1077"/>
    <mergeCell ref="K1087:K1088"/>
    <mergeCell ref="K1089:K1090"/>
    <mergeCell ref="K1091:K1092"/>
    <mergeCell ref="K1093:K1094"/>
    <mergeCell ref="K1095:K1096"/>
    <mergeCell ref="K1098:K1099"/>
    <mergeCell ref="K1100:K1101"/>
    <mergeCell ref="K1102:K1103"/>
    <mergeCell ref="K1104:K1105"/>
    <mergeCell ref="K1106:K1107"/>
    <mergeCell ref="K1108:K1109"/>
    <mergeCell ref="K1110:K1111"/>
    <mergeCell ref="F1115:K1115"/>
    <mergeCell ref="K996:K997"/>
    <mergeCell ref="K998:K999"/>
    <mergeCell ref="H1005:K1005"/>
    <mergeCell ref="K1008:K1009"/>
    <mergeCell ref="K1010:K1011"/>
    <mergeCell ref="F1012:K1012"/>
    <mergeCell ref="K1013:K1014"/>
    <mergeCell ref="K1015:K1016"/>
    <mergeCell ref="K1017:K1018"/>
    <mergeCell ref="K1021:K1022"/>
    <mergeCell ref="K1023:K1024"/>
    <mergeCell ref="K1019:K1020"/>
    <mergeCell ref="K1025:K1026"/>
    <mergeCell ref="K1027:K1028"/>
    <mergeCell ref="K1029:K1030"/>
    <mergeCell ref="F1031:K1031"/>
    <mergeCell ref="K1032:K1033"/>
    <mergeCell ref="F1017:F1018"/>
    <mergeCell ref="G1017:G1018"/>
    <mergeCell ref="F1019:F1020"/>
    <mergeCell ref="G1019:G1020"/>
    <mergeCell ref="Q1038:Q1039"/>
    <mergeCell ref="R1038:R1039"/>
    <mergeCell ref="T1042:T1043"/>
    <mergeCell ref="U1042:U1043"/>
    <mergeCell ref="V1042:V1043"/>
    <mergeCell ref="K960:K961"/>
    <mergeCell ref="F963:K963"/>
    <mergeCell ref="K958:K959"/>
    <mergeCell ref="K942:K943"/>
    <mergeCell ref="K944:K945"/>
    <mergeCell ref="K950:K951"/>
    <mergeCell ref="K948:K949"/>
    <mergeCell ref="K952:K953"/>
    <mergeCell ref="K954:K955"/>
    <mergeCell ref="K956:K957"/>
    <mergeCell ref="K964:K965"/>
    <mergeCell ref="K966:K967"/>
    <mergeCell ref="K968:K969"/>
    <mergeCell ref="K970:K971"/>
    <mergeCell ref="F972:K972"/>
    <mergeCell ref="K973:K974"/>
    <mergeCell ref="K975:K976"/>
    <mergeCell ref="K977:K978"/>
    <mergeCell ref="K979:K980"/>
    <mergeCell ref="K981:K982"/>
    <mergeCell ref="K983:K984"/>
    <mergeCell ref="K985:K986"/>
    <mergeCell ref="K987:K988"/>
    <mergeCell ref="F989:K989"/>
    <mergeCell ref="K990:K991"/>
    <mergeCell ref="K992:K993"/>
    <mergeCell ref="K994:K995"/>
    <mergeCell ref="T1027:T1028"/>
    <mergeCell ref="T1029:T1030"/>
    <mergeCell ref="U1029:U1030"/>
    <mergeCell ref="V1029:V1030"/>
    <mergeCell ref="T1031:T1032"/>
    <mergeCell ref="U1031:U1032"/>
    <mergeCell ref="V1031:V1032"/>
    <mergeCell ref="T1023:T1024"/>
    <mergeCell ref="U1023:U1024"/>
    <mergeCell ref="T1025:T1026"/>
    <mergeCell ref="U1025:U1026"/>
    <mergeCell ref="V1025:V1026"/>
    <mergeCell ref="U1027:U1028"/>
    <mergeCell ref="V1027:V1028"/>
    <mergeCell ref="P1034:P1035"/>
    <mergeCell ref="Q1034:Q1035"/>
    <mergeCell ref="R1034:R1035"/>
    <mergeCell ref="T1034:T1035"/>
    <mergeCell ref="U1034:U1035"/>
    <mergeCell ref="V1034:V1035"/>
    <mergeCell ref="P1027:P1028"/>
    <mergeCell ref="P1029:P1030"/>
    <mergeCell ref="Q1029:Q1030"/>
    <mergeCell ref="R1029:R1030"/>
    <mergeCell ref="P1032:P1033"/>
    <mergeCell ref="Q1032:Q1033"/>
    <mergeCell ref="R1032:R1033"/>
    <mergeCell ref="T956:T957"/>
    <mergeCell ref="T1011:T1012"/>
    <mergeCell ref="U1011:U1012"/>
    <mergeCell ref="V1011:V1012"/>
    <mergeCell ref="T1038:T1039"/>
    <mergeCell ref="U1038:U1039"/>
    <mergeCell ref="P1036:P1037"/>
    <mergeCell ref="Q1036:Q1037"/>
    <mergeCell ref="R1036:R1037"/>
    <mergeCell ref="T1036:T1037"/>
    <mergeCell ref="U1036:U1037"/>
    <mergeCell ref="V1036:V1037"/>
    <mergeCell ref="P1038:P1039"/>
    <mergeCell ref="V1038:V1039"/>
    <mergeCell ref="P1021:P1022"/>
    <mergeCell ref="Q1021:Q1022"/>
    <mergeCell ref="R1021:R1022"/>
    <mergeCell ref="T1021:T1022"/>
    <mergeCell ref="U1021:U1022"/>
    <mergeCell ref="V1021:V1022"/>
    <mergeCell ref="P1023:P1024"/>
    <mergeCell ref="V1023:V1024"/>
    <mergeCell ref="Q1023:Q1024"/>
    <mergeCell ref="R1023:R1024"/>
    <mergeCell ref="Q979:Q980"/>
    <mergeCell ref="R979:R980"/>
    <mergeCell ref="P975:P976"/>
    <mergeCell ref="Q975:Q976"/>
    <mergeCell ref="R975:R976"/>
    <mergeCell ref="P977:P978"/>
    <mergeCell ref="Q977:Q978"/>
    <mergeCell ref="R977:R978"/>
    <mergeCell ref="U941:U942"/>
    <mergeCell ref="V941:V942"/>
    <mergeCell ref="T936:T937"/>
    <mergeCell ref="U936:U937"/>
    <mergeCell ref="V936:V937"/>
    <mergeCell ref="T938:T939"/>
    <mergeCell ref="U938:U939"/>
    <mergeCell ref="V938:V939"/>
    <mergeCell ref="T941:T942"/>
    <mergeCell ref="U949:U950"/>
    <mergeCell ref="V949:V950"/>
    <mergeCell ref="T945:T946"/>
    <mergeCell ref="U945:U946"/>
    <mergeCell ref="V945:V946"/>
    <mergeCell ref="T947:T948"/>
    <mergeCell ref="U947:U948"/>
    <mergeCell ref="V947:V948"/>
    <mergeCell ref="T949:T950"/>
    <mergeCell ref="P979:P980"/>
    <mergeCell ref="P990:P991"/>
    <mergeCell ref="Q990:Q991"/>
    <mergeCell ref="R990:R991"/>
    <mergeCell ref="T958:T959"/>
    <mergeCell ref="V958:V959"/>
    <mergeCell ref="T960:T961"/>
    <mergeCell ref="U960:U961"/>
    <mergeCell ref="V960:V961"/>
    <mergeCell ref="U962:U963"/>
    <mergeCell ref="V962:V963"/>
    <mergeCell ref="T962:T963"/>
    <mergeCell ref="T964:T965"/>
    <mergeCell ref="U964:U965"/>
    <mergeCell ref="V964:V965"/>
    <mergeCell ref="T966:T967"/>
    <mergeCell ref="U966:U967"/>
    <mergeCell ref="V966:V967"/>
    <mergeCell ref="U979:U980"/>
    <mergeCell ref="V979:V980"/>
    <mergeCell ref="T974:T975"/>
    <mergeCell ref="U974:U975"/>
    <mergeCell ref="V974:V975"/>
    <mergeCell ref="T977:T978"/>
    <mergeCell ref="Q966:Q967"/>
    <mergeCell ref="R966:R967"/>
    <mergeCell ref="P960:P961"/>
    <mergeCell ref="Q960:Q961"/>
    <mergeCell ref="R960:R961"/>
    <mergeCell ref="P964:P965"/>
    <mergeCell ref="Q964:Q965"/>
    <mergeCell ref="R964:R965"/>
    <mergeCell ref="P966:P967"/>
    <mergeCell ref="Q973:Q974"/>
    <mergeCell ref="R973:R974"/>
    <mergeCell ref="P968:P969"/>
    <mergeCell ref="Q968:Q969"/>
    <mergeCell ref="R968:R969"/>
    <mergeCell ref="P970:P971"/>
    <mergeCell ref="Q970:Q971"/>
    <mergeCell ref="R970:R971"/>
    <mergeCell ref="P973:P974"/>
    <mergeCell ref="U1486:U1487"/>
    <mergeCell ref="V1486:V1487"/>
    <mergeCell ref="T1482:T1483"/>
    <mergeCell ref="U1482:U1483"/>
    <mergeCell ref="V1482:V1483"/>
    <mergeCell ref="T1484:T1485"/>
    <mergeCell ref="U1484:U1485"/>
    <mergeCell ref="V1484:V1485"/>
    <mergeCell ref="T1486:T1487"/>
    <mergeCell ref="Q987:Q988"/>
    <mergeCell ref="R987:R988"/>
    <mergeCell ref="P983:P984"/>
    <mergeCell ref="Q983:Q984"/>
    <mergeCell ref="R983:R984"/>
    <mergeCell ref="P985:P986"/>
    <mergeCell ref="Q985:Q986"/>
    <mergeCell ref="R985:R986"/>
    <mergeCell ref="P987:P988"/>
    <mergeCell ref="U1009:U1010"/>
    <mergeCell ref="V1009:V1010"/>
    <mergeCell ref="T997:T998"/>
    <mergeCell ref="U997:U998"/>
    <mergeCell ref="V997:V998"/>
    <mergeCell ref="T999:T1008"/>
    <mergeCell ref="U999:U1008"/>
    <mergeCell ref="V999:V1008"/>
    <mergeCell ref="T1009:T1010"/>
    <mergeCell ref="P1025:P1026"/>
    <mergeCell ref="Q1025:Q1026"/>
    <mergeCell ref="R1025:R1026"/>
    <mergeCell ref="Q1027:Q1028"/>
    <mergeCell ref="R1027:R1028"/>
    <mergeCell ref="T1461:T1462"/>
    <mergeCell ref="U1461:U1462"/>
    <mergeCell ref="V1461:V1462"/>
    <mergeCell ref="T1463:T1464"/>
    <mergeCell ref="U1463:U1464"/>
    <mergeCell ref="V1463:V1464"/>
    <mergeCell ref="T1465:T1466"/>
    <mergeCell ref="T1457:T1458"/>
    <mergeCell ref="U1457:U1458"/>
    <mergeCell ref="V1457:V1458"/>
    <mergeCell ref="T1459:T1460"/>
    <mergeCell ref="U1459:U1460"/>
    <mergeCell ref="V1459:V1460"/>
    <mergeCell ref="Q1342:Q1343"/>
    <mergeCell ref="R1342:R1343"/>
    <mergeCell ref="P1338:P1339"/>
    <mergeCell ref="Q1338:Q1339"/>
    <mergeCell ref="R1338:R1339"/>
    <mergeCell ref="P1340:P1341"/>
    <mergeCell ref="Q1340:Q1341"/>
    <mergeCell ref="R1340:R1341"/>
    <mergeCell ref="P1342:P1343"/>
    <mergeCell ref="U1465:U1466"/>
    <mergeCell ref="V1465:V1466"/>
    <mergeCell ref="U1472:U1473"/>
    <mergeCell ref="V1472:V1473"/>
    <mergeCell ref="T1467:T1468"/>
    <mergeCell ref="U1467:U1468"/>
    <mergeCell ref="V1467:V1468"/>
    <mergeCell ref="T1470:T1471"/>
    <mergeCell ref="U1470:U1471"/>
    <mergeCell ref="V1470:V1471"/>
    <mergeCell ref="T1472:T1473"/>
    <mergeCell ref="U1478:U1479"/>
    <mergeCell ref="V1478:V1479"/>
    <mergeCell ref="T1474:T1475"/>
    <mergeCell ref="U1474:U1475"/>
    <mergeCell ref="V1474:V1475"/>
    <mergeCell ref="T1476:T1477"/>
    <mergeCell ref="U1476:U1477"/>
    <mergeCell ref="V1476:V1477"/>
    <mergeCell ref="T1478:T1479"/>
    <mergeCell ref="V1453:V1454"/>
    <mergeCell ref="U1455:U1456"/>
    <mergeCell ref="T1494:T1495"/>
    <mergeCell ref="U1494:U1495"/>
    <mergeCell ref="V1494:V1495"/>
    <mergeCell ref="U1423:U1424"/>
    <mergeCell ref="V1423:V1424"/>
    <mergeCell ref="T1416:T1417"/>
    <mergeCell ref="U1416:U1417"/>
    <mergeCell ref="V1416:V1417"/>
    <mergeCell ref="T1421:T1422"/>
    <mergeCell ref="U1421:U1422"/>
    <mergeCell ref="V1421:V1422"/>
    <mergeCell ref="T1423:T1424"/>
    <mergeCell ref="U1442:U1443"/>
    <mergeCell ref="V1442:V1443"/>
    <mergeCell ref="T1438:T1439"/>
    <mergeCell ref="U1438:U1439"/>
    <mergeCell ref="V1438:V1439"/>
    <mergeCell ref="T1440:T1441"/>
    <mergeCell ref="U1440:U1441"/>
    <mergeCell ref="V1440:V1441"/>
    <mergeCell ref="T1442:T1443"/>
    <mergeCell ref="U1449:U1450"/>
    <mergeCell ref="V1449:V1450"/>
    <mergeCell ref="T1444:T1445"/>
    <mergeCell ref="U1444:U1445"/>
    <mergeCell ref="V1444:V1445"/>
    <mergeCell ref="T1446:T1447"/>
    <mergeCell ref="U1446:U1447"/>
    <mergeCell ref="V1446:V1447"/>
    <mergeCell ref="T1449:T1450"/>
    <mergeCell ref="T1346:T1347"/>
    <mergeCell ref="U1346:U1347"/>
    <mergeCell ref="U1492:U1493"/>
    <mergeCell ref="V1492:V1493"/>
    <mergeCell ref="T1488:T1489"/>
    <mergeCell ref="U1488:U1489"/>
    <mergeCell ref="V1488:V1489"/>
    <mergeCell ref="T1490:T1491"/>
    <mergeCell ref="U1490:U1491"/>
    <mergeCell ref="V1490:V1491"/>
    <mergeCell ref="T1492:T1493"/>
    <mergeCell ref="U1381:U1382"/>
    <mergeCell ref="V1381:V1382"/>
    <mergeCell ref="T1381:T1382"/>
    <mergeCell ref="U1387:U1388"/>
    <mergeCell ref="V1387:V1388"/>
    <mergeCell ref="T1383:T1384"/>
    <mergeCell ref="U1383:U1384"/>
    <mergeCell ref="V1383:V1384"/>
    <mergeCell ref="T1385:T1386"/>
    <mergeCell ref="U1385:U1386"/>
    <mergeCell ref="V1385:V1386"/>
    <mergeCell ref="T1387:T1388"/>
    <mergeCell ref="U1393:U1394"/>
    <mergeCell ref="V1393:V1394"/>
    <mergeCell ref="T1389:T1390"/>
    <mergeCell ref="U1389:U1390"/>
    <mergeCell ref="V1389:V1390"/>
    <mergeCell ref="T1451:T1452"/>
    <mergeCell ref="V1451:V1452"/>
    <mergeCell ref="T1453:T1454"/>
    <mergeCell ref="U1453:U1454"/>
    <mergeCell ref="R1334:R1335"/>
    <mergeCell ref="P1336:P1337"/>
    <mergeCell ref="V1455:V1456"/>
    <mergeCell ref="T1455:T1456"/>
    <mergeCell ref="T1375:T1376"/>
    <mergeCell ref="U1375:U1376"/>
    <mergeCell ref="V1375:V1376"/>
    <mergeCell ref="T1377:T1378"/>
    <mergeCell ref="U1377:U1378"/>
    <mergeCell ref="V1377:V1378"/>
    <mergeCell ref="T1391:T1392"/>
    <mergeCell ref="U1391:U1392"/>
    <mergeCell ref="V1391:V1392"/>
    <mergeCell ref="T1393:T1394"/>
    <mergeCell ref="U1344:U1345"/>
    <mergeCell ref="V1344:V1345"/>
    <mergeCell ref="T1340:T1341"/>
    <mergeCell ref="U1340:U1341"/>
    <mergeCell ref="V1340:V1341"/>
    <mergeCell ref="T1342:T1343"/>
    <mergeCell ref="U1342:U1343"/>
    <mergeCell ref="V1342:V1343"/>
    <mergeCell ref="T1344:T1345"/>
    <mergeCell ref="U1358:U1359"/>
    <mergeCell ref="V1358:V1359"/>
    <mergeCell ref="T1354:T1355"/>
    <mergeCell ref="U1354:U1355"/>
    <mergeCell ref="V1354:V1355"/>
    <mergeCell ref="T1356:T1357"/>
    <mergeCell ref="U1356:U1357"/>
    <mergeCell ref="V1356:V1357"/>
    <mergeCell ref="T1358:T1359"/>
    <mergeCell ref="P1349:P1350"/>
    <mergeCell ref="Q1309:Q1310"/>
    <mergeCell ref="R1309:R1310"/>
    <mergeCell ref="P1311:P1312"/>
    <mergeCell ref="Q1311:Q1312"/>
    <mergeCell ref="R1311:R1312"/>
    <mergeCell ref="P1322:P1323"/>
    <mergeCell ref="Q1322:Q1323"/>
    <mergeCell ref="Q1330:Q1331"/>
    <mergeCell ref="R1322:R1323"/>
    <mergeCell ref="Q1190:Q1191"/>
    <mergeCell ref="R1190:R1191"/>
    <mergeCell ref="T1187:T1188"/>
    <mergeCell ref="U1187:U1188"/>
    <mergeCell ref="V1187:V1188"/>
    <mergeCell ref="P1188:P1189"/>
    <mergeCell ref="Q1188:Q1189"/>
    <mergeCell ref="R1188:R1189"/>
    <mergeCell ref="P1190:P1191"/>
    <mergeCell ref="Q1194:Q1195"/>
    <mergeCell ref="R1194:R1195"/>
    <mergeCell ref="T1191:T1192"/>
    <mergeCell ref="U1191:U1192"/>
    <mergeCell ref="V1191:V1192"/>
    <mergeCell ref="T1193:T1194"/>
    <mergeCell ref="U1193:U1194"/>
    <mergeCell ref="V1193:V1194"/>
    <mergeCell ref="P1194:P1195"/>
    <mergeCell ref="T1195:T1196"/>
    <mergeCell ref="U1195:U1196"/>
    <mergeCell ref="V1195:V1196"/>
    <mergeCell ref="T1322:T1323"/>
    <mergeCell ref="V1181:V1182"/>
    <mergeCell ref="P1182:P1183"/>
    <mergeCell ref="Q1182:Q1183"/>
    <mergeCell ref="R1182:R1183"/>
    <mergeCell ref="T1183:T1184"/>
    <mergeCell ref="Q1186:Q1187"/>
    <mergeCell ref="R1186:R1187"/>
    <mergeCell ref="P1184:P1185"/>
    <mergeCell ref="Q1184:Q1185"/>
    <mergeCell ref="R1184:R1185"/>
    <mergeCell ref="T1185:T1186"/>
    <mergeCell ref="U1185:U1186"/>
    <mergeCell ref="V1185:V1186"/>
    <mergeCell ref="P1186:P1187"/>
    <mergeCell ref="Q1180:Q1181"/>
    <mergeCell ref="R1180:R1181"/>
    <mergeCell ref="R1347:R1348"/>
    <mergeCell ref="R1330:R1331"/>
    <mergeCell ref="P1324:P1325"/>
    <mergeCell ref="Q1324:Q1325"/>
    <mergeCell ref="R1324:R1325"/>
    <mergeCell ref="P1326:P1327"/>
    <mergeCell ref="Q1326:Q1327"/>
    <mergeCell ref="R1326:R1327"/>
    <mergeCell ref="P1330:P1331"/>
    <mergeCell ref="Q1336:Q1337"/>
    <mergeCell ref="R1336:R1337"/>
    <mergeCell ref="P1332:P1333"/>
    <mergeCell ref="Q1332:Q1333"/>
    <mergeCell ref="R1332:R1333"/>
    <mergeCell ref="P1334:P1335"/>
    <mergeCell ref="Q1334:Q1335"/>
    <mergeCell ref="U1322:U1323"/>
    <mergeCell ref="V1322:V1323"/>
    <mergeCell ref="T1324:T1325"/>
    <mergeCell ref="U1324:U1325"/>
    <mergeCell ref="V1324:V1325"/>
    <mergeCell ref="U1275:U1278"/>
    <mergeCell ref="V1275:V1278"/>
    <mergeCell ref="T1275:T1278"/>
    <mergeCell ref="P1262:P1263"/>
    <mergeCell ref="P1264:P1265"/>
    <mergeCell ref="Q1264:Q1265"/>
    <mergeCell ref="R1264:R1265"/>
    <mergeCell ref="P1266:P1267"/>
    <mergeCell ref="Q1266:Q1267"/>
    <mergeCell ref="R1266:R1267"/>
    <mergeCell ref="P1274:P1275"/>
    <mergeCell ref="Q1274:Q1275"/>
    <mergeCell ref="R1274:R1275"/>
    <mergeCell ref="T1273:T1274"/>
    <mergeCell ref="Q1280:Q1281"/>
    <mergeCell ref="R1280:R1281"/>
    <mergeCell ref="P1278:P1279"/>
    <mergeCell ref="Q1278:Q1279"/>
    <mergeCell ref="R1278:R1279"/>
    <mergeCell ref="T1279:T1280"/>
    <mergeCell ref="U1279:U1280"/>
    <mergeCell ref="V1279:V1280"/>
    <mergeCell ref="P1280:P1281"/>
    <mergeCell ref="U1283:U1284"/>
    <mergeCell ref="V1283:V1284"/>
    <mergeCell ref="Q1304:Q1305"/>
    <mergeCell ref="R1304:R1305"/>
    <mergeCell ref="T1305:T1306"/>
    <mergeCell ref="U1305:U1306"/>
    <mergeCell ref="V1305:V1306"/>
    <mergeCell ref="P1300:P1301"/>
    <mergeCell ref="Q1300:Q1301"/>
    <mergeCell ref="R1300:R1301"/>
    <mergeCell ref="P1302:P1303"/>
    <mergeCell ref="Q1302:Q1303"/>
    <mergeCell ref="R1302:R1303"/>
    <mergeCell ref="P1304:P1305"/>
    <mergeCell ref="T1309:T1310"/>
    <mergeCell ref="U1309:U1310"/>
    <mergeCell ref="T1311:T1312"/>
    <mergeCell ref="U1311:U1312"/>
    <mergeCell ref="V1311:V1312"/>
    <mergeCell ref="P1306:P1307"/>
    <mergeCell ref="Q1306:Q1307"/>
    <mergeCell ref="R1306:R1307"/>
    <mergeCell ref="T1307:T1308"/>
    <mergeCell ref="U1307:U1308"/>
    <mergeCell ref="V1307:V1308"/>
    <mergeCell ref="P1309:P1310"/>
    <mergeCell ref="V1309:V1310"/>
    <mergeCell ref="T1264:T1265"/>
    <mergeCell ref="U1264:U1265"/>
    <mergeCell ref="V1264:V1265"/>
    <mergeCell ref="T1257:T1258"/>
    <mergeCell ref="U1257:U1258"/>
    <mergeCell ref="T1259:T1260"/>
    <mergeCell ref="U1259:U1260"/>
    <mergeCell ref="V1259:V1260"/>
    <mergeCell ref="U1262:U1263"/>
    <mergeCell ref="V1262:V1263"/>
    <mergeCell ref="Q1257:Q1258"/>
    <mergeCell ref="R1257:R1258"/>
    <mergeCell ref="P1259:P1260"/>
    <mergeCell ref="Q1259:Q1260"/>
    <mergeCell ref="R1259:R1260"/>
    <mergeCell ref="Q1262:Q1263"/>
    <mergeCell ref="R1262:R1263"/>
    <mergeCell ref="T713:T714"/>
    <mergeCell ref="U716:U717"/>
    <mergeCell ref="V716:V717"/>
    <mergeCell ref="P714:P715"/>
    <mergeCell ref="Q714:Q715"/>
    <mergeCell ref="R714:R715"/>
    <mergeCell ref="P716:P717"/>
    <mergeCell ref="Q716:Q717"/>
    <mergeCell ref="R716:R717"/>
    <mergeCell ref="T716:T717"/>
    <mergeCell ref="P708:P709"/>
    <mergeCell ref="Q708:Q709"/>
    <mergeCell ref="R708:R709"/>
    <mergeCell ref="P712:P713"/>
    <mergeCell ref="Q712:Q713"/>
    <mergeCell ref="R712:R713"/>
    <mergeCell ref="T1262:T1263"/>
    <mergeCell ref="P1196:P1197"/>
    <mergeCell ref="Q1196:Q1197"/>
    <mergeCell ref="R1196:R1197"/>
    <mergeCell ref="T1197:T1198"/>
    <mergeCell ref="R1198:R1199"/>
    <mergeCell ref="T1199:T1200"/>
    <mergeCell ref="U1199:U1200"/>
    <mergeCell ref="V1199:V1200"/>
    <mergeCell ref="P1200:P1201"/>
    <mergeCell ref="U1197:U1198"/>
    <mergeCell ref="V1197:V1198"/>
    <mergeCell ref="U1183:U1184"/>
    <mergeCell ref="V1183:V1184"/>
    <mergeCell ref="T1181:T1182"/>
    <mergeCell ref="U1181:U1182"/>
    <mergeCell ref="T705:T706"/>
    <mergeCell ref="U705:U706"/>
    <mergeCell ref="V705:V706"/>
    <mergeCell ref="F711:K711"/>
    <mergeCell ref="P702:P703"/>
    <mergeCell ref="Q702:Q703"/>
    <mergeCell ref="R702:R703"/>
    <mergeCell ref="T703:T704"/>
    <mergeCell ref="U703:U704"/>
    <mergeCell ref="V703:V704"/>
    <mergeCell ref="P704:P705"/>
    <mergeCell ref="Q704:Q705"/>
    <mergeCell ref="R704:R705"/>
    <mergeCell ref="Q706:Q707"/>
    <mergeCell ref="R706:R707"/>
    <mergeCell ref="T707:T708"/>
    <mergeCell ref="U707:U708"/>
    <mergeCell ref="V707:V708"/>
    <mergeCell ref="P706:P707"/>
    <mergeCell ref="T709:T710"/>
    <mergeCell ref="U709:U710"/>
    <mergeCell ref="V709:V710"/>
    <mergeCell ref="T711:T712"/>
    <mergeCell ref="U711:U712"/>
    <mergeCell ref="V711:V712"/>
    <mergeCell ref="R685:R686"/>
    <mergeCell ref="P698:P699"/>
    <mergeCell ref="P700:P701"/>
    <mergeCell ref="Q700:Q701"/>
    <mergeCell ref="R700:R701"/>
    <mergeCell ref="T700:T701"/>
    <mergeCell ref="U700:U701"/>
    <mergeCell ref="V700:V701"/>
    <mergeCell ref="P666:P667"/>
    <mergeCell ref="Q666:Q667"/>
    <mergeCell ref="R666:R667"/>
    <mergeCell ref="T666:T667"/>
    <mergeCell ref="U666:U667"/>
    <mergeCell ref="V666:V667"/>
    <mergeCell ref="P668:P669"/>
    <mergeCell ref="T668:T669"/>
    <mergeCell ref="U668:U669"/>
    <mergeCell ref="P670:P671"/>
    <mergeCell ref="Q670:Q671"/>
    <mergeCell ref="R670:R671"/>
    <mergeCell ref="T671:T672"/>
    <mergeCell ref="T685:T686"/>
    <mergeCell ref="U685:U686"/>
    <mergeCell ref="V685:V686"/>
    <mergeCell ref="P687:P688"/>
    <mergeCell ref="V687:V688"/>
    <mergeCell ref="P682:P683"/>
    <mergeCell ref="Q682:Q683"/>
    <mergeCell ref="R682:R683"/>
    <mergeCell ref="T683:T684"/>
    <mergeCell ref="U683:U684"/>
    <mergeCell ref="V683:V684"/>
    <mergeCell ref="K670:K671"/>
    <mergeCell ref="K674:K675"/>
    <mergeCell ref="K676:K677"/>
    <mergeCell ref="K678:K679"/>
    <mergeCell ref="K680:K681"/>
    <mergeCell ref="K682:K683"/>
    <mergeCell ref="K685:K686"/>
    <mergeCell ref="K687:K688"/>
    <mergeCell ref="Q674:Q675"/>
    <mergeCell ref="R674:R675"/>
    <mergeCell ref="T679:T680"/>
    <mergeCell ref="U679:U680"/>
    <mergeCell ref="V679:V680"/>
    <mergeCell ref="T673:T674"/>
    <mergeCell ref="T675:T676"/>
    <mergeCell ref="U675:U676"/>
    <mergeCell ref="V675:V676"/>
    <mergeCell ref="T677:T678"/>
    <mergeCell ref="U677:U678"/>
    <mergeCell ref="V677:V678"/>
    <mergeCell ref="F673:K673"/>
    <mergeCell ref="U671:U672"/>
    <mergeCell ref="V671:V672"/>
    <mergeCell ref="U673:U674"/>
    <mergeCell ref="V673:V674"/>
    <mergeCell ref="P674:P675"/>
    <mergeCell ref="Q687:Q688"/>
    <mergeCell ref="R687:R688"/>
    <mergeCell ref="T687:T688"/>
    <mergeCell ref="U687:U688"/>
    <mergeCell ref="P685:P686"/>
    <mergeCell ref="Q685:Q686"/>
    <mergeCell ref="V664:V665"/>
    <mergeCell ref="P658:P659"/>
    <mergeCell ref="P660:P661"/>
    <mergeCell ref="Q660:Q661"/>
    <mergeCell ref="R660:R661"/>
    <mergeCell ref="P662:P663"/>
    <mergeCell ref="Q662:Q663"/>
    <mergeCell ref="R662:R663"/>
    <mergeCell ref="Q668:Q669"/>
    <mergeCell ref="R668:R669"/>
    <mergeCell ref="Q680:Q681"/>
    <mergeCell ref="R680:R681"/>
    <mergeCell ref="P676:P677"/>
    <mergeCell ref="Q676:Q677"/>
    <mergeCell ref="R676:R677"/>
    <mergeCell ref="P678:P679"/>
    <mergeCell ref="Q678:Q679"/>
    <mergeCell ref="R678:R679"/>
    <mergeCell ref="P680:P681"/>
    <mergeCell ref="U658:U659"/>
    <mergeCell ref="V658:V659"/>
    <mergeCell ref="P664:P665"/>
    <mergeCell ref="Q664:Q665"/>
    <mergeCell ref="R664:R665"/>
    <mergeCell ref="T664:T665"/>
    <mergeCell ref="U664:U665"/>
    <mergeCell ref="T735:T736"/>
    <mergeCell ref="U735:U736"/>
    <mergeCell ref="V735:V736"/>
    <mergeCell ref="P729:P730"/>
    <mergeCell ref="Q729:Q730"/>
    <mergeCell ref="R729:R730"/>
    <mergeCell ref="T729:T730"/>
    <mergeCell ref="U729:U730"/>
    <mergeCell ref="V729:V730"/>
    <mergeCell ref="P731:P732"/>
    <mergeCell ref="V731:V732"/>
    <mergeCell ref="P650:P651"/>
    <mergeCell ref="Q650:Q651"/>
    <mergeCell ref="R650:R651"/>
    <mergeCell ref="T650:T651"/>
    <mergeCell ref="U650:U651"/>
    <mergeCell ref="V650:V651"/>
    <mergeCell ref="P652:P653"/>
    <mergeCell ref="V652:V653"/>
    <mergeCell ref="Q652:Q653"/>
    <mergeCell ref="R652:R653"/>
    <mergeCell ref="P656:P657"/>
    <mergeCell ref="Q656:Q657"/>
    <mergeCell ref="R656:R657"/>
    <mergeCell ref="Q658:Q659"/>
    <mergeCell ref="R658:R659"/>
    <mergeCell ref="T658:T659"/>
    <mergeCell ref="T660:T661"/>
    <mergeCell ref="U660:U661"/>
    <mergeCell ref="V660:V661"/>
    <mergeCell ref="T662:T663"/>
    <mergeCell ref="U662:U663"/>
    <mergeCell ref="T722:T723"/>
    <mergeCell ref="U722:U723"/>
    <mergeCell ref="V722:V723"/>
    <mergeCell ref="U724:U725"/>
    <mergeCell ref="V724:V725"/>
    <mergeCell ref="Q720:Q721"/>
    <mergeCell ref="R720:R721"/>
    <mergeCell ref="P722:P723"/>
    <mergeCell ref="Q722:Q723"/>
    <mergeCell ref="R722:R723"/>
    <mergeCell ref="Q724:Q725"/>
    <mergeCell ref="R724:R725"/>
    <mergeCell ref="T731:T732"/>
    <mergeCell ref="U731:U732"/>
    <mergeCell ref="T733:T734"/>
    <mergeCell ref="U733:U734"/>
    <mergeCell ref="V733:V734"/>
    <mergeCell ref="P735:P736"/>
    <mergeCell ref="P737:P738"/>
    <mergeCell ref="Q737:Q738"/>
    <mergeCell ref="R737:R738"/>
    <mergeCell ref="T737:T738"/>
    <mergeCell ref="U737:U738"/>
    <mergeCell ref="V737:V738"/>
    <mergeCell ref="Q731:Q732"/>
    <mergeCell ref="R731:R732"/>
    <mergeCell ref="P733:P734"/>
    <mergeCell ref="Q733:Q734"/>
    <mergeCell ref="R733:R734"/>
    <mergeCell ref="Q735:Q736"/>
    <mergeCell ref="R735:R736"/>
    <mergeCell ref="P718:P719"/>
    <mergeCell ref="Q718:Q719"/>
    <mergeCell ref="R718:R719"/>
    <mergeCell ref="T718:T719"/>
    <mergeCell ref="U718:U719"/>
    <mergeCell ref="V718:V719"/>
    <mergeCell ref="P720:P721"/>
    <mergeCell ref="V720:V721"/>
    <mergeCell ref="P724:P725"/>
    <mergeCell ref="P726:P727"/>
    <mergeCell ref="Q726:Q727"/>
    <mergeCell ref="R726:R727"/>
    <mergeCell ref="T724:T725"/>
    <mergeCell ref="T726:T727"/>
    <mergeCell ref="U726:U727"/>
    <mergeCell ref="V726:V727"/>
    <mergeCell ref="T720:T721"/>
    <mergeCell ref="U720:U721"/>
    <mergeCell ref="P636:P637"/>
    <mergeCell ref="Q636:Q637"/>
    <mergeCell ref="R636:R637"/>
    <mergeCell ref="P638:P639"/>
    <mergeCell ref="Q638:Q639"/>
    <mergeCell ref="R638:R639"/>
    <mergeCell ref="P640:P641"/>
    <mergeCell ref="Q646:Q647"/>
    <mergeCell ref="R646:R647"/>
    <mergeCell ref="T646:T647"/>
    <mergeCell ref="U646:U647"/>
    <mergeCell ref="V646:V647"/>
    <mergeCell ref="V668:V669"/>
    <mergeCell ref="P648:P649"/>
    <mergeCell ref="Q648:Q649"/>
    <mergeCell ref="R648:R649"/>
    <mergeCell ref="T648:T649"/>
    <mergeCell ref="U648:U649"/>
    <mergeCell ref="V648:V649"/>
    <mergeCell ref="P642:P643"/>
    <mergeCell ref="Q642:Q643"/>
    <mergeCell ref="R642:R643"/>
    <mergeCell ref="P644:P645"/>
    <mergeCell ref="Q644:Q645"/>
    <mergeCell ref="R644:R645"/>
    <mergeCell ref="P646:P647"/>
    <mergeCell ref="V662:V663"/>
    <mergeCell ref="T652:T653"/>
    <mergeCell ref="U652:U653"/>
    <mergeCell ref="T656:T657"/>
    <mergeCell ref="U656:U657"/>
    <mergeCell ref="V656:V657"/>
    <mergeCell ref="V574:V575"/>
    <mergeCell ref="K623:K624"/>
    <mergeCell ref="F635:K635"/>
    <mergeCell ref="K648:K649"/>
    <mergeCell ref="K650:K651"/>
    <mergeCell ref="K652:K653"/>
    <mergeCell ref="F655:K655"/>
    <mergeCell ref="K656:K657"/>
    <mergeCell ref="K658:K659"/>
    <mergeCell ref="K660:K661"/>
    <mergeCell ref="K662:K663"/>
    <mergeCell ref="K664:K665"/>
    <mergeCell ref="K666:K667"/>
    <mergeCell ref="K668:K669"/>
    <mergeCell ref="K625:K626"/>
    <mergeCell ref="K636:K637"/>
    <mergeCell ref="K638:K639"/>
    <mergeCell ref="K640:K641"/>
    <mergeCell ref="K642:K643"/>
    <mergeCell ref="K644:K645"/>
    <mergeCell ref="K646:K647"/>
    <mergeCell ref="Q633:Q634"/>
    <mergeCell ref="R633:R634"/>
    <mergeCell ref="P629:P630"/>
    <mergeCell ref="Q629:Q630"/>
    <mergeCell ref="R629:R630"/>
    <mergeCell ref="P631:P632"/>
    <mergeCell ref="Q631:Q632"/>
    <mergeCell ref="R631:R632"/>
    <mergeCell ref="P633:P634"/>
    <mergeCell ref="Q640:Q641"/>
    <mergeCell ref="R640:R641"/>
    <mergeCell ref="V589:V590"/>
    <mergeCell ref="V610:V611"/>
    <mergeCell ref="T605:T606"/>
    <mergeCell ref="U605:U606"/>
    <mergeCell ref="V605:V606"/>
    <mergeCell ref="T608:T609"/>
    <mergeCell ref="U608:U609"/>
    <mergeCell ref="V608:V609"/>
    <mergeCell ref="T610:T611"/>
    <mergeCell ref="U488:U489"/>
    <mergeCell ref="V488:V489"/>
    <mergeCell ref="T484:T485"/>
    <mergeCell ref="U484:U485"/>
    <mergeCell ref="V484:V485"/>
    <mergeCell ref="T486:T487"/>
    <mergeCell ref="U486:U487"/>
    <mergeCell ref="V486:V487"/>
    <mergeCell ref="T488:T489"/>
    <mergeCell ref="U557:U558"/>
    <mergeCell ref="V557:V558"/>
    <mergeCell ref="T553:T554"/>
    <mergeCell ref="U553:U554"/>
    <mergeCell ref="V553:V554"/>
    <mergeCell ref="T555:T556"/>
    <mergeCell ref="U555:U556"/>
    <mergeCell ref="V555:V556"/>
    <mergeCell ref="T557:T558"/>
    <mergeCell ref="T572:T573"/>
    <mergeCell ref="U572:U573"/>
    <mergeCell ref="V572:V573"/>
    <mergeCell ref="T574:T575"/>
    <mergeCell ref="U574:U575"/>
    <mergeCell ref="U577:U578"/>
    <mergeCell ref="V577:V578"/>
    <mergeCell ref="U603:U604"/>
    <mergeCell ref="V603:V604"/>
    <mergeCell ref="T599:T600"/>
    <mergeCell ref="U599:U600"/>
    <mergeCell ref="V599:V600"/>
    <mergeCell ref="T601:T602"/>
    <mergeCell ref="U601:U602"/>
    <mergeCell ref="V601:V602"/>
    <mergeCell ref="T603:T604"/>
    <mergeCell ref="K598:K599"/>
    <mergeCell ref="K600:K601"/>
    <mergeCell ref="K602:K603"/>
    <mergeCell ref="K604:K605"/>
    <mergeCell ref="K606:K607"/>
    <mergeCell ref="T577:T578"/>
    <mergeCell ref="U583:U584"/>
    <mergeCell ref="V583:V584"/>
    <mergeCell ref="T579:T580"/>
    <mergeCell ref="U579:U580"/>
    <mergeCell ref="V579:V580"/>
    <mergeCell ref="T581:T582"/>
    <mergeCell ref="U581:U582"/>
    <mergeCell ref="V581:V582"/>
    <mergeCell ref="T583:T584"/>
    <mergeCell ref="U597:U598"/>
    <mergeCell ref="V597:V598"/>
    <mergeCell ref="T593:T594"/>
    <mergeCell ref="U593:U594"/>
    <mergeCell ref="V593:V594"/>
    <mergeCell ref="T595:T596"/>
    <mergeCell ref="K583:K584"/>
    <mergeCell ref="K587:K588"/>
    <mergeCell ref="K589:K590"/>
    <mergeCell ref="K591:K592"/>
    <mergeCell ref="K593:K594"/>
    <mergeCell ref="Q583:Q584"/>
    <mergeCell ref="R583:R584"/>
    <mergeCell ref="Q627:Q628"/>
    <mergeCell ref="R627:R628"/>
    <mergeCell ref="T633:T634"/>
    <mergeCell ref="U633:U634"/>
    <mergeCell ref="V633:V634"/>
    <mergeCell ref="K627:K628"/>
    <mergeCell ref="K629:K630"/>
    <mergeCell ref="K631:K632"/>
    <mergeCell ref="K633:K634"/>
    <mergeCell ref="P623:P624"/>
    <mergeCell ref="Q623:Q624"/>
    <mergeCell ref="R623:R624"/>
    <mergeCell ref="P625:P626"/>
    <mergeCell ref="Q625:Q626"/>
    <mergeCell ref="R625:R626"/>
    <mergeCell ref="P627:P628"/>
    <mergeCell ref="U595:U596"/>
    <mergeCell ref="V595:V596"/>
    <mergeCell ref="T597:T598"/>
    <mergeCell ref="V585:V586"/>
    <mergeCell ref="T587:T588"/>
    <mergeCell ref="U587:U588"/>
    <mergeCell ref="V587:V588"/>
    <mergeCell ref="T589:T590"/>
    <mergeCell ref="U589:U590"/>
    <mergeCell ref="Q621:Q622"/>
    <mergeCell ref="R621:R622"/>
    <mergeCell ref="P609:P610"/>
    <mergeCell ref="Q609:Q610"/>
    <mergeCell ref="R609:R610"/>
    <mergeCell ref="P611:P612"/>
    <mergeCell ref="Q611:Q612"/>
    <mergeCell ref="R611:R612"/>
    <mergeCell ref="P621:P622"/>
    <mergeCell ref="T585:T586"/>
    <mergeCell ref="U585:U586"/>
    <mergeCell ref="P604:P605"/>
    <mergeCell ref="Q604:Q605"/>
    <mergeCell ref="U610:U611"/>
    <mergeCell ref="G618:G619"/>
    <mergeCell ref="H618:K618"/>
    <mergeCell ref="K621:K622"/>
    <mergeCell ref="K585:K586"/>
    <mergeCell ref="P596:P597"/>
    <mergeCell ref="Q596:Q597"/>
    <mergeCell ref="R596:R597"/>
    <mergeCell ref="R598:R599"/>
    <mergeCell ref="P598:P599"/>
    <mergeCell ref="Q598:Q599"/>
    <mergeCell ref="P600:P601"/>
    <mergeCell ref="Q600:Q601"/>
    <mergeCell ref="R600:R601"/>
    <mergeCell ref="Q602:Q603"/>
    <mergeCell ref="R602:R603"/>
    <mergeCell ref="P602:P603"/>
    <mergeCell ref="F595:K595"/>
    <mergeCell ref="E557:E558"/>
    <mergeCell ref="F557:F558"/>
    <mergeCell ref="G557:G558"/>
    <mergeCell ref="E559:E560"/>
    <mergeCell ref="F559:F560"/>
    <mergeCell ref="G559:G560"/>
    <mergeCell ref="E561:E562"/>
    <mergeCell ref="E583:E584"/>
    <mergeCell ref="F583:F584"/>
    <mergeCell ref="G583:G584"/>
    <mergeCell ref="E585:E586"/>
    <mergeCell ref="F585:F586"/>
    <mergeCell ref="G585:G586"/>
    <mergeCell ref="E587:E588"/>
    <mergeCell ref="F593:F594"/>
    <mergeCell ref="G593:G594"/>
    <mergeCell ref="E589:E590"/>
    <mergeCell ref="F589:F590"/>
    <mergeCell ref="G589:G590"/>
    <mergeCell ref="E591:E592"/>
    <mergeCell ref="F591:F592"/>
    <mergeCell ref="G591:G592"/>
    <mergeCell ref="E593:E594"/>
    <mergeCell ref="G568:G569"/>
    <mergeCell ref="E563:E564"/>
    <mergeCell ref="F563:F564"/>
    <mergeCell ref="G563:G564"/>
    <mergeCell ref="E566:E567"/>
    <mergeCell ref="F566:F567"/>
    <mergeCell ref="G566:G567"/>
    <mergeCell ref="E568:E569"/>
    <mergeCell ref="F574:F575"/>
    <mergeCell ref="E530:E531"/>
    <mergeCell ref="F530:F531"/>
    <mergeCell ref="G530:G531"/>
    <mergeCell ref="E532:E533"/>
    <mergeCell ref="E534:E535"/>
    <mergeCell ref="E520:E521"/>
    <mergeCell ref="F520:F521"/>
    <mergeCell ref="G520:G521"/>
    <mergeCell ref="E544:E545"/>
    <mergeCell ref="E546:E547"/>
    <mergeCell ref="F546:F547"/>
    <mergeCell ref="G546:G547"/>
    <mergeCell ref="E549:E550"/>
    <mergeCell ref="F549:F550"/>
    <mergeCell ref="G549:G550"/>
    <mergeCell ref="F555:F556"/>
    <mergeCell ref="G555:G556"/>
    <mergeCell ref="E551:E552"/>
    <mergeCell ref="F551:F552"/>
    <mergeCell ref="G551:G552"/>
    <mergeCell ref="E553:E554"/>
    <mergeCell ref="F553:F554"/>
    <mergeCell ref="G553:G554"/>
    <mergeCell ref="E555:E556"/>
    <mergeCell ref="D541:E541"/>
    <mergeCell ref="F541:F542"/>
    <mergeCell ref="G541:G542"/>
    <mergeCell ref="D534:D535"/>
    <mergeCell ref="F524:F525"/>
    <mergeCell ref="G524:G525"/>
    <mergeCell ref="F526:F527"/>
    <mergeCell ref="G526:G527"/>
    <mergeCell ref="G492:G493"/>
    <mergeCell ref="E488:E489"/>
    <mergeCell ref="F488:F489"/>
    <mergeCell ref="G488:G489"/>
    <mergeCell ref="E490:E491"/>
    <mergeCell ref="F490:F491"/>
    <mergeCell ref="G490:G491"/>
    <mergeCell ref="E492:E493"/>
    <mergeCell ref="F498:F499"/>
    <mergeCell ref="G498:G499"/>
    <mergeCell ref="E494:E495"/>
    <mergeCell ref="F494:F495"/>
    <mergeCell ref="G494:G495"/>
    <mergeCell ref="E496:E497"/>
    <mergeCell ref="F496:F497"/>
    <mergeCell ref="G496:G497"/>
    <mergeCell ref="E498:E499"/>
    <mergeCell ref="F506:F507"/>
    <mergeCell ref="G506:G507"/>
    <mergeCell ref="E502:E503"/>
    <mergeCell ref="F502:F503"/>
    <mergeCell ref="G502:G503"/>
    <mergeCell ref="E504:E505"/>
    <mergeCell ref="F504:F505"/>
    <mergeCell ref="G504:G505"/>
    <mergeCell ref="E506:E507"/>
    <mergeCell ref="E528:E529"/>
    <mergeCell ref="F528:F529"/>
    <mergeCell ref="G528:G529"/>
    <mergeCell ref="F512:F513"/>
    <mergeCell ref="G512:G513"/>
    <mergeCell ref="E508:E509"/>
    <mergeCell ref="F508:F509"/>
    <mergeCell ref="G508:G509"/>
    <mergeCell ref="E510:E511"/>
    <mergeCell ref="F510:F511"/>
    <mergeCell ref="G510:G511"/>
    <mergeCell ref="E512:E513"/>
    <mergeCell ref="F518:F519"/>
    <mergeCell ref="G518:G519"/>
    <mergeCell ref="E514:E515"/>
    <mergeCell ref="F514:F515"/>
    <mergeCell ref="G514:G515"/>
    <mergeCell ref="E516:E517"/>
    <mergeCell ref="F516:F517"/>
    <mergeCell ref="G516:G517"/>
    <mergeCell ref="E518:E519"/>
    <mergeCell ref="E524:E525"/>
    <mergeCell ref="E526:E527"/>
    <mergeCell ref="G574:G575"/>
    <mergeCell ref="E570:E571"/>
    <mergeCell ref="F570:F571"/>
    <mergeCell ref="G570:G571"/>
    <mergeCell ref="E572:E573"/>
    <mergeCell ref="F572:F573"/>
    <mergeCell ref="G572:G573"/>
    <mergeCell ref="E574:E575"/>
    <mergeCell ref="F565:K565"/>
    <mergeCell ref="K566:K567"/>
    <mergeCell ref="F568:F569"/>
    <mergeCell ref="F581:F582"/>
    <mergeCell ref="G581:G582"/>
    <mergeCell ref="E576:E577"/>
    <mergeCell ref="F576:F577"/>
    <mergeCell ref="G576:G577"/>
    <mergeCell ref="E578:E579"/>
    <mergeCell ref="F578:F579"/>
    <mergeCell ref="G578:G579"/>
    <mergeCell ref="E581:E582"/>
    <mergeCell ref="K568:K569"/>
    <mergeCell ref="K570:K571"/>
    <mergeCell ref="K572:K573"/>
    <mergeCell ref="K574:K575"/>
    <mergeCell ref="K576:K577"/>
    <mergeCell ref="K578:K579"/>
    <mergeCell ref="K581:K582"/>
    <mergeCell ref="Q502:Q503"/>
    <mergeCell ref="R502:R503"/>
    <mergeCell ref="P496:P497"/>
    <mergeCell ref="Q496:Q497"/>
    <mergeCell ref="R496:R497"/>
    <mergeCell ref="P498:P499"/>
    <mergeCell ref="Q498:Q499"/>
    <mergeCell ref="R498:R499"/>
    <mergeCell ref="P502:P503"/>
    <mergeCell ref="A618:A619"/>
    <mergeCell ref="B618:B619"/>
    <mergeCell ref="C618:C619"/>
    <mergeCell ref="D618:E618"/>
    <mergeCell ref="E602:E603"/>
    <mergeCell ref="F602:F603"/>
    <mergeCell ref="G602:G603"/>
    <mergeCell ref="E604:E605"/>
    <mergeCell ref="F604:F605"/>
    <mergeCell ref="G604:G605"/>
    <mergeCell ref="E606:E607"/>
    <mergeCell ref="F587:F588"/>
    <mergeCell ref="G587:G588"/>
    <mergeCell ref="K596:K597"/>
    <mergeCell ref="R604:R605"/>
    <mergeCell ref="P606:P607"/>
    <mergeCell ref="Q606:Q607"/>
    <mergeCell ref="R606:R607"/>
    <mergeCell ref="F608:K608"/>
    <mergeCell ref="K609:K610"/>
    <mergeCell ref="K611:K612"/>
    <mergeCell ref="F618:F619"/>
    <mergeCell ref="E609:E610"/>
    <mergeCell ref="P578:P579"/>
    <mergeCell ref="Q578:Q579"/>
    <mergeCell ref="R578:R579"/>
    <mergeCell ref="P581:P582"/>
    <mergeCell ref="Q581:Q582"/>
    <mergeCell ref="R581:R582"/>
    <mergeCell ref="P583:P584"/>
    <mergeCell ref="Q589:Q590"/>
    <mergeCell ref="R589:R590"/>
    <mergeCell ref="P591:P592"/>
    <mergeCell ref="Q591:Q592"/>
    <mergeCell ref="R591:R592"/>
    <mergeCell ref="P593:P594"/>
    <mergeCell ref="Q593:Q594"/>
    <mergeCell ref="R593:R594"/>
    <mergeCell ref="P585:P586"/>
    <mergeCell ref="Q585:Q586"/>
    <mergeCell ref="R585:R586"/>
    <mergeCell ref="P587:P588"/>
    <mergeCell ref="Q587:Q588"/>
    <mergeCell ref="R587:R588"/>
    <mergeCell ref="P589:P590"/>
    <mergeCell ref="Q508:Q509"/>
    <mergeCell ref="R508:R509"/>
    <mergeCell ref="P504:P505"/>
    <mergeCell ref="Q504:Q505"/>
    <mergeCell ref="R504:R505"/>
    <mergeCell ref="P506:P507"/>
    <mergeCell ref="Q506:Q507"/>
    <mergeCell ref="R506:R507"/>
    <mergeCell ref="P508:P509"/>
    <mergeCell ref="F501:K501"/>
    <mergeCell ref="K488:K489"/>
    <mergeCell ref="K490:K491"/>
    <mergeCell ref="K492:K493"/>
    <mergeCell ref="P492:P493"/>
    <mergeCell ref="Q492:Q493"/>
    <mergeCell ref="R492:R493"/>
    <mergeCell ref="P494:P495"/>
    <mergeCell ref="Q490:Q491"/>
    <mergeCell ref="R490:R491"/>
    <mergeCell ref="F492:F493"/>
    <mergeCell ref="K508:K509"/>
    <mergeCell ref="K494:K495"/>
    <mergeCell ref="K496:K497"/>
    <mergeCell ref="K498:K499"/>
    <mergeCell ref="K502:K503"/>
    <mergeCell ref="K504:K505"/>
    <mergeCell ref="K506:K507"/>
    <mergeCell ref="Q488:Q489"/>
    <mergeCell ref="R488:R489"/>
    <mergeCell ref="P490:P491"/>
    <mergeCell ref="Q494:Q495"/>
    <mergeCell ref="R494:R495"/>
    <mergeCell ref="Q514:Q515"/>
    <mergeCell ref="R514:R515"/>
    <mergeCell ref="F523:K523"/>
    <mergeCell ref="P510:P511"/>
    <mergeCell ref="Q510:Q511"/>
    <mergeCell ref="R510:R511"/>
    <mergeCell ref="P512:P513"/>
    <mergeCell ref="Q512:Q513"/>
    <mergeCell ref="R512:R513"/>
    <mergeCell ref="P514:P515"/>
    <mergeCell ref="Q520:Q521"/>
    <mergeCell ref="R520:R521"/>
    <mergeCell ref="P516:P517"/>
    <mergeCell ref="Q516:Q517"/>
    <mergeCell ref="R516:R517"/>
    <mergeCell ref="P518:P519"/>
    <mergeCell ref="Q518:Q519"/>
    <mergeCell ref="R518:R519"/>
    <mergeCell ref="P520:P521"/>
    <mergeCell ref="K510:K511"/>
    <mergeCell ref="K512:K513"/>
    <mergeCell ref="K514:K515"/>
    <mergeCell ref="K516:K517"/>
    <mergeCell ref="K518:K519"/>
    <mergeCell ref="K520:K521"/>
    <mergeCell ref="K470:K471"/>
    <mergeCell ref="P470:P471"/>
    <mergeCell ref="Q470:Q471"/>
    <mergeCell ref="R470:R471"/>
    <mergeCell ref="R472:R473"/>
    <mergeCell ref="P472:P473"/>
    <mergeCell ref="Q472:Q473"/>
    <mergeCell ref="P474:P475"/>
    <mergeCell ref="Q474:Q475"/>
    <mergeCell ref="R474:R475"/>
    <mergeCell ref="P447:P448"/>
    <mergeCell ref="Q447:Q448"/>
    <mergeCell ref="R447:R448"/>
    <mergeCell ref="Q445:Q446"/>
    <mergeCell ref="R445:R446"/>
    <mergeCell ref="P449:P450"/>
    <mergeCell ref="Q449:Q450"/>
    <mergeCell ref="R449:R450"/>
    <mergeCell ref="F451:K451"/>
    <mergeCell ref="F456:F457"/>
    <mergeCell ref="G456:G457"/>
    <mergeCell ref="R443:R444"/>
    <mergeCell ref="P445:P446"/>
    <mergeCell ref="K439:K440"/>
    <mergeCell ref="K524:K525"/>
    <mergeCell ref="K526:K527"/>
    <mergeCell ref="K528:K529"/>
    <mergeCell ref="K530:K531"/>
    <mergeCell ref="Q399:Q400"/>
    <mergeCell ref="R399:R400"/>
    <mergeCell ref="P401:P402"/>
    <mergeCell ref="Q401:Q402"/>
    <mergeCell ref="R401:R402"/>
    <mergeCell ref="P403:P404"/>
    <mergeCell ref="P417:P418"/>
    <mergeCell ref="Q417:Q418"/>
    <mergeCell ref="R417:R418"/>
    <mergeCell ref="K472:K473"/>
    <mergeCell ref="K474:K475"/>
    <mergeCell ref="K476:K477"/>
    <mergeCell ref="K478:K479"/>
    <mergeCell ref="K480:K481"/>
    <mergeCell ref="K482:K483"/>
    <mergeCell ref="K486:K487"/>
    <mergeCell ref="Q476:Q477"/>
    <mergeCell ref="P476:P477"/>
    <mergeCell ref="P478:P479"/>
    <mergeCell ref="Q478:Q479"/>
    <mergeCell ref="R478:R479"/>
    <mergeCell ref="P480:P481"/>
    <mergeCell ref="Q480:Q481"/>
    <mergeCell ref="R480:R481"/>
    <mergeCell ref="P486:P487"/>
    <mergeCell ref="Q486:Q487"/>
    <mergeCell ref="R486:R487"/>
    <mergeCell ref="P488:P489"/>
    <mergeCell ref="Q576:Q577"/>
    <mergeCell ref="R576:R577"/>
    <mergeCell ref="P572:P573"/>
    <mergeCell ref="Q572:Q573"/>
    <mergeCell ref="R572:R573"/>
    <mergeCell ref="P574:P575"/>
    <mergeCell ref="Q574:Q575"/>
    <mergeCell ref="R574:R575"/>
    <mergeCell ref="P576:P577"/>
    <mergeCell ref="Q570:Q571"/>
    <mergeCell ref="R570:R571"/>
    <mergeCell ref="P566:P567"/>
    <mergeCell ref="Q566:Q567"/>
    <mergeCell ref="R566:R567"/>
    <mergeCell ref="P568:P569"/>
    <mergeCell ref="Q568:Q569"/>
    <mergeCell ref="R568:R569"/>
    <mergeCell ref="P570:P571"/>
    <mergeCell ref="P546:P547"/>
    <mergeCell ref="Q553:Q554"/>
    <mergeCell ref="P561:P562"/>
    <mergeCell ref="Q561:Q562"/>
    <mergeCell ref="R561:R562"/>
    <mergeCell ref="P563:P564"/>
    <mergeCell ref="Q563:Q564"/>
    <mergeCell ref="R563:R564"/>
    <mergeCell ref="R555:R556"/>
    <mergeCell ref="P557:P558"/>
    <mergeCell ref="Q557:Q558"/>
    <mergeCell ref="R403:R404"/>
    <mergeCell ref="P405:P406"/>
    <mergeCell ref="Q405:Q406"/>
    <mergeCell ref="R405:R406"/>
    <mergeCell ref="P407:P408"/>
    <mergeCell ref="Q407:Q408"/>
    <mergeCell ref="R407:R408"/>
    <mergeCell ref="F410:K410"/>
    <mergeCell ref="P399:P400"/>
    <mergeCell ref="Q559:Q560"/>
    <mergeCell ref="R559:R560"/>
    <mergeCell ref="F548:K548"/>
    <mergeCell ref="P541:P542"/>
    <mergeCell ref="Q541:Q542"/>
    <mergeCell ref="R553:R554"/>
    <mergeCell ref="P549:P550"/>
    <mergeCell ref="Q549:Q550"/>
    <mergeCell ref="R549:R550"/>
    <mergeCell ref="P551:P552"/>
    <mergeCell ref="Q551:Q552"/>
    <mergeCell ref="R551:R552"/>
    <mergeCell ref="P553:P554"/>
    <mergeCell ref="K544:K545"/>
    <mergeCell ref="K546:K547"/>
    <mergeCell ref="K549:K550"/>
    <mergeCell ref="K551:K552"/>
    <mergeCell ref="R476:R477"/>
    <mergeCell ref="P482:P483"/>
    <mergeCell ref="Q482:Q483"/>
    <mergeCell ref="R482:R483"/>
    <mergeCell ref="P555:P556"/>
    <mergeCell ref="Q555:Q556"/>
    <mergeCell ref="R557:R558"/>
    <mergeCell ref="P559:P560"/>
    <mergeCell ref="K555:K556"/>
    <mergeCell ref="K557:K558"/>
    <mergeCell ref="K559:K560"/>
    <mergeCell ref="K561:K562"/>
    <mergeCell ref="K563:K564"/>
    <mergeCell ref="K553:K554"/>
    <mergeCell ref="F544:F545"/>
    <mergeCell ref="G544:G545"/>
    <mergeCell ref="K534:K535"/>
    <mergeCell ref="H541:K541"/>
    <mergeCell ref="Q528:Q529"/>
    <mergeCell ref="R528:R529"/>
    <mergeCell ref="F532:F533"/>
    <mergeCell ref="G532:G533"/>
    <mergeCell ref="K532:K533"/>
    <mergeCell ref="F534:F535"/>
    <mergeCell ref="G534:G535"/>
    <mergeCell ref="F561:F562"/>
    <mergeCell ref="G561:G562"/>
    <mergeCell ref="U549:U550"/>
    <mergeCell ref="V549:V550"/>
    <mergeCell ref="T542:T543"/>
    <mergeCell ref="U542:U543"/>
    <mergeCell ref="V542:V543"/>
    <mergeCell ref="T547:T548"/>
    <mergeCell ref="U547:U548"/>
    <mergeCell ref="V547:V548"/>
    <mergeCell ref="T549:T550"/>
    <mergeCell ref="P524:P525"/>
    <mergeCell ref="Q524:Q525"/>
    <mergeCell ref="R524:R525"/>
    <mergeCell ref="P526:P527"/>
    <mergeCell ref="Q526:Q527"/>
    <mergeCell ref="R526:R527"/>
    <mergeCell ref="P528:P529"/>
    <mergeCell ref="Q546:Q547"/>
    <mergeCell ref="R546:R547"/>
    <mergeCell ref="P530:P531"/>
    <mergeCell ref="Q530:Q531"/>
    <mergeCell ref="R530:R531"/>
    <mergeCell ref="U524:U525"/>
    <mergeCell ref="V524:V525"/>
    <mergeCell ref="R541:R542"/>
    <mergeCell ref="P544:P545"/>
    <mergeCell ref="Q544:Q545"/>
    <mergeCell ref="R544:R545"/>
    <mergeCell ref="T520:T521"/>
    <mergeCell ref="U520:U521"/>
    <mergeCell ref="V520:V521"/>
    <mergeCell ref="T522:T523"/>
    <mergeCell ref="U522:U523"/>
    <mergeCell ref="V522:V523"/>
    <mergeCell ref="T524:T525"/>
    <mergeCell ref="U531:U541"/>
    <mergeCell ref="V531:V541"/>
    <mergeCell ref="T527:T528"/>
    <mergeCell ref="U527:U528"/>
    <mergeCell ref="V527:V528"/>
    <mergeCell ref="T529:T530"/>
    <mergeCell ref="U529:U530"/>
    <mergeCell ref="V529:V530"/>
    <mergeCell ref="T531:T541"/>
    <mergeCell ref="U506:U507"/>
    <mergeCell ref="V506:V507"/>
    <mergeCell ref="V508:V509"/>
    <mergeCell ref="T508:T509"/>
    <mergeCell ref="T510:T511"/>
    <mergeCell ref="U510:U511"/>
    <mergeCell ref="V510:V511"/>
    <mergeCell ref="T512:T513"/>
    <mergeCell ref="U512:U513"/>
    <mergeCell ref="V512:V513"/>
    <mergeCell ref="U518:U519"/>
    <mergeCell ref="V518:V519"/>
    <mergeCell ref="T514:T515"/>
    <mergeCell ref="U514:U515"/>
    <mergeCell ref="V514:V515"/>
    <mergeCell ref="T516:T517"/>
    <mergeCell ref="U516:U517"/>
    <mergeCell ref="V516:V517"/>
    <mergeCell ref="T518:T519"/>
    <mergeCell ref="V300:V301"/>
    <mergeCell ref="T311:T312"/>
    <mergeCell ref="U317:U318"/>
    <mergeCell ref="V317:V318"/>
    <mergeCell ref="T313:T314"/>
    <mergeCell ref="U313:U314"/>
    <mergeCell ref="V313:V314"/>
    <mergeCell ref="T551:T552"/>
    <mergeCell ref="U551:U552"/>
    <mergeCell ref="V551:V552"/>
    <mergeCell ref="U496:U497"/>
    <mergeCell ref="V496:V497"/>
    <mergeCell ref="T490:T491"/>
    <mergeCell ref="U490:U491"/>
    <mergeCell ref="V490:V491"/>
    <mergeCell ref="T494:T495"/>
    <mergeCell ref="U494:U495"/>
    <mergeCell ref="V494:V495"/>
    <mergeCell ref="T496:T497"/>
    <mergeCell ref="U502:U503"/>
    <mergeCell ref="V502:V503"/>
    <mergeCell ref="T498:T499"/>
    <mergeCell ref="U498:U499"/>
    <mergeCell ref="V498:V499"/>
    <mergeCell ref="T500:T501"/>
    <mergeCell ref="U500:U501"/>
    <mergeCell ref="V500:V501"/>
    <mergeCell ref="T502:T503"/>
    <mergeCell ref="T504:T505"/>
    <mergeCell ref="U504:U505"/>
    <mergeCell ref="V504:V505"/>
    <mergeCell ref="T506:T507"/>
    <mergeCell ref="T286:T287"/>
    <mergeCell ref="T294:T295"/>
    <mergeCell ref="U294:U295"/>
    <mergeCell ref="V294:V295"/>
    <mergeCell ref="U325:U326"/>
    <mergeCell ref="V325:V326"/>
    <mergeCell ref="T319:T320"/>
    <mergeCell ref="U456:U457"/>
    <mergeCell ref="V456:V457"/>
    <mergeCell ref="T456:T457"/>
    <mergeCell ref="T467:T468"/>
    <mergeCell ref="U467:U468"/>
    <mergeCell ref="V467:V468"/>
    <mergeCell ref="T469:T470"/>
    <mergeCell ref="U469:U470"/>
    <mergeCell ref="V469:V470"/>
    <mergeCell ref="U292:U293"/>
    <mergeCell ref="V292:V293"/>
    <mergeCell ref="T288:T289"/>
    <mergeCell ref="U288:U289"/>
    <mergeCell ref="V288:V289"/>
    <mergeCell ref="T290:T291"/>
    <mergeCell ref="U290:U291"/>
    <mergeCell ref="V290:V291"/>
    <mergeCell ref="T292:T293"/>
    <mergeCell ref="U311:U312"/>
    <mergeCell ref="V311:V312"/>
    <mergeCell ref="T298:T299"/>
    <mergeCell ref="U298:U299"/>
    <mergeCell ref="V298:V299"/>
    <mergeCell ref="T300:T301"/>
    <mergeCell ref="U300:U301"/>
    <mergeCell ref="V250:V251"/>
    <mergeCell ref="T244:T245"/>
    <mergeCell ref="U244:U245"/>
    <mergeCell ref="V244:V245"/>
    <mergeCell ref="T248:T249"/>
    <mergeCell ref="U248:U249"/>
    <mergeCell ref="V248:V249"/>
    <mergeCell ref="T452:T453"/>
    <mergeCell ref="U452:U453"/>
    <mergeCell ref="V452:V453"/>
    <mergeCell ref="T454:T455"/>
    <mergeCell ref="V454:V455"/>
    <mergeCell ref="T315:T316"/>
    <mergeCell ref="U315:U316"/>
    <mergeCell ref="V315:V316"/>
    <mergeCell ref="T317:T318"/>
    <mergeCell ref="T276:T277"/>
    <mergeCell ref="U276:U277"/>
    <mergeCell ref="V276:V277"/>
    <mergeCell ref="T278:T279"/>
    <mergeCell ref="U278:U279"/>
    <mergeCell ref="V278:V279"/>
    <mergeCell ref="U286:U287"/>
    <mergeCell ref="V286:V287"/>
    <mergeCell ref="T280:T281"/>
    <mergeCell ref="U280:U281"/>
    <mergeCell ref="V280:V281"/>
    <mergeCell ref="U337:U338"/>
    <mergeCell ref="V337:V338"/>
    <mergeCell ref="T284:T285"/>
    <mergeCell ref="U284:U285"/>
    <mergeCell ref="V284:V285"/>
    <mergeCell ref="U213:U214"/>
    <mergeCell ref="R234:R235"/>
    <mergeCell ref="T234:T235"/>
    <mergeCell ref="U234:U235"/>
    <mergeCell ref="P250:P251"/>
    <mergeCell ref="Q250:Q251"/>
    <mergeCell ref="R250:R251"/>
    <mergeCell ref="P252:P253"/>
    <mergeCell ref="Q252:Q253"/>
    <mergeCell ref="R252:R253"/>
    <mergeCell ref="P254:P255"/>
    <mergeCell ref="G244:G245"/>
    <mergeCell ref="G240:G241"/>
    <mergeCell ref="G242:G243"/>
    <mergeCell ref="V263:V264"/>
    <mergeCell ref="T259:T260"/>
    <mergeCell ref="U259:U260"/>
    <mergeCell ref="V259:V260"/>
    <mergeCell ref="T261:T262"/>
    <mergeCell ref="U261:U262"/>
    <mergeCell ref="V261:V262"/>
    <mergeCell ref="T263:T264"/>
    <mergeCell ref="U242:U243"/>
    <mergeCell ref="V242:V243"/>
    <mergeCell ref="T238:T239"/>
    <mergeCell ref="U238:U239"/>
    <mergeCell ref="V238:V239"/>
    <mergeCell ref="T240:T241"/>
    <mergeCell ref="U240:U241"/>
    <mergeCell ref="V240:V241"/>
    <mergeCell ref="T242:T243"/>
    <mergeCell ref="U250:U251"/>
    <mergeCell ref="U263:U264"/>
    <mergeCell ref="K236:K237"/>
    <mergeCell ref="K238:K239"/>
    <mergeCell ref="K240:K241"/>
    <mergeCell ref="K242:K243"/>
    <mergeCell ref="K244:K245"/>
    <mergeCell ref="F247:K247"/>
    <mergeCell ref="K248:K249"/>
    <mergeCell ref="K250:K251"/>
    <mergeCell ref="K252:K253"/>
    <mergeCell ref="K254:K255"/>
    <mergeCell ref="F256:K256"/>
    <mergeCell ref="K257:K258"/>
    <mergeCell ref="K259:K260"/>
    <mergeCell ref="K261:K262"/>
    <mergeCell ref="K263:K264"/>
    <mergeCell ref="G252:G253"/>
    <mergeCell ref="G248:G249"/>
    <mergeCell ref="Q114:Q115"/>
    <mergeCell ref="R114:R115"/>
    <mergeCell ref="T114:T115"/>
    <mergeCell ref="U114:U115"/>
    <mergeCell ref="V114:V115"/>
    <mergeCell ref="R109:R110"/>
    <mergeCell ref="P112:P113"/>
    <mergeCell ref="Q112:Q113"/>
    <mergeCell ref="R112:R113"/>
    <mergeCell ref="F202:F203"/>
    <mergeCell ref="G202:G203"/>
    <mergeCell ref="E198:E199"/>
    <mergeCell ref="F198:F199"/>
    <mergeCell ref="G198:G199"/>
    <mergeCell ref="E200:E201"/>
    <mergeCell ref="F200:F201"/>
    <mergeCell ref="G200:G201"/>
    <mergeCell ref="E202:E203"/>
    <mergeCell ref="F181:F182"/>
    <mergeCell ref="G181:G182"/>
    <mergeCell ref="E177:E178"/>
    <mergeCell ref="F177:F178"/>
    <mergeCell ref="G177:G178"/>
    <mergeCell ref="E179:E180"/>
    <mergeCell ref="F179:F180"/>
    <mergeCell ref="G179:G180"/>
    <mergeCell ref="E181:E182"/>
    <mergeCell ref="F189:F190"/>
    <mergeCell ref="G189:G190"/>
    <mergeCell ref="E183:E184"/>
    <mergeCell ref="F183:F184"/>
    <mergeCell ref="E187:E188"/>
    <mergeCell ref="T89:T90"/>
    <mergeCell ref="U89:U90"/>
    <mergeCell ref="V89:V90"/>
    <mergeCell ref="U91:U92"/>
    <mergeCell ref="V91:V92"/>
    <mergeCell ref="T91:T92"/>
    <mergeCell ref="T93:T94"/>
    <mergeCell ref="U93:U94"/>
    <mergeCell ref="V93:V94"/>
    <mergeCell ref="V103:V104"/>
    <mergeCell ref="T87:T88"/>
    <mergeCell ref="U87:U88"/>
    <mergeCell ref="V87:V88"/>
    <mergeCell ref="Q99:Q100"/>
    <mergeCell ref="R99:R100"/>
    <mergeCell ref="P93:P94"/>
    <mergeCell ref="Q93:Q94"/>
    <mergeCell ref="R93:R94"/>
    <mergeCell ref="P97:P98"/>
    <mergeCell ref="Q97:Q98"/>
    <mergeCell ref="R97:R98"/>
    <mergeCell ref="P99:P100"/>
    <mergeCell ref="T103:T104"/>
    <mergeCell ref="U103:U104"/>
    <mergeCell ref="T97:T98"/>
    <mergeCell ref="U97:U98"/>
    <mergeCell ref="V97:V98"/>
    <mergeCell ref="T99:T100"/>
    <mergeCell ref="U99:U100"/>
    <mergeCell ref="V99:V100"/>
    <mergeCell ref="T101:T102"/>
    <mergeCell ref="U101:U102"/>
    <mergeCell ref="V101:V102"/>
    <mergeCell ref="P103:P104"/>
    <mergeCell ref="Q63:Q64"/>
    <mergeCell ref="R63:R64"/>
    <mergeCell ref="P59:P60"/>
    <mergeCell ref="Q59:Q60"/>
    <mergeCell ref="R59:R60"/>
    <mergeCell ref="P61:P62"/>
    <mergeCell ref="Q61:Q62"/>
    <mergeCell ref="R61:R62"/>
    <mergeCell ref="P63:P64"/>
    <mergeCell ref="Q69:Q70"/>
    <mergeCell ref="R69:R70"/>
    <mergeCell ref="P65:P66"/>
    <mergeCell ref="Q65:Q66"/>
    <mergeCell ref="R65:R66"/>
    <mergeCell ref="P67:P68"/>
    <mergeCell ref="Q67:Q68"/>
    <mergeCell ref="R67:R68"/>
    <mergeCell ref="P69:P70"/>
    <mergeCell ref="V65:V66"/>
    <mergeCell ref="T67:T68"/>
    <mergeCell ref="U67:U68"/>
    <mergeCell ref="R85:R86"/>
    <mergeCell ref="U69:U70"/>
    <mergeCell ref="V69:V70"/>
    <mergeCell ref="T65:T66"/>
    <mergeCell ref="U65:U66"/>
    <mergeCell ref="Q83:Q84"/>
    <mergeCell ref="R83:R84"/>
    <mergeCell ref="P85:P86"/>
    <mergeCell ref="Q85:Q86"/>
    <mergeCell ref="A78:A79"/>
    <mergeCell ref="B78:B79"/>
    <mergeCell ref="C78:C79"/>
    <mergeCell ref="D78:E78"/>
    <mergeCell ref="F78:F79"/>
    <mergeCell ref="G78:G79"/>
    <mergeCell ref="E81:E82"/>
    <mergeCell ref="U85:U86"/>
    <mergeCell ref="V85:V86"/>
    <mergeCell ref="T81:T82"/>
    <mergeCell ref="U81:U82"/>
    <mergeCell ref="V81:V82"/>
    <mergeCell ref="T83:T84"/>
    <mergeCell ref="U83:U84"/>
    <mergeCell ref="V83:V84"/>
    <mergeCell ref="T85:T86"/>
    <mergeCell ref="C99:C100"/>
    <mergeCell ref="D99:D100"/>
    <mergeCell ref="P81:P82"/>
    <mergeCell ref="Q81:Q82"/>
    <mergeCell ref="K81:K82"/>
    <mergeCell ref="K83:K84"/>
    <mergeCell ref="K85:K86"/>
    <mergeCell ref="K87:K88"/>
    <mergeCell ref="K89:K90"/>
    <mergeCell ref="K91:K92"/>
    <mergeCell ref="F96:K96"/>
    <mergeCell ref="B81:B95"/>
    <mergeCell ref="A96:D96"/>
    <mergeCell ref="A81:A94"/>
    <mergeCell ref="R81:R82"/>
    <mergeCell ref="P83:P84"/>
    <mergeCell ref="A57:A70"/>
    <mergeCell ref="B57:B70"/>
    <mergeCell ref="C57:C58"/>
    <mergeCell ref="C59:C60"/>
    <mergeCell ref="C61:C62"/>
    <mergeCell ref="C63:C64"/>
    <mergeCell ref="E69:E70"/>
    <mergeCell ref="C65:C66"/>
    <mergeCell ref="C67:C68"/>
    <mergeCell ref="D67:D68"/>
    <mergeCell ref="E67:E68"/>
    <mergeCell ref="D69:D70"/>
    <mergeCell ref="C69:C70"/>
    <mergeCell ref="T69:T70"/>
    <mergeCell ref="V67:V68"/>
    <mergeCell ref="E59:E60"/>
    <mergeCell ref="F59:F60"/>
    <mergeCell ref="K69:K70"/>
    <mergeCell ref="E65:E66"/>
    <mergeCell ref="F65:F66"/>
    <mergeCell ref="U50:U51"/>
    <mergeCell ref="V50:V51"/>
    <mergeCell ref="D63:D64"/>
    <mergeCell ref="E63:E64"/>
    <mergeCell ref="D65:D66"/>
    <mergeCell ref="U57:U58"/>
    <mergeCell ref="V57:V58"/>
    <mergeCell ref="T57:T58"/>
    <mergeCell ref="U63:U64"/>
    <mergeCell ref="V63:V64"/>
    <mergeCell ref="T59:T60"/>
    <mergeCell ref="U59:U60"/>
    <mergeCell ref="V59:V60"/>
    <mergeCell ref="T61:T62"/>
    <mergeCell ref="U61:U62"/>
    <mergeCell ref="V61:V62"/>
    <mergeCell ref="T63:T64"/>
    <mergeCell ref="K50:K51"/>
    <mergeCell ref="K52:K53"/>
    <mergeCell ref="K54:K55"/>
    <mergeCell ref="F56:K56"/>
    <mergeCell ref="K57:K58"/>
    <mergeCell ref="P54:P55"/>
    <mergeCell ref="Q54:Q55"/>
    <mergeCell ref="R54:R55"/>
    <mergeCell ref="P57:P58"/>
    <mergeCell ref="F57:F58"/>
    <mergeCell ref="G57:G58"/>
    <mergeCell ref="A42:A55"/>
    <mergeCell ref="D44:D45"/>
    <mergeCell ref="E44:E45"/>
    <mergeCell ref="F44:F45"/>
    <mergeCell ref="G44:G45"/>
    <mergeCell ref="G46:G47"/>
    <mergeCell ref="G50:G51"/>
    <mergeCell ref="A56:C56"/>
    <mergeCell ref="B42:B55"/>
    <mergeCell ref="C52:C53"/>
    <mergeCell ref="C54:C55"/>
    <mergeCell ref="T52:T53"/>
    <mergeCell ref="U52:U53"/>
    <mergeCell ref="V52:V53"/>
    <mergeCell ref="T54:T55"/>
    <mergeCell ref="U54:U55"/>
    <mergeCell ref="V54:V55"/>
    <mergeCell ref="Q52:Q53"/>
    <mergeCell ref="R52:R53"/>
    <mergeCell ref="P48:P49"/>
    <mergeCell ref="Q48:Q49"/>
    <mergeCell ref="R48:R49"/>
    <mergeCell ref="P50:P51"/>
    <mergeCell ref="C44:C45"/>
    <mergeCell ref="C48:C49"/>
    <mergeCell ref="F52:F53"/>
    <mergeCell ref="G52:G53"/>
    <mergeCell ref="F54:F55"/>
    <mergeCell ref="G54:G55"/>
    <mergeCell ref="R50:R51"/>
    <mergeCell ref="P52:P53"/>
    <mergeCell ref="T46:T47"/>
    <mergeCell ref="U36:U37"/>
    <mergeCell ref="V36:V37"/>
    <mergeCell ref="T21:T22"/>
    <mergeCell ref="U21:U22"/>
    <mergeCell ref="V21:V22"/>
    <mergeCell ref="T34:T35"/>
    <mergeCell ref="U34:U35"/>
    <mergeCell ref="V34:V35"/>
    <mergeCell ref="T36:T37"/>
    <mergeCell ref="U44:U45"/>
    <mergeCell ref="V44:V45"/>
    <mergeCell ref="T38:T39"/>
    <mergeCell ref="U38:U39"/>
    <mergeCell ref="V38:V39"/>
    <mergeCell ref="T42:T43"/>
    <mergeCell ref="U42:U43"/>
    <mergeCell ref="V42:V43"/>
    <mergeCell ref="T44:T45"/>
    <mergeCell ref="U25:U26"/>
    <mergeCell ref="U46:U47"/>
    <mergeCell ref="V46:V47"/>
    <mergeCell ref="T48:T49"/>
    <mergeCell ref="U48:U49"/>
    <mergeCell ref="V48:V49"/>
    <mergeCell ref="T50:T51"/>
    <mergeCell ref="P122:P123"/>
    <mergeCell ref="P124:P125"/>
    <mergeCell ref="Q124:Q125"/>
    <mergeCell ref="R124:R125"/>
    <mergeCell ref="P126:P127"/>
    <mergeCell ref="Q126:Q127"/>
    <mergeCell ref="R126:R127"/>
    <mergeCell ref="Q13:Q14"/>
    <mergeCell ref="R13:R14"/>
    <mergeCell ref="P15:P16"/>
    <mergeCell ref="Q15:Q16"/>
    <mergeCell ref="R15:R16"/>
    <mergeCell ref="Q17:Q18"/>
    <mergeCell ref="R17:R18"/>
    <mergeCell ref="P17:P18"/>
    <mergeCell ref="P19:P20"/>
    <mergeCell ref="Q19:Q20"/>
    <mergeCell ref="R19:R20"/>
    <mergeCell ref="P21:P22"/>
    <mergeCell ref="Q21:Q22"/>
    <mergeCell ref="R21:R22"/>
    <mergeCell ref="Q38:Q39"/>
    <mergeCell ref="R38:R39"/>
    <mergeCell ref="P34:P35"/>
    <mergeCell ref="Q34:Q35"/>
    <mergeCell ref="R34:R35"/>
    <mergeCell ref="P36:P37"/>
    <mergeCell ref="P120:P121"/>
    <mergeCell ref="Q120:Q121"/>
    <mergeCell ref="R120:R121"/>
    <mergeCell ref="Q122:Q123"/>
    <mergeCell ref="R122:R123"/>
    <mergeCell ref="T122:T123"/>
    <mergeCell ref="T124:T125"/>
    <mergeCell ref="U124:U125"/>
    <mergeCell ref="V124:V125"/>
    <mergeCell ref="T126:T127"/>
    <mergeCell ref="U126:U127"/>
    <mergeCell ref="V126:V127"/>
    <mergeCell ref="T118:T119"/>
    <mergeCell ref="U118:U119"/>
    <mergeCell ref="T120:T121"/>
    <mergeCell ref="U120:U121"/>
    <mergeCell ref="V120:V121"/>
    <mergeCell ref="U122:U123"/>
    <mergeCell ref="V122:V123"/>
    <mergeCell ref="Q91:Q92"/>
    <mergeCell ref="R91:R92"/>
    <mergeCell ref="P87:P88"/>
    <mergeCell ref="Q87:Q88"/>
    <mergeCell ref="R87:R88"/>
    <mergeCell ref="P89:P90"/>
    <mergeCell ref="Q89:Q90"/>
    <mergeCell ref="R89:R90"/>
    <mergeCell ref="P91:P92"/>
    <mergeCell ref="P116:P117"/>
    <mergeCell ref="Q116:Q117"/>
    <mergeCell ref="R116:R117"/>
    <mergeCell ref="T116:T117"/>
    <mergeCell ref="U116:U117"/>
    <mergeCell ref="V116:V117"/>
    <mergeCell ref="P118:P119"/>
    <mergeCell ref="V118:V119"/>
    <mergeCell ref="Q118:Q119"/>
    <mergeCell ref="R118:R119"/>
    <mergeCell ref="P101:P102"/>
    <mergeCell ref="Q101:Q102"/>
    <mergeCell ref="R101:R102"/>
    <mergeCell ref="Q103:Q104"/>
    <mergeCell ref="R103:R104"/>
    <mergeCell ref="P105:P106"/>
    <mergeCell ref="Q105:Q106"/>
    <mergeCell ref="R105:R106"/>
    <mergeCell ref="Q107:Q108"/>
    <mergeCell ref="R107:R108"/>
    <mergeCell ref="P107:P108"/>
    <mergeCell ref="P109:P110"/>
    <mergeCell ref="Q109:Q110"/>
    <mergeCell ref="T107:T108"/>
    <mergeCell ref="T109:T110"/>
    <mergeCell ref="U109:U110"/>
    <mergeCell ref="V109:V110"/>
    <mergeCell ref="T112:T113"/>
    <mergeCell ref="U112:U113"/>
    <mergeCell ref="V112:V113"/>
    <mergeCell ref="T105:T106"/>
    <mergeCell ref="U105:U106"/>
    <mergeCell ref="V105:V106"/>
    <mergeCell ref="U107:U108"/>
    <mergeCell ref="V107:V108"/>
    <mergeCell ref="F128:K128"/>
    <mergeCell ref="F141:K141"/>
    <mergeCell ref="H155:K155"/>
    <mergeCell ref="K59:K60"/>
    <mergeCell ref="K61:K62"/>
    <mergeCell ref="K63:K64"/>
    <mergeCell ref="K65:K66"/>
    <mergeCell ref="K67:K68"/>
    <mergeCell ref="F71:K71"/>
    <mergeCell ref="H78:K78"/>
    <mergeCell ref="F81:F82"/>
    <mergeCell ref="G81:G82"/>
    <mergeCell ref="F83:F84"/>
    <mergeCell ref="G83:G84"/>
    <mergeCell ref="K146:K147"/>
    <mergeCell ref="K148:K149"/>
    <mergeCell ref="F139:F140"/>
    <mergeCell ref="G139:G140"/>
    <mergeCell ref="F107:F108"/>
    <mergeCell ref="G107:G108"/>
    <mergeCell ref="G59:G60"/>
    <mergeCell ref="G67:G68"/>
    <mergeCell ref="G69:G70"/>
    <mergeCell ref="P114:P115"/>
    <mergeCell ref="E27:E28"/>
    <mergeCell ref="D30:D31"/>
    <mergeCell ref="E30:E31"/>
    <mergeCell ref="F30:F31"/>
    <mergeCell ref="G30:G31"/>
    <mergeCell ref="K114:K115"/>
    <mergeCell ref="K116:K117"/>
    <mergeCell ref="K118:K119"/>
    <mergeCell ref="G116:G117"/>
    <mergeCell ref="K27:K28"/>
    <mergeCell ref="F29:K29"/>
    <mergeCell ref="D116:D117"/>
    <mergeCell ref="D142:D143"/>
    <mergeCell ref="D144:D145"/>
    <mergeCell ref="D146:D147"/>
    <mergeCell ref="D148:D149"/>
    <mergeCell ref="E139:E140"/>
    <mergeCell ref="F111:K111"/>
    <mergeCell ref="A71:D71"/>
    <mergeCell ref="K30:K31"/>
    <mergeCell ref="K32:K33"/>
    <mergeCell ref="C81:C82"/>
    <mergeCell ref="D81:D82"/>
    <mergeCell ref="D83:D84"/>
    <mergeCell ref="G97:G98"/>
    <mergeCell ref="G99:G100"/>
    <mergeCell ref="F63:F64"/>
    <mergeCell ref="G63:G64"/>
    <mergeCell ref="G65:G66"/>
    <mergeCell ref="F69:F70"/>
    <mergeCell ref="F67:F68"/>
    <mergeCell ref="K158:K159"/>
    <mergeCell ref="K124:K125"/>
    <mergeCell ref="K126:K127"/>
    <mergeCell ref="K129:K130"/>
    <mergeCell ref="K131:K132"/>
    <mergeCell ref="K133:K134"/>
    <mergeCell ref="K135:K136"/>
    <mergeCell ref="K137:K138"/>
    <mergeCell ref="K120:K121"/>
    <mergeCell ref="K122:K123"/>
    <mergeCell ref="K139:K140"/>
    <mergeCell ref="K142:K143"/>
    <mergeCell ref="K144:K145"/>
    <mergeCell ref="F137:F138"/>
    <mergeCell ref="G137:G138"/>
    <mergeCell ref="C32:C33"/>
    <mergeCell ref="D32:D33"/>
    <mergeCell ref="E32:E33"/>
    <mergeCell ref="F32:F33"/>
    <mergeCell ref="G32:G33"/>
    <mergeCell ref="D34:D35"/>
    <mergeCell ref="G34:G35"/>
    <mergeCell ref="K34:K35"/>
    <mergeCell ref="K36:K37"/>
    <mergeCell ref="K38:K39"/>
    <mergeCell ref="C34:C35"/>
    <mergeCell ref="C36:C37"/>
    <mergeCell ref="K105:K106"/>
    <mergeCell ref="K107:K108"/>
    <mergeCell ref="K109:K110"/>
    <mergeCell ref="K112:K113"/>
    <mergeCell ref="F97:F98"/>
    <mergeCell ref="T17:T18"/>
    <mergeCell ref="T19:T20"/>
    <mergeCell ref="U19:U20"/>
    <mergeCell ref="V19:V20"/>
    <mergeCell ref="U17:U18"/>
    <mergeCell ref="V17:V18"/>
    <mergeCell ref="T25:T26"/>
    <mergeCell ref="F41:K41"/>
    <mergeCell ref="K42:K43"/>
    <mergeCell ref="K44:K45"/>
    <mergeCell ref="K46:K47"/>
    <mergeCell ref="K48:K49"/>
    <mergeCell ref="K93:K94"/>
    <mergeCell ref="K97:K98"/>
    <mergeCell ref="K99:K100"/>
    <mergeCell ref="K101:K102"/>
    <mergeCell ref="K103:K104"/>
    <mergeCell ref="Q36:Q37"/>
    <mergeCell ref="R36:R37"/>
    <mergeCell ref="P38:P39"/>
    <mergeCell ref="Q46:Q47"/>
    <mergeCell ref="R46:R47"/>
    <mergeCell ref="P42:P43"/>
    <mergeCell ref="Q42:Q43"/>
    <mergeCell ref="R42:R43"/>
    <mergeCell ref="P44:P45"/>
    <mergeCell ref="Q44:Q45"/>
    <mergeCell ref="R44:R45"/>
    <mergeCell ref="P46:P47"/>
    <mergeCell ref="Q57:Q58"/>
    <mergeCell ref="R57:R58"/>
    <mergeCell ref="Q50:Q51"/>
    <mergeCell ref="K19:K20"/>
    <mergeCell ref="K25:K26"/>
    <mergeCell ref="K21:K22"/>
    <mergeCell ref="K23:K24"/>
    <mergeCell ref="P32:P33"/>
    <mergeCell ref="Q32:Q33"/>
    <mergeCell ref="R32:R33"/>
    <mergeCell ref="T32:T33"/>
    <mergeCell ref="U32:U33"/>
    <mergeCell ref="V32:V33"/>
    <mergeCell ref="P27:P28"/>
    <mergeCell ref="P30:P31"/>
    <mergeCell ref="Q30:Q31"/>
    <mergeCell ref="R30:R31"/>
    <mergeCell ref="T30:T31"/>
    <mergeCell ref="U30:U31"/>
    <mergeCell ref="V30:V31"/>
    <mergeCell ref="Q25:Q26"/>
    <mergeCell ref="R25:R26"/>
    <mergeCell ref="Q27:Q28"/>
    <mergeCell ref="R27:R28"/>
    <mergeCell ref="T27:T28"/>
    <mergeCell ref="U27:U28"/>
    <mergeCell ref="V27:V28"/>
    <mergeCell ref="P23:P24"/>
    <mergeCell ref="Q23:Q24"/>
    <mergeCell ref="R23:R24"/>
    <mergeCell ref="T23:T24"/>
    <mergeCell ref="U23:U24"/>
    <mergeCell ref="V23:V24"/>
    <mergeCell ref="P25:P26"/>
    <mergeCell ref="V25:V26"/>
    <mergeCell ref="A7:K7"/>
    <mergeCell ref="A8:K8"/>
    <mergeCell ref="A10:A11"/>
    <mergeCell ref="B10:B11"/>
    <mergeCell ref="C10:C11"/>
    <mergeCell ref="F10:F11"/>
    <mergeCell ref="G10:G11"/>
    <mergeCell ref="K13:K14"/>
    <mergeCell ref="D10:E10"/>
    <mergeCell ref="H10:K10"/>
    <mergeCell ref="P11:P12"/>
    <mergeCell ref="R11:R12"/>
    <mergeCell ref="T11:T12"/>
    <mergeCell ref="V11:V12"/>
    <mergeCell ref="P13:P14"/>
    <mergeCell ref="V13:V14"/>
    <mergeCell ref="C15:C16"/>
    <mergeCell ref="D15:D16"/>
    <mergeCell ref="E15:E16"/>
    <mergeCell ref="F15:F16"/>
    <mergeCell ref="K15:K16"/>
    <mergeCell ref="T13:T14"/>
    <mergeCell ref="U13:U14"/>
    <mergeCell ref="T15:T16"/>
    <mergeCell ref="U15:U16"/>
    <mergeCell ref="V15:V16"/>
    <mergeCell ref="C13:C14"/>
    <mergeCell ref="G27:G28"/>
    <mergeCell ref="E34:E35"/>
    <mergeCell ref="F34:F35"/>
    <mergeCell ref="G38:G39"/>
    <mergeCell ref="C38:C39"/>
    <mergeCell ref="E38:E39"/>
    <mergeCell ref="F38:F39"/>
    <mergeCell ref="D17:D18"/>
    <mergeCell ref="E17:E18"/>
    <mergeCell ref="D61:D62"/>
    <mergeCell ref="E61:E62"/>
    <mergeCell ref="F61:F62"/>
    <mergeCell ref="G61:G62"/>
    <mergeCell ref="D42:D43"/>
    <mergeCell ref="E42:E43"/>
    <mergeCell ref="F42:F43"/>
    <mergeCell ref="G42:G43"/>
    <mergeCell ref="D48:D49"/>
    <mergeCell ref="E48:E49"/>
    <mergeCell ref="F48:F49"/>
    <mergeCell ref="G48:G49"/>
    <mergeCell ref="D36:D37"/>
    <mergeCell ref="E36:E37"/>
    <mergeCell ref="F36:F37"/>
    <mergeCell ref="G36:G37"/>
    <mergeCell ref="D38:D39"/>
    <mergeCell ref="D27:D28"/>
    <mergeCell ref="D54:D55"/>
    <mergeCell ref="E54:E55"/>
    <mergeCell ref="D57:D58"/>
    <mergeCell ref="E57:E58"/>
    <mergeCell ref="C30:C31"/>
    <mergeCell ref="C46:C47"/>
    <mergeCell ref="D46:D47"/>
    <mergeCell ref="E46:E47"/>
    <mergeCell ref="F46:F47"/>
    <mergeCell ref="A41:D41"/>
    <mergeCell ref="C42:C43"/>
    <mergeCell ref="C50:C51"/>
    <mergeCell ref="K17:K18"/>
    <mergeCell ref="D50:D51"/>
    <mergeCell ref="E50:E51"/>
    <mergeCell ref="F50:F51"/>
    <mergeCell ref="D52:D53"/>
    <mergeCell ref="E52:E53"/>
    <mergeCell ref="D59:D60"/>
    <mergeCell ref="A13:A28"/>
    <mergeCell ref="D13:D14"/>
    <mergeCell ref="E13:E14"/>
    <mergeCell ref="F13:F14"/>
    <mergeCell ref="G13:G14"/>
    <mergeCell ref="G15:G16"/>
    <mergeCell ref="G19:G20"/>
    <mergeCell ref="A29:D29"/>
    <mergeCell ref="B13:B28"/>
    <mergeCell ref="C25:C26"/>
    <mergeCell ref="C27:C28"/>
    <mergeCell ref="A30:A40"/>
    <mergeCell ref="B30:B40"/>
    <mergeCell ref="D25:D26"/>
    <mergeCell ref="E25:E26"/>
    <mergeCell ref="F25:F26"/>
    <mergeCell ref="G25:G26"/>
    <mergeCell ref="F27:F28"/>
    <mergeCell ref="C17:C18"/>
    <mergeCell ref="F17:F18"/>
    <mergeCell ref="G17:G18"/>
    <mergeCell ref="C19:C20"/>
    <mergeCell ref="D19:D20"/>
    <mergeCell ref="C21:C22"/>
    <mergeCell ref="D21:D22"/>
    <mergeCell ref="C23:C24"/>
    <mergeCell ref="D23:D24"/>
    <mergeCell ref="E19:E20"/>
    <mergeCell ref="F19:F20"/>
    <mergeCell ref="E21:E22"/>
    <mergeCell ref="F21:F22"/>
    <mergeCell ref="G21:G22"/>
    <mergeCell ref="E23:E24"/>
    <mergeCell ref="F23:F24"/>
    <mergeCell ref="G23:G24"/>
    <mergeCell ref="C1322:C1323"/>
    <mergeCell ref="C1324:C1325"/>
    <mergeCell ref="C1336:C1337"/>
    <mergeCell ref="D1336:D1337"/>
    <mergeCell ref="E1336:E1337"/>
    <mergeCell ref="F1336:F1337"/>
    <mergeCell ref="G1336:G1337"/>
    <mergeCell ref="F1338:F1339"/>
    <mergeCell ref="G1338:G1339"/>
    <mergeCell ref="E1338:E1339"/>
    <mergeCell ref="E1340:E1341"/>
    <mergeCell ref="F1340:F1341"/>
    <mergeCell ref="G1340:G1341"/>
    <mergeCell ref="G1251:G1252"/>
    <mergeCell ref="E1253:E1254"/>
    <mergeCell ref="F1253:F1254"/>
    <mergeCell ref="G1253:G1254"/>
    <mergeCell ref="F1257:F1258"/>
    <mergeCell ref="G1257:G1258"/>
    <mergeCell ref="D1253:D1254"/>
    <mergeCell ref="D1255:D1256"/>
    <mergeCell ref="E1255:E1256"/>
    <mergeCell ref="F1255:F1256"/>
    <mergeCell ref="G1255:G1256"/>
    <mergeCell ref="D1257:D1258"/>
    <mergeCell ref="E1257:E1258"/>
    <mergeCell ref="F1262:F1263"/>
    <mergeCell ref="G1262:G1263"/>
    <mergeCell ref="D1259:D1260"/>
    <mergeCell ref="F1259:F1260"/>
    <mergeCell ref="G1259:G1260"/>
    <mergeCell ref="B1261:D1261"/>
    <mergeCell ref="D1262:D1263"/>
    <mergeCell ref="E1262:E1263"/>
    <mergeCell ref="B1371:D1371"/>
    <mergeCell ref="D1266:D1267"/>
    <mergeCell ref="D1268:D1269"/>
    <mergeCell ref="E1268:E1269"/>
    <mergeCell ref="F1268:F1269"/>
    <mergeCell ref="G1268:G1269"/>
    <mergeCell ref="D1270:D1271"/>
    <mergeCell ref="E1270:E1271"/>
    <mergeCell ref="F1270:F1271"/>
    <mergeCell ref="G1270:G1271"/>
    <mergeCell ref="B1273:D1273"/>
    <mergeCell ref="E1309:E1310"/>
    <mergeCell ref="F1309:F1310"/>
    <mergeCell ref="D1278:D1279"/>
    <mergeCell ref="E1278:E1279"/>
    <mergeCell ref="F1278:F1279"/>
    <mergeCell ref="G1278:G1279"/>
    <mergeCell ref="B1308:D1308"/>
    <mergeCell ref="D1309:D1310"/>
    <mergeCell ref="G1309:G1310"/>
    <mergeCell ref="C1319:C1320"/>
    <mergeCell ref="D1319:E1319"/>
    <mergeCell ref="C1309:C1310"/>
    <mergeCell ref="C1311:C1312"/>
    <mergeCell ref="D1311:D1312"/>
    <mergeCell ref="E1311:E1312"/>
    <mergeCell ref="E1266:E1267"/>
    <mergeCell ref="B1319:B1320"/>
    <mergeCell ref="E1342:E1343"/>
    <mergeCell ref="F1342:F1343"/>
    <mergeCell ref="G1342:G1343"/>
    <mergeCell ref="C1364:C1365"/>
    <mergeCell ref="C1338:C1339"/>
    <mergeCell ref="D1338:D1339"/>
    <mergeCell ref="C1340:C1341"/>
    <mergeCell ref="D1340:D1341"/>
    <mergeCell ref="C1342:C1343"/>
    <mergeCell ref="D1342:D1343"/>
    <mergeCell ref="B1330:B1343"/>
    <mergeCell ref="B1345:B1358"/>
    <mergeCell ref="B1360:B1370"/>
    <mergeCell ref="B1322:B1328"/>
    <mergeCell ref="B1329:D1329"/>
    <mergeCell ref="C1330:C1331"/>
    <mergeCell ref="D1330:D1331"/>
    <mergeCell ref="C1332:C1333"/>
    <mergeCell ref="D1332:D1333"/>
    <mergeCell ref="B1344:D1344"/>
    <mergeCell ref="C1345:C1346"/>
    <mergeCell ref="D1345:D1346"/>
    <mergeCell ref="C1347:C1348"/>
    <mergeCell ref="D1347:D1348"/>
    <mergeCell ref="C1349:C1350"/>
    <mergeCell ref="D1349:D1350"/>
    <mergeCell ref="D1351:D1352"/>
    <mergeCell ref="C1366:C1367"/>
    <mergeCell ref="C1368:C1369"/>
    <mergeCell ref="D1368:D1369"/>
    <mergeCell ref="F1368:F1369"/>
    <mergeCell ref="G1368:G1369"/>
    <mergeCell ref="E1364:E1365"/>
    <mergeCell ref="F1364:F1365"/>
    <mergeCell ref="G1364:G1365"/>
    <mergeCell ref="E1366:E1367"/>
    <mergeCell ref="F1366:F1367"/>
    <mergeCell ref="G1366:G1367"/>
    <mergeCell ref="E1368:E1369"/>
    <mergeCell ref="D1353:D1354"/>
    <mergeCell ref="D1355:D1356"/>
    <mergeCell ref="D1357:D1358"/>
    <mergeCell ref="B1359:D1359"/>
    <mergeCell ref="D1360:D1361"/>
    <mergeCell ref="D1362:D1363"/>
    <mergeCell ref="D1364:D1365"/>
    <mergeCell ref="D1366:D1367"/>
    <mergeCell ref="C1353:C1354"/>
    <mergeCell ref="C1355:C1356"/>
    <mergeCell ref="C1357:C1358"/>
    <mergeCell ref="G1362:G1363"/>
    <mergeCell ref="E1353:E1354"/>
    <mergeCell ref="F1353:F1354"/>
    <mergeCell ref="G1353:G1354"/>
    <mergeCell ref="E1355:E1356"/>
    <mergeCell ref="E1360:E1361"/>
    <mergeCell ref="F1360:F1361"/>
    <mergeCell ref="G1360:G1361"/>
    <mergeCell ref="E1362:E1363"/>
    <mergeCell ref="C1326:C1327"/>
    <mergeCell ref="D1326:D1327"/>
    <mergeCell ref="E1326:E1327"/>
    <mergeCell ref="F1326:F1327"/>
    <mergeCell ref="E1330:E1331"/>
    <mergeCell ref="F1330:F1331"/>
    <mergeCell ref="G1330:G1331"/>
    <mergeCell ref="E1332:E1333"/>
    <mergeCell ref="F1332:F1333"/>
    <mergeCell ref="G1332:G1333"/>
    <mergeCell ref="C1360:C1361"/>
    <mergeCell ref="C1362:C1363"/>
    <mergeCell ref="F1349:F1350"/>
    <mergeCell ref="G1349:G1350"/>
    <mergeCell ref="E1345:E1346"/>
    <mergeCell ref="F1345:F1346"/>
    <mergeCell ref="G1345:G1346"/>
    <mergeCell ref="E1347:E1348"/>
    <mergeCell ref="F1347:F1348"/>
    <mergeCell ref="G1347:G1348"/>
    <mergeCell ref="G1355:G1356"/>
    <mergeCell ref="G1326:G1327"/>
    <mergeCell ref="C1334:C1335"/>
    <mergeCell ref="D1334:D1335"/>
    <mergeCell ref="E1334:E1335"/>
    <mergeCell ref="F1334:F1335"/>
    <mergeCell ref="G1334:G1335"/>
    <mergeCell ref="C1351:C1352"/>
    <mergeCell ref="E1351:E1352"/>
    <mergeCell ref="F1351:F1352"/>
    <mergeCell ref="G1351:G1352"/>
    <mergeCell ref="F1362:F1363"/>
    <mergeCell ref="D1251:D1252"/>
    <mergeCell ref="E1251:E1252"/>
    <mergeCell ref="F1251:F1252"/>
    <mergeCell ref="D1264:D1265"/>
    <mergeCell ref="E1264:E1265"/>
    <mergeCell ref="F1264:F1265"/>
    <mergeCell ref="E1349:E1350"/>
    <mergeCell ref="F1355:F1356"/>
    <mergeCell ref="F1126:K1126"/>
    <mergeCell ref="K1112:K1113"/>
    <mergeCell ref="K1116:K1117"/>
    <mergeCell ref="K1118:K1119"/>
    <mergeCell ref="K1120:K1121"/>
    <mergeCell ref="K1122:K1123"/>
    <mergeCell ref="E1357:E1358"/>
    <mergeCell ref="F1357:F1358"/>
    <mergeCell ref="G1357:G1358"/>
    <mergeCell ref="D1324:D1325"/>
    <mergeCell ref="E1324:E1325"/>
    <mergeCell ref="F1324:F1325"/>
    <mergeCell ref="G1324:G1325"/>
    <mergeCell ref="D1322:D1323"/>
    <mergeCell ref="E1322:E1323"/>
    <mergeCell ref="F1322:F1323"/>
    <mergeCell ref="G1322:G1323"/>
    <mergeCell ref="E1259:E1260"/>
    <mergeCell ref="E1208:E1209"/>
    <mergeCell ref="F1208:F1209"/>
    <mergeCell ref="G1208:G1209"/>
    <mergeCell ref="F1212:F1213"/>
    <mergeCell ref="G1212:G1213"/>
    <mergeCell ref="D1214:D1215"/>
    <mergeCell ref="A376:A381"/>
    <mergeCell ref="A387:A388"/>
    <mergeCell ref="A390:A398"/>
    <mergeCell ref="A399:A410"/>
    <mergeCell ref="A411:A423"/>
    <mergeCell ref="A424:A436"/>
    <mergeCell ref="A437:A451"/>
    <mergeCell ref="A452:A457"/>
    <mergeCell ref="A464:A465"/>
    <mergeCell ref="A467:A469"/>
    <mergeCell ref="A470:A485"/>
    <mergeCell ref="A486:A501"/>
    <mergeCell ref="A502:A523"/>
    <mergeCell ref="A524:A535"/>
    <mergeCell ref="A541:A542"/>
    <mergeCell ref="A544:A548"/>
    <mergeCell ref="A549:A565"/>
    <mergeCell ref="A1161:A1162"/>
    <mergeCell ref="A1164:A1177"/>
    <mergeCell ref="A1178:A1193"/>
    <mergeCell ref="A1194:A1203"/>
    <mergeCell ref="A1204:A1221"/>
    <mergeCell ref="A1287:A1299"/>
    <mergeCell ref="A1300:A1308"/>
    <mergeCell ref="A1319:A1320"/>
    <mergeCell ref="A1322:A1329"/>
    <mergeCell ref="A1330:A1344"/>
    <mergeCell ref="A1345:A1359"/>
    <mergeCell ref="A1360:A1371"/>
    <mergeCell ref="A1222:A1231"/>
    <mergeCell ref="A1238:A1239"/>
    <mergeCell ref="A1246:A1250"/>
    <mergeCell ref="A1251:A1261"/>
    <mergeCell ref="A1262:A1273"/>
    <mergeCell ref="A1241:A1245"/>
    <mergeCell ref="A1274:A1286"/>
    <mergeCell ref="A1084:A1085"/>
    <mergeCell ref="A1087:A1097"/>
    <mergeCell ref="A1098:A1115"/>
    <mergeCell ref="A1116:A1126"/>
    <mergeCell ref="A1127:A1141"/>
    <mergeCell ref="A1142:A1155"/>
    <mergeCell ref="A566:A580"/>
    <mergeCell ref="A581:A595"/>
    <mergeCell ref="A596:A608"/>
    <mergeCell ref="A621:A635"/>
    <mergeCell ref="A636:A655"/>
    <mergeCell ref="A656:A673"/>
    <mergeCell ref="A674:A684"/>
    <mergeCell ref="A685:A688"/>
    <mergeCell ref="A695:A696"/>
    <mergeCell ref="A698:A711"/>
    <mergeCell ref="A712:A728"/>
    <mergeCell ref="A729:A747"/>
    <mergeCell ref="A748:A765"/>
    <mergeCell ref="A772:A773"/>
    <mergeCell ref="A775:A779"/>
    <mergeCell ref="A780:A790"/>
    <mergeCell ref="A791:A795"/>
    <mergeCell ref="A796:A806"/>
    <mergeCell ref="A807:A820"/>
    <mergeCell ref="A821:A836"/>
    <mergeCell ref="A837:A842"/>
    <mergeCell ref="A849:A850"/>
    <mergeCell ref="A852:A857"/>
    <mergeCell ref="A858:A868"/>
    <mergeCell ref="A869:A883"/>
    <mergeCell ref="A884:A899"/>
    <mergeCell ref="D472:D473"/>
    <mergeCell ref="C472:C473"/>
    <mergeCell ref="C474:C475"/>
    <mergeCell ref="D474:D475"/>
    <mergeCell ref="C476:C477"/>
    <mergeCell ref="D476:D477"/>
    <mergeCell ref="C478:C479"/>
    <mergeCell ref="D478:D479"/>
    <mergeCell ref="A964:A972"/>
    <mergeCell ref="A973:A989"/>
    <mergeCell ref="A990:A999"/>
    <mergeCell ref="A1005:A1006"/>
    <mergeCell ref="A1008:A1012"/>
    <mergeCell ref="A1032:A1043"/>
    <mergeCell ref="A1044:A1054"/>
    <mergeCell ref="A1055:A1069"/>
    <mergeCell ref="A1070:A1077"/>
    <mergeCell ref="A900:A912"/>
    <mergeCell ref="A913:A920"/>
    <mergeCell ref="A926:A927"/>
    <mergeCell ref="A936:A947"/>
    <mergeCell ref="A948:A963"/>
    <mergeCell ref="D1063:D1064"/>
    <mergeCell ref="D1065:D1066"/>
    <mergeCell ref="D1067:D1068"/>
    <mergeCell ref="C1048:C1049"/>
    <mergeCell ref="C1050:C1051"/>
    <mergeCell ref="D1050:D1051"/>
    <mergeCell ref="D1013:D1014"/>
    <mergeCell ref="B990:B999"/>
    <mergeCell ref="B1005:B1006"/>
    <mergeCell ref="B1008:B1011"/>
    <mergeCell ref="C432:C433"/>
    <mergeCell ref="C434:C435"/>
    <mergeCell ref="B436:D436"/>
    <mergeCell ref="D437:D438"/>
    <mergeCell ref="D439:D440"/>
    <mergeCell ref="D441:D442"/>
    <mergeCell ref="C452:C453"/>
    <mergeCell ref="D452:D453"/>
    <mergeCell ref="C454:C455"/>
    <mergeCell ref="D454:D455"/>
    <mergeCell ref="C456:C457"/>
    <mergeCell ref="D456:D457"/>
    <mergeCell ref="C464:C465"/>
    <mergeCell ref="C467:C468"/>
    <mergeCell ref="D467:D468"/>
    <mergeCell ref="B469:D469"/>
    <mergeCell ref="C470:C471"/>
    <mergeCell ref="D470:D471"/>
    <mergeCell ref="B398:D398"/>
    <mergeCell ref="C390:C391"/>
    <mergeCell ref="D390:D391"/>
    <mergeCell ref="C392:C393"/>
    <mergeCell ref="D392:D393"/>
    <mergeCell ref="D372:D373"/>
    <mergeCell ref="C424:C425"/>
    <mergeCell ref="D424:D425"/>
    <mergeCell ref="C401:C402"/>
    <mergeCell ref="D401:D402"/>
    <mergeCell ref="C403:C404"/>
    <mergeCell ref="D403:D404"/>
    <mergeCell ref="D443:D444"/>
    <mergeCell ref="D445:D446"/>
    <mergeCell ref="D447:D448"/>
    <mergeCell ref="D449:D450"/>
    <mergeCell ref="B451:D451"/>
    <mergeCell ref="C426:C427"/>
    <mergeCell ref="D426:D427"/>
    <mergeCell ref="C428:C429"/>
    <mergeCell ref="D428:D429"/>
    <mergeCell ref="D430:D431"/>
    <mergeCell ref="D432:D433"/>
    <mergeCell ref="D434:D435"/>
    <mergeCell ref="C430:C431"/>
    <mergeCell ref="C437:C438"/>
    <mergeCell ref="C439:C440"/>
    <mergeCell ref="C441:C442"/>
    <mergeCell ref="C443:C444"/>
    <mergeCell ref="C445:C446"/>
    <mergeCell ref="C447:C448"/>
    <mergeCell ref="C449:C450"/>
    <mergeCell ref="C308:C309"/>
    <mergeCell ref="C311:C312"/>
    <mergeCell ref="D311:D312"/>
    <mergeCell ref="C313:C314"/>
    <mergeCell ref="D313:D314"/>
    <mergeCell ref="C315:C316"/>
    <mergeCell ref="D315:D316"/>
    <mergeCell ref="C317:C318"/>
    <mergeCell ref="D317:D318"/>
    <mergeCell ref="D319:D320"/>
    <mergeCell ref="D321:D322"/>
    <mergeCell ref="C319:C320"/>
    <mergeCell ref="C321:C322"/>
    <mergeCell ref="B324:D324"/>
    <mergeCell ref="C325:C326"/>
    <mergeCell ref="D325:D326"/>
    <mergeCell ref="D308:E308"/>
    <mergeCell ref="E325:E326"/>
    <mergeCell ref="C292:C293"/>
    <mergeCell ref="D292:D293"/>
    <mergeCell ref="C294:C295"/>
    <mergeCell ref="D294:D295"/>
    <mergeCell ref="B297:D297"/>
    <mergeCell ref="C298:C299"/>
    <mergeCell ref="D298:D299"/>
    <mergeCell ref="B283:D283"/>
    <mergeCell ref="C280:C281"/>
    <mergeCell ref="C284:C285"/>
    <mergeCell ref="D284:D285"/>
    <mergeCell ref="C286:C287"/>
    <mergeCell ref="D286:D287"/>
    <mergeCell ref="C288:C289"/>
    <mergeCell ref="D288:D289"/>
    <mergeCell ref="C300:C301"/>
    <mergeCell ref="D300:D301"/>
    <mergeCell ref="C278:C279"/>
    <mergeCell ref="C265:C266"/>
    <mergeCell ref="B267:D267"/>
    <mergeCell ref="C268:C269"/>
    <mergeCell ref="D265:D266"/>
    <mergeCell ref="B256:D256"/>
    <mergeCell ref="C248:C249"/>
    <mergeCell ref="D248:D249"/>
    <mergeCell ref="C250:C251"/>
    <mergeCell ref="D250:D251"/>
    <mergeCell ref="C252:C253"/>
    <mergeCell ref="D252:D253"/>
    <mergeCell ref="C254:C255"/>
    <mergeCell ref="C263:C264"/>
    <mergeCell ref="C257:C258"/>
    <mergeCell ref="D257:D258"/>
    <mergeCell ref="C290:C291"/>
    <mergeCell ref="D290:D291"/>
    <mergeCell ref="C211:C212"/>
    <mergeCell ref="C213:C214"/>
    <mergeCell ref="C215:C216"/>
    <mergeCell ref="C217:C218"/>
    <mergeCell ref="C240:C241"/>
    <mergeCell ref="D240:D241"/>
    <mergeCell ref="C242:C243"/>
    <mergeCell ref="D242:D243"/>
    <mergeCell ref="C244:C245"/>
    <mergeCell ref="D244:D245"/>
    <mergeCell ref="D261:D262"/>
    <mergeCell ref="D263:D264"/>
    <mergeCell ref="C261:C262"/>
    <mergeCell ref="C270:C271"/>
    <mergeCell ref="C272:C273"/>
    <mergeCell ref="C274:C275"/>
    <mergeCell ref="C276:C277"/>
    <mergeCell ref="C139:C140"/>
    <mergeCell ref="C166:C167"/>
    <mergeCell ref="C191:C192"/>
    <mergeCell ref="D191:D192"/>
    <mergeCell ref="C193:C194"/>
    <mergeCell ref="D193:D194"/>
    <mergeCell ref="C195:C196"/>
    <mergeCell ref="D195:D196"/>
    <mergeCell ref="B197:D197"/>
    <mergeCell ref="C198:C199"/>
    <mergeCell ref="D198:D199"/>
    <mergeCell ref="C200:C201"/>
    <mergeCell ref="D200:D201"/>
    <mergeCell ref="C202:C203"/>
    <mergeCell ref="D202:D203"/>
    <mergeCell ref="D204:D205"/>
    <mergeCell ref="C219:C220"/>
    <mergeCell ref="D166:D167"/>
    <mergeCell ref="C168:C169"/>
    <mergeCell ref="D168:D169"/>
    <mergeCell ref="C170:C171"/>
    <mergeCell ref="D206:D207"/>
    <mergeCell ref="D208:D209"/>
    <mergeCell ref="B210:D210"/>
    <mergeCell ref="D211:D212"/>
    <mergeCell ref="D213:D214"/>
    <mergeCell ref="D215:D216"/>
    <mergeCell ref="D217:D218"/>
    <mergeCell ref="D219:D220"/>
    <mergeCell ref="C204:C205"/>
    <mergeCell ref="C206:C207"/>
    <mergeCell ref="C208:C209"/>
    <mergeCell ref="D376:D377"/>
    <mergeCell ref="C378:C379"/>
    <mergeCell ref="C181:C182"/>
    <mergeCell ref="C413:C414"/>
    <mergeCell ref="D413:D414"/>
    <mergeCell ref="C415:C416"/>
    <mergeCell ref="D415:D416"/>
    <mergeCell ref="D399:D400"/>
    <mergeCell ref="C120:C121"/>
    <mergeCell ref="D120:D121"/>
    <mergeCell ref="C122:C123"/>
    <mergeCell ref="D122:D123"/>
    <mergeCell ref="C109:C110"/>
    <mergeCell ref="D109:D110"/>
    <mergeCell ref="B112:B127"/>
    <mergeCell ref="C112:C113"/>
    <mergeCell ref="D112:D113"/>
    <mergeCell ref="D114:D115"/>
    <mergeCell ref="A128:D128"/>
    <mergeCell ref="D135:D136"/>
    <mergeCell ref="D137:D138"/>
    <mergeCell ref="D139:D140"/>
    <mergeCell ref="A141:D141"/>
    <mergeCell ref="C133:C134"/>
    <mergeCell ref="C135:C136"/>
    <mergeCell ref="C137:C138"/>
    <mergeCell ref="A97:A110"/>
    <mergeCell ref="B97:B110"/>
    <mergeCell ref="D105:D106"/>
    <mergeCell ref="A112:A127"/>
    <mergeCell ref="A129:A140"/>
    <mergeCell ref="B129:B140"/>
    <mergeCell ref="D329:D330"/>
    <mergeCell ref="C331:C332"/>
    <mergeCell ref="D331:D332"/>
    <mergeCell ref="C333:C334"/>
    <mergeCell ref="C394:C395"/>
    <mergeCell ref="D394:D395"/>
    <mergeCell ref="C396:C397"/>
    <mergeCell ref="C399:C400"/>
    <mergeCell ref="C142:C143"/>
    <mergeCell ref="C144:C145"/>
    <mergeCell ref="C146:C147"/>
    <mergeCell ref="D172:D173"/>
    <mergeCell ref="C417:C418"/>
    <mergeCell ref="D417:D418"/>
    <mergeCell ref="C419:C420"/>
    <mergeCell ref="D419:D420"/>
    <mergeCell ref="B423:D423"/>
    <mergeCell ref="C357:C358"/>
    <mergeCell ref="C360:C361"/>
    <mergeCell ref="D360:D361"/>
    <mergeCell ref="C362:C363"/>
    <mergeCell ref="D362:D363"/>
    <mergeCell ref="C364:C365"/>
    <mergeCell ref="D364:D365"/>
    <mergeCell ref="C366:C367"/>
    <mergeCell ref="D366:D367"/>
    <mergeCell ref="C368:C369"/>
    <mergeCell ref="D368:D369"/>
    <mergeCell ref="C370:C371"/>
    <mergeCell ref="D370:D371"/>
    <mergeCell ref="B375:D375"/>
    <mergeCell ref="C376:C377"/>
    <mergeCell ref="C349:C350"/>
    <mergeCell ref="D339:D340"/>
    <mergeCell ref="D341:D342"/>
    <mergeCell ref="B344:D344"/>
    <mergeCell ref="D345:D346"/>
    <mergeCell ref="D347:D348"/>
    <mergeCell ref="D349:D350"/>
    <mergeCell ref="D351:D352"/>
    <mergeCell ref="E327:E328"/>
    <mergeCell ref="F327:F328"/>
    <mergeCell ref="G327:G328"/>
    <mergeCell ref="E329:E330"/>
    <mergeCell ref="C405:C406"/>
    <mergeCell ref="C407:C408"/>
    <mergeCell ref="B410:D410"/>
    <mergeCell ref="C411:C412"/>
    <mergeCell ref="D411:D412"/>
    <mergeCell ref="F407:F408"/>
    <mergeCell ref="E403:E404"/>
    <mergeCell ref="F403:F404"/>
    <mergeCell ref="G403:G404"/>
    <mergeCell ref="E405:E406"/>
    <mergeCell ref="F405:F406"/>
    <mergeCell ref="G405:G406"/>
    <mergeCell ref="E407:E408"/>
    <mergeCell ref="F347:F348"/>
    <mergeCell ref="G347:G348"/>
    <mergeCell ref="E349:E350"/>
    <mergeCell ref="E380:E381"/>
    <mergeCell ref="F380:F381"/>
    <mergeCell ref="G380:G381"/>
    <mergeCell ref="C329:C330"/>
    <mergeCell ref="F308:F309"/>
    <mergeCell ref="G308:G309"/>
    <mergeCell ref="E263:E264"/>
    <mergeCell ref="F263:F264"/>
    <mergeCell ref="G250:G251"/>
    <mergeCell ref="G257:G258"/>
    <mergeCell ref="G270:G271"/>
    <mergeCell ref="E272:E273"/>
    <mergeCell ref="E274:E275"/>
    <mergeCell ref="C327:C328"/>
    <mergeCell ref="D327:D328"/>
    <mergeCell ref="D337:D338"/>
    <mergeCell ref="D378:D379"/>
    <mergeCell ref="C380:C381"/>
    <mergeCell ref="D380:D381"/>
    <mergeCell ref="C387:C388"/>
    <mergeCell ref="D396:D397"/>
    <mergeCell ref="D333:D334"/>
    <mergeCell ref="D335:D336"/>
    <mergeCell ref="C351:C352"/>
    <mergeCell ref="C353:C354"/>
    <mergeCell ref="D353:D354"/>
    <mergeCell ref="C355:C356"/>
    <mergeCell ref="D355:D356"/>
    <mergeCell ref="D357:D358"/>
    <mergeCell ref="B359:D359"/>
    <mergeCell ref="C335:C336"/>
    <mergeCell ref="C337:C338"/>
    <mergeCell ref="C339:C340"/>
    <mergeCell ref="C341:C342"/>
    <mergeCell ref="C345:C346"/>
    <mergeCell ref="C347:C348"/>
    <mergeCell ref="F311:F312"/>
    <mergeCell ref="G311:G312"/>
    <mergeCell ref="E311:E312"/>
    <mergeCell ref="E313:E314"/>
    <mergeCell ref="F313:F314"/>
    <mergeCell ref="G313:G314"/>
    <mergeCell ref="E315:E316"/>
    <mergeCell ref="F315:F316"/>
    <mergeCell ref="G315:G316"/>
    <mergeCell ref="F321:F322"/>
    <mergeCell ref="G321:G322"/>
    <mergeCell ref="E317:E318"/>
    <mergeCell ref="F317:F318"/>
    <mergeCell ref="G317:G318"/>
    <mergeCell ref="E319:E320"/>
    <mergeCell ref="F319:F320"/>
    <mergeCell ref="G319:G320"/>
    <mergeCell ref="E321:E322"/>
    <mergeCell ref="D254:D255"/>
    <mergeCell ref="C259:C260"/>
    <mergeCell ref="D259:D260"/>
    <mergeCell ref="C221:C222"/>
    <mergeCell ref="D221:D222"/>
    <mergeCell ref="E240:E241"/>
    <mergeCell ref="F240:F241"/>
    <mergeCell ref="E242:E243"/>
    <mergeCell ref="F242:F243"/>
    <mergeCell ref="E244:E245"/>
    <mergeCell ref="F252:F253"/>
    <mergeCell ref="E234:E235"/>
    <mergeCell ref="E236:E237"/>
    <mergeCell ref="F236:F237"/>
    <mergeCell ref="E238:E239"/>
    <mergeCell ref="F238:F239"/>
    <mergeCell ref="E261:E262"/>
    <mergeCell ref="F261:F262"/>
    <mergeCell ref="F250:F251"/>
    <mergeCell ref="E252:E253"/>
    <mergeCell ref="E257:E258"/>
    <mergeCell ref="F257:F258"/>
    <mergeCell ref="E259:E260"/>
    <mergeCell ref="E248:E249"/>
    <mergeCell ref="F248:F249"/>
    <mergeCell ref="E250:E251"/>
    <mergeCell ref="F244:F245"/>
    <mergeCell ref="F174:K174"/>
    <mergeCell ref="D158:D159"/>
    <mergeCell ref="E162:E163"/>
    <mergeCell ref="E221:E222"/>
    <mergeCell ref="F221:F222"/>
    <mergeCell ref="G221:G222"/>
    <mergeCell ref="D231:E231"/>
    <mergeCell ref="F231:F232"/>
    <mergeCell ref="G231:G232"/>
    <mergeCell ref="F234:F235"/>
    <mergeCell ref="G234:G235"/>
    <mergeCell ref="F259:F260"/>
    <mergeCell ref="G259:G260"/>
    <mergeCell ref="E254:E255"/>
    <mergeCell ref="F254:F255"/>
    <mergeCell ref="G254:G255"/>
    <mergeCell ref="F187:F188"/>
    <mergeCell ref="G187:G188"/>
    <mergeCell ref="E189:E190"/>
    <mergeCell ref="F195:F196"/>
    <mergeCell ref="G195:G196"/>
    <mergeCell ref="E191:E192"/>
    <mergeCell ref="F191:F192"/>
    <mergeCell ref="G191:G192"/>
    <mergeCell ref="E193:E194"/>
    <mergeCell ref="F193:F194"/>
    <mergeCell ref="G193:G194"/>
    <mergeCell ref="E195:E196"/>
    <mergeCell ref="E204:E205"/>
    <mergeCell ref="E219:E220"/>
    <mergeCell ref="F219:F220"/>
    <mergeCell ref="B247:D247"/>
    <mergeCell ref="E175:E176"/>
    <mergeCell ref="F175:F176"/>
    <mergeCell ref="G175:G176"/>
    <mergeCell ref="G204:G205"/>
    <mergeCell ref="E206:E207"/>
    <mergeCell ref="F206:F207"/>
    <mergeCell ref="G206:G207"/>
    <mergeCell ref="E208:E209"/>
    <mergeCell ref="F272:F273"/>
    <mergeCell ref="E217:E218"/>
    <mergeCell ref="F217:F218"/>
    <mergeCell ref="G272:G273"/>
    <mergeCell ref="E268:E269"/>
    <mergeCell ref="F268:F269"/>
    <mergeCell ref="G268:G269"/>
    <mergeCell ref="E270:E271"/>
    <mergeCell ref="F270:F271"/>
    <mergeCell ref="G236:G237"/>
    <mergeCell ref="G238:G239"/>
    <mergeCell ref="F265:F266"/>
    <mergeCell ref="G265:G266"/>
    <mergeCell ref="G261:G262"/>
    <mergeCell ref="G263:G264"/>
    <mergeCell ref="E265:E266"/>
    <mergeCell ref="F204:F205"/>
    <mergeCell ref="G183:G184"/>
    <mergeCell ref="F197:K197"/>
    <mergeCell ref="K198:K199"/>
    <mergeCell ref="F274:F275"/>
    <mergeCell ref="G274:G275"/>
    <mergeCell ref="F300:F301"/>
    <mergeCell ref="G300:G301"/>
    <mergeCell ref="E294:E295"/>
    <mergeCell ref="F294:F295"/>
    <mergeCell ref="G294:G295"/>
    <mergeCell ref="E298:E299"/>
    <mergeCell ref="F298:F299"/>
    <mergeCell ref="G298:G299"/>
    <mergeCell ref="E300:E301"/>
    <mergeCell ref="E278:E279"/>
    <mergeCell ref="E288:E289"/>
    <mergeCell ref="F288:F289"/>
    <mergeCell ref="G288:G289"/>
    <mergeCell ref="E290:E291"/>
    <mergeCell ref="F290:F291"/>
    <mergeCell ref="G290:G291"/>
    <mergeCell ref="E292:E293"/>
    <mergeCell ref="F292:F293"/>
    <mergeCell ref="G292:G293"/>
    <mergeCell ref="E280:E281"/>
    <mergeCell ref="E276:E277"/>
    <mergeCell ref="E284:E285"/>
    <mergeCell ref="F284:F285"/>
    <mergeCell ref="G284:G285"/>
    <mergeCell ref="E286:E287"/>
    <mergeCell ref="C160:C161"/>
    <mergeCell ref="D160:D161"/>
    <mergeCell ref="D162:D163"/>
    <mergeCell ref="F215:F216"/>
    <mergeCell ref="G215:G216"/>
    <mergeCell ref="E211:E212"/>
    <mergeCell ref="F211:F212"/>
    <mergeCell ref="G211:G212"/>
    <mergeCell ref="E213:E214"/>
    <mergeCell ref="F213:F214"/>
    <mergeCell ref="G213:G214"/>
    <mergeCell ref="E215:E216"/>
    <mergeCell ref="E164:E165"/>
    <mergeCell ref="F164:F165"/>
    <mergeCell ref="G164:G165"/>
    <mergeCell ref="E166:E167"/>
    <mergeCell ref="F166:F167"/>
    <mergeCell ref="G166:G167"/>
    <mergeCell ref="E168:E169"/>
    <mergeCell ref="F208:F209"/>
    <mergeCell ref="G208:G209"/>
    <mergeCell ref="B174:D174"/>
    <mergeCell ref="F168:F169"/>
    <mergeCell ref="G168:G169"/>
    <mergeCell ref="D164:D165"/>
    <mergeCell ref="C183:C184"/>
    <mergeCell ref="E170:E171"/>
    <mergeCell ref="F170:F171"/>
    <mergeCell ref="G170:G171"/>
    <mergeCell ref="E172:E173"/>
    <mergeCell ref="F172:F173"/>
    <mergeCell ref="G172:G173"/>
    <mergeCell ref="E133:E134"/>
    <mergeCell ref="F133:F134"/>
    <mergeCell ref="G133:G134"/>
    <mergeCell ref="E135:E136"/>
    <mergeCell ref="F135:F136"/>
    <mergeCell ref="G135:G136"/>
    <mergeCell ref="E137:E138"/>
    <mergeCell ref="E146:E147"/>
    <mergeCell ref="F146:F147"/>
    <mergeCell ref="G146:G147"/>
    <mergeCell ref="E148:E149"/>
    <mergeCell ref="F148:F149"/>
    <mergeCell ref="G148:G149"/>
    <mergeCell ref="C162:C163"/>
    <mergeCell ref="C164:C165"/>
    <mergeCell ref="E142:E143"/>
    <mergeCell ref="F142:F143"/>
    <mergeCell ref="G142:G143"/>
    <mergeCell ref="E144:E145"/>
    <mergeCell ref="F144:F145"/>
    <mergeCell ref="G144:G145"/>
    <mergeCell ref="D155:E155"/>
    <mergeCell ref="F155:F156"/>
    <mergeCell ref="G155:G156"/>
    <mergeCell ref="F158:F159"/>
    <mergeCell ref="G158:G159"/>
    <mergeCell ref="E158:E159"/>
    <mergeCell ref="E160:E161"/>
    <mergeCell ref="F160:F161"/>
    <mergeCell ref="G160:G161"/>
    <mergeCell ref="F162:F163"/>
    <mergeCell ref="G162:G163"/>
    <mergeCell ref="E118:E119"/>
    <mergeCell ref="F118:F119"/>
    <mergeCell ref="G118:G119"/>
    <mergeCell ref="C124:C125"/>
    <mergeCell ref="D124:D125"/>
    <mergeCell ref="C126:C127"/>
    <mergeCell ref="D126:D127"/>
    <mergeCell ref="C129:C130"/>
    <mergeCell ref="D129:D130"/>
    <mergeCell ref="C131:C132"/>
    <mergeCell ref="D131:D132"/>
    <mergeCell ref="D133:D134"/>
    <mergeCell ref="F124:F125"/>
    <mergeCell ref="G124:G125"/>
    <mergeCell ref="E120:E121"/>
    <mergeCell ref="F120:F121"/>
    <mergeCell ref="G120:G121"/>
    <mergeCell ref="E122:E123"/>
    <mergeCell ref="F122:F123"/>
    <mergeCell ref="G122:G123"/>
    <mergeCell ref="E124:E125"/>
    <mergeCell ref="F131:F132"/>
    <mergeCell ref="G131:G132"/>
    <mergeCell ref="E126:E127"/>
    <mergeCell ref="F126:F127"/>
    <mergeCell ref="G126:G127"/>
    <mergeCell ref="E129:E130"/>
    <mergeCell ref="F129:F130"/>
    <mergeCell ref="G129:G130"/>
    <mergeCell ref="E131:E132"/>
    <mergeCell ref="C118:C119"/>
    <mergeCell ref="D118:D119"/>
    <mergeCell ref="C93:C94"/>
    <mergeCell ref="D93:D94"/>
    <mergeCell ref="E93:E94"/>
    <mergeCell ref="F93:F94"/>
    <mergeCell ref="G93:G94"/>
    <mergeCell ref="C105:C106"/>
    <mergeCell ref="C107:C108"/>
    <mergeCell ref="D107:D108"/>
    <mergeCell ref="E107:E108"/>
    <mergeCell ref="C114:C115"/>
    <mergeCell ref="C116:C117"/>
    <mergeCell ref="E112:E113"/>
    <mergeCell ref="F112:F113"/>
    <mergeCell ref="G112:G113"/>
    <mergeCell ref="F114:F115"/>
    <mergeCell ref="G114:G115"/>
    <mergeCell ref="E114:E115"/>
    <mergeCell ref="E116:E117"/>
    <mergeCell ref="F116:F117"/>
    <mergeCell ref="E105:E106"/>
    <mergeCell ref="F105:F106"/>
    <mergeCell ref="G105:G106"/>
    <mergeCell ref="E109:E110"/>
    <mergeCell ref="F109:F110"/>
    <mergeCell ref="E99:E100"/>
    <mergeCell ref="F99:F100"/>
    <mergeCell ref="C97:C98"/>
    <mergeCell ref="D97:D98"/>
    <mergeCell ref="E97:E98"/>
    <mergeCell ref="C83:C84"/>
    <mergeCell ref="C85:C86"/>
    <mergeCell ref="E85:E86"/>
    <mergeCell ref="F85:F86"/>
    <mergeCell ref="G85:G86"/>
    <mergeCell ref="D85:D86"/>
    <mergeCell ref="C87:C88"/>
    <mergeCell ref="D87:D88"/>
    <mergeCell ref="E87:E88"/>
    <mergeCell ref="F87:F88"/>
    <mergeCell ref="G87:G88"/>
    <mergeCell ref="C89:C90"/>
    <mergeCell ref="D89:D90"/>
    <mergeCell ref="E89:E90"/>
    <mergeCell ref="F89:F90"/>
    <mergeCell ref="G89:G90"/>
    <mergeCell ref="C91:C92"/>
    <mergeCell ref="D91:D92"/>
    <mergeCell ref="E91:E92"/>
    <mergeCell ref="F91:F92"/>
    <mergeCell ref="G91:G92"/>
    <mergeCell ref="E83:E84"/>
    <mergeCell ref="E1214:E1215"/>
    <mergeCell ref="F1214:F1215"/>
    <mergeCell ref="G1214:G1215"/>
    <mergeCell ref="E103:E104"/>
    <mergeCell ref="F103:F104"/>
    <mergeCell ref="C101:C102"/>
    <mergeCell ref="D101:D102"/>
    <mergeCell ref="E101:E102"/>
    <mergeCell ref="F101:F102"/>
    <mergeCell ref="G101:G102"/>
    <mergeCell ref="C103:C104"/>
    <mergeCell ref="D103:D104"/>
    <mergeCell ref="G103:G104"/>
    <mergeCell ref="G109:G110"/>
    <mergeCell ref="A111:D111"/>
    <mergeCell ref="D1200:D1201"/>
    <mergeCell ref="G1200:G1201"/>
    <mergeCell ref="E1200:E1201"/>
    <mergeCell ref="F1200:F1201"/>
    <mergeCell ref="B1203:D1203"/>
    <mergeCell ref="D1204:D1205"/>
    <mergeCell ref="E1204:E1205"/>
    <mergeCell ref="F1204:F1205"/>
    <mergeCell ref="G1204:G1205"/>
    <mergeCell ref="D1206:D1207"/>
    <mergeCell ref="E1206:E1207"/>
    <mergeCell ref="F1206:F1207"/>
    <mergeCell ref="G1206:G1207"/>
    <mergeCell ref="C1198:C1199"/>
    <mergeCell ref="C1200:C1201"/>
    <mergeCell ref="C1204:C1205"/>
    <mergeCell ref="C1206:C1207"/>
    <mergeCell ref="C1188:C1189"/>
    <mergeCell ref="C1190:C1191"/>
    <mergeCell ref="C1194:C1195"/>
    <mergeCell ref="D1194:D1195"/>
    <mergeCell ref="E1194:E1195"/>
    <mergeCell ref="F1194:F1195"/>
    <mergeCell ref="G1194:G1195"/>
    <mergeCell ref="D1196:D1197"/>
    <mergeCell ref="G1196:G1197"/>
    <mergeCell ref="E1196:E1197"/>
    <mergeCell ref="F1196:F1197"/>
    <mergeCell ref="C1196:C1197"/>
    <mergeCell ref="D1190:D1191"/>
    <mergeCell ref="D1198:D1199"/>
    <mergeCell ref="E1198:E1199"/>
    <mergeCell ref="F1198:F1199"/>
    <mergeCell ref="G1198:G1199"/>
    <mergeCell ref="C1222:C1223"/>
    <mergeCell ref="C1224:C1225"/>
    <mergeCell ref="C1226:C1227"/>
    <mergeCell ref="C1228:C1229"/>
    <mergeCell ref="C1230:C1231"/>
    <mergeCell ref="E1304:E1305"/>
    <mergeCell ref="F1304:F1305"/>
    <mergeCell ref="C1302:C1303"/>
    <mergeCell ref="D1302:D1303"/>
    <mergeCell ref="E1302:E1303"/>
    <mergeCell ref="F1302:F1303"/>
    <mergeCell ref="G1302:G1303"/>
    <mergeCell ref="D1304:D1305"/>
    <mergeCell ref="G1304:G1305"/>
    <mergeCell ref="D1208:D1209"/>
    <mergeCell ref="D1210:D1211"/>
    <mergeCell ref="E1210:E1211"/>
    <mergeCell ref="F1210:F1211"/>
    <mergeCell ref="G1210:G1211"/>
    <mergeCell ref="D1212:D1213"/>
    <mergeCell ref="E1212:E1213"/>
    <mergeCell ref="C1216:C1217"/>
    <mergeCell ref="D1216:D1217"/>
    <mergeCell ref="E1216:E1217"/>
    <mergeCell ref="F1216:F1217"/>
    <mergeCell ref="G1216:G1217"/>
    <mergeCell ref="D1218:D1219"/>
    <mergeCell ref="E1218:E1219"/>
    <mergeCell ref="F1218:F1219"/>
    <mergeCell ref="G1218:G1219"/>
    <mergeCell ref="B1221:D1221"/>
    <mergeCell ref="D1222:D1223"/>
    <mergeCell ref="E1246:E1247"/>
    <mergeCell ref="F1246:F1247"/>
    <mergeCell ref="G1246:G1247"/>
    <mergeCell ref="D1248:D1249"/>
    <mergeCell ref="E1248:E1249"/>
    <mergeCell ref="C1089:C1090"/>
    <mergeCell ref="C1093:C1094"/>
    <mergeCell ref="B1098:B1114"/>
    <mergeCell ref="C1098:C1099"/>
    <mergeCell ref="C1100:C1101"/>
    <mergeCell ref="C1102:C1103"/>
    <mergeCell ref="C1104:C1105"/>
    <mergeCell ref="C1127:C1128"/>
    <mergeCell ref="C1129:C1130"/>
    <mergeCell ref="C1131:C1132"/>
    <mergeCell ref="C1133:C1134"/>
    <mergeCell ref="B1116:B1125"/>
    <mergeCell ref="C1116:C1117"/>
    <mergeCell ref="C1118:C1119"/>
    <mergeCell ref="C1120:C1121"/>
    <mergeCell ref="C1122:C1123"/>
    <mergeCell ref="C1124:C1125"/>
    <mergeCell ref="C1139:C1140"/>
    <mergeCell ref="C1135:C1136"/>
    <mergeCell ref="C1137:C1138"/>
    <mergeCell ref="C1142:C1143"/>
    <mergeCell ref="C1144:C1145"/>
    <mergeCell ref="C1146:C1147"/>
    <mergeCell ref="C1148:C1149"/>
    <mergeCell ref="C1150:C1151"/>
    <mergeCell ref="C1152:C1153"/>
    <mergeCell ref="C1161:C1162"/>
    <mergeCell ref="E1226:E1227"/>
    <mergeCell ref="F1226:F1227"/>
    <mergeCell ref="E1222:E1223"/>
    <mergeCell ref="F1222:F1223"/>
    <mergeCell ref="D1224:D1225"/>
    <mergeCell ref="E1224:E1225"/>
    <mergeCell ref="F1224:F1225"/>
    <mergeCell ref="G1224:G1225"/>
    <mergeCell ref="G1226:G1227"/>
    <mergeCell ref="F1230:F1231"/>
    <mergeCell ref="G1230:G1231"/>
    <mergeCell ref="D1226:D1227"/>
    <mergeCell ref="D1228:D1229"/>
    <mergeCell ref="E1228:E1229"/>
    <mergeCell ref="F1228:F1229"/>
    <mergeCell ref="G1228:G1229"/>
    <mergeCell ref="D1230:D1231"/>
    <mergeCell ref="E1230:E1231"/>
    <mergeCell ref="G1222:G1223"/>
    <mergeCell ref="C1208:C1209"/>
    <mergeCell ref="C1210:C1211"/>
    <mergeCell ref="C1212:C1213"/>
    <mergeCell ref="C1214:C1215"/>
    <mergeCell ref="B1127:B1140"/>
    <mergeCell ref="B1142:B1154"/>
    <mergeCell ref="B1161:B1162"/>
    <mergeCell ref="B1164:B1176"/>
    <mergeCell ref="B1178:B1192"/>
    <mergeCell ref="B1194:B1202"/>
    <mergeCell ref="B1204:B1220"/>
    <mergeCell ref="B1287:B1298"/>
    <mergeCell ref="B1222:B1231"/>
    <mergeCell ref="B1238:B1239"/>
    <mergeCell ref="B1246:B1249"/>
    <mergeCell ref="B1251:B1260"/>
    <mergeCell ref="B1262:B1272"/>
    <mergeCell ref="B1245:D1245"/>
    <mergeCell ref="B1250:D1250"/>
    <mergeCell ref="D1241:D1242"/>
    <mergeCell ref="D1246:D1247"/>
    <mergeCell ref="C1164:C1165"/>
    <mergeCell ref="C1166:C1167"/>
    <mergeCell ref="C1168:C1169"/>
    <mergeCell ref="C1170:C1171"/>
    <mergeCell ref="C1172:C1173"/>
    <mergeCell ref="C1218:C1219"/>
    <mergeCell ref="C1262:C1263"/>
    <mergeCell ref="C1264:C1265"/>
    <mergeCell ref="C1266:C1267"/>
    <mergeCell ref="C1268:C1269"/>
    <mergeCell ref="C1270:C1271"/>
    <mergeCell ref="E1289:E1290"/>
    <mergeCell ref="F1289:F1290"/>
    <mergeCell ref="D1293:D1294"/>
    <mergeCell ref="E1293:E1294"/>
    <mergeCell ref="C1243:C1244"/>
    <mergeCell ref="E1243:E1244"/>
    <mergeCell ref="F1243:F1244"/>
    <mergeCell ref="G1243:G1244"/>
    <mergeCell ref="D1243:D1244"/>
    <mergeCell ref="B1241:B1244"/>
    <mergeCell ref="C1238:C1239"/>
    <mergeCell ref="C1241:C1242"/>
    <mergeCell ref="C1246:C1247"/>
    <mergeCell ref="C1248:C1249"/>
    <mergeCell ref="C1251:C1252"/>
    <mergeCell ref="C1253:C1254"/>
    <mergeCell ref="C1255:C1256"/>
    <mergeCell ref="C1274:C1275"/>
    <mergeCell ref="D1274:D1275"/>
    <mergeCell ref="D1238:E1238"/>
    <mergeCell ref="F1238:F1239"/>
    <mergeCell ref="G1238:G1239"/>
    <mergeCell ref="E1241:E1242"/>
    <mergeCell ref="F1241:F1242"/>
    <mergeCell ref="G1241:G1242"/>
    <mergeCell ref="F1248:F1249"/>
    <mergeCell ref="G1248:G1249"/>
    <mergeCell ref="F1291:F1292"/>
    <mergeCell ref="G1291:G1292"/>
    <mergeCell ref="C1293:C1294"/>
    <mergeCell ref="E1276:E1277"/>
    <mergeCell ref="F1276:F1277"/>
    <mergeCell ref="B1299:D1299"/>
    <mergeCell ref="C1300:C1301"/>
    <mergeCell ref="D1300:D1301"/>
    <mergeCell ref="E1300:E1301"/>
    <mergeCell ref="F1300:F1301"/>
    <mergeCell ref="G1300:G1301"/>
    <mergeCell ref="C1304:C1305"/>
    <mergeCell ref="C1306:C1307"/>
    <mergeCell ref="D1306:D1307"/>
    <mergeCell ref="E1306:E1307"/>
    <mergeCell ref="F1306:F1307"/>
    <mergeCell ref="G1306:G1307"/>
    <mergeCell ref="C1282:C1283"/>
    <mergeCell ref="C1284:C1285"/>
    <mergeCell ref="D1284:D1285"/>
    <mergeCell ref="E1284:E1285"/>
    <mergeCell ref="F1284:F1285"/>
    <mergeCell ref="G1284:G1285"/>
    <mergeCell ref="B1286:D1286"/>
    <mergeCell ref="B1274:B1285"/>
    <mergeCell ref="G1274:G1275"/>
    <mergeCell ref="D1282:D1283"/>
    <mergeCell ref="E1282:E1283"/>
    <mergeCell ref="F1282:F1283"/>
    <mergeCell ref="G1282:G1283"/>
    <mergeCell ref="B1300:B1307"/>
    <mergeCell ref="F1293:F1294"/>
    <mergeCell ref="G1293:G1294"/>
    <mergeCell ref="C1289:C1290"/>
    <mergeCell ref="C1291:C1292"/>
    <mergeCell ref="D1291:D1292"/>
    <mergeCell ref="E1291:E1292"/>
    <mergeCell ref="E1297:E1298"/>
    <mergeCell ref="F1297:F1298"/>
    <mergeCell ref="C1295:C1296"/>
    <mergeCell ref="D1295:D1296"/>
    <mergeCell ref="E1295:E1296"/>
    <mergeCell ref="F1295:F1296"/>
    <mergeCell ref="G1295:G1296"/>
    <mergeCell ref="C1297:C1298"/>
    <mergeCell ref="G1297:G1298"/>
    <mergeCell ref="D1297:D1298"/>
    <mergeCell ref="E1164:E1165"/>
    <mergeCell ref="F1164:F1165"/>
    <mergeCell ref="G1164:G1165"/>
    <mergeCell ref="F1172:F1173"/>
    <mergeCell ref="G1172:G1173"/>
    <mergeCell ref="B1177:D1177"/>
    <mergeCell ref="D1178:D1179"/>
    <mergeCell ref="E1178:E1179"/>
    <mergeCell ref="F1178:F1179"/>
    <mergeCell ref="G1178:G1179"/>
    <mergeCell ref="C1287:C1288"/>
    <mergeCell ref="D1287:D1288"/>
    <mergeCell ref="E1287:E1288"/>
    <mergeCell ref="F1287:F1288"/>
    <mergeCell ref="G1287:G1288"/>
    <mergeCell ref="D1289:D1290"/>
    <mergeCell ref="G1289:G1290"/>
    <mergeCell ref="E1274:E1275"/>
    <mergeCell ref="F1274:F1275"/>
    <mergeCell ref="C1278:C1279"/>
    <mergeCell ref="C1276:C1277"/>
    <mergeCell ref="D1276:D1277"/>
    <mergeCell ref="C1280:C1281"/>
    <mergeCell ref="D1280:D1281"/>
    <mergeCell ref="E1280:E1281"/>
    <mergeCell ref="F1280:F1281"/>
    <mergeCell ref="G1280:G1281"/>
    <mergeCell ref="C1257:C1258"/>
    <mergeCell ref="C1259:C1260"/>
    <mergeCell ref="B1193:D1193"/>
    <mergeCell ref="D1188:D1189"/>
    <mergeCell ref="E1188:E1189"/>
    <mergeCell ref="F1188:F1189"/>
    <mergeCell ref="G1188:G1189"/>
    <mergeCell ref="E1190:E1191"/>
    <mergeCell ref="F1190:F1191"/>
    <mergeCell ref="G1190:G1191"/>
    <mergeCell ref="D1139:D1140"/>
    <mergeCell ref="B1141:D1141"/>
    <mergeCell ref="D1142:D1143"/>
    <mergeCell ref="E1142:E1143"/>
    <mergeCell ref="F1142:F1143"/>
    <mergeCell ref="G1142:G1143"/>
    <mergeCell ref="D1144:D1145"/>
    <mergeCell ref="G1144:G1145"/>
    <mergeCell ref="E1148:E1149"/>
    <mergeCell ref="F1148:F1149"/>
    <mergeCell ref="E1144:E1145"/>
    <mergeCell ref="F1144:F1145"/>
    <mergeCell ref="D1146:D1147"/>
    <mergeCell ref="E1146:E1147"/>
    <mergeCell ref="F1146:F1147"/>
    <mergeCell ref="G1146:G1147"/>
    <mergeCell ref="G1148:G1149"/>
    <mergeCell ref="F1152:F1153"/>
    <mergeCell ref="G1152:G1153"/>
    <mergeCell ref="B1155:D1155"/>
    <mergeCell ref="D1148:D1149"/>
    <mergeCell ref="D1150:D1151"/>
    <mergeCell ref="E1150:E1151"/>
    <mergeCell ref="F1150:F1151"/>
    <mergeCell ref="D1180:D1181"/>
    <mergeCell ref="E1180:E1181"/>
    <mergeCell ref="F1180:F1181"/>
    <mergeCell ref="G1180:G1181"/>
    <mergeCell ref="E1182:E1183"/>
    <mergeCell ref="F1182:F1183"/>
    <mergeCell ref="G1182:G1183"/>
    <mergeCell ref="F1186:F1187"/>
    <mergeCell ref="G1186:G1187"/>
    <mergeCell ref="D1182:D1183"/>
    <mergeCell ref="D1184:D1185"/>
    <mergeCell ref="E1184:E1185"/>
    <mergeCell ref="F1184:F1185"/>
    <mergeCell ref="G1184:G1185"/>
    <mergeCell ref="D1186:D1187"/>
    <mergeCell ref="E1186:E1187"/>
    <mergeCell ref="C1174:C1175"/>
    <mergeCell ref="C1178:C1179"/>
    <mergeCell ref="C1180:C1181"/>
    <mergeCell ref="C1182:C1183"/>
    <mergeCell ref="C1184:C1185"/>
    <mergeCell ref="C1186:C1187"/>
    <mergeCell ref="D1137:D1138"/>
    <mergeCell ref="E1137:E1138"/>
    <mergeCell ref="F1137:F1138"/>
    <mergeCell ref="G1137:G1138"/>
    <mergeCell ref="E1139:E1140"/>
    <mergeCell ref="F1139:F1140"/>
    <mergeCell ref="G1139:G1140"/>
    <mergeCell ref="D1166:D1167"/>
    <mergeCell ref="E1166:E1167"/>
    <mergeCell ref="F1166:F1167"/>
    <mergeCell ref="G1166:G1167"/>
    <mergeCell ref="E1168:E1169"/>
    <mergeCell ref="F1168:F1169"/>
    <mergeCell ref="G1168:G1169"/>
    <mergeCell ref="D1174:D1175"/>
    <mergeCell ref="E1174:E1175"/>
    <mergeCell ref="F1174:F1175"/>
    <mergeCell ref="G1174:G1175"/>
    <mergeCell ref="D1168:D1169"/>
    <mergeCell ref="D1170:D1171"/>
    <mergeCell ref="E1170:E1171"/>
    <mergeCell ref="F1170:F1171"/>
    <mergeCell ref="G1170:G1171"/>
    <mergeCell ref="D1172:D1173"/>
    <mergeCell ref="E1172:E1173"/>
    <mergeCell ref="G1150:G1151"/>
    <mergeCell ref="D1152:D1153"/>
    <mergeCell ref="E1152:E1153"/>
    <mergeCell ref="D1161:E1161"/>
    <mergeCell ref="F1161:F1162"/>
    <mergeCell ref="G1161:G1162"/>
    <mergeCell ref="D1164:D1165"/>
    <mergeCell ref="D1135:D1136"/>
    <mergeCell ref="E1135:E1136"/>
    <mergeCell ref="D1116:D1117"/>
    <mergeCell ref="E1116:E1117"/>
    <mergeCell ref="F1116:F1117"/>
    <mergeCell ref="G1116:G1117"/>
    <mergeCell ref="E1118:E1119"/>
    <mergeCell ref="F1118:F1119"/>
    <mergeCell ref="G1118:G1119"/>
    <mergeCell ref="F1122:F1123"/>
    <mergeCell ref="G1122:G1123"/>
    <mergeCell ref="D1118:D1119"/>
    <mergeCell ref="D1120:D1121"/>
    <mergeCell ref="E1120:E1121"/>
    <mergeCell ref="F1120:F1121"/>
    <mergeCell ref="G1120:G1121"/>
    <mergeCell ref="D1122:D1123"/>
    <mergeCell ref="E1122:E1123"/>
    <mergeCell ref="F1127:F1128"/>
    <mergeCell ref="G1127:G1128"/>
    <mergeCell ref="D1124:D1125"/>
    <mergeCell ref="E1124:E1125"/>
    <mergeCell ref="F1124:F1125"/>
    <mergeCell ref="G1124:G1125"/>
    <mergeCell ref="B1126:D1126"/>
    <mergeCell ref="D1127:D1128"/>
    <mergeCell ref="E1127:E1128"/>
    <mergeCell ref="F1135:F1136"/>
    <mergeCell ref="G1135:G1136"/>
    <mergeCell ref="C1112:C1113"/>
    <mergeCell ref="D1112:D1113"/>
    <mergeCell ref="E1112:E1113"/>
    <mergeCell ref="F1112:F1113"/>
    <mergeCell ref="G1112:G1113"/>
    <mergeCell ref="B1115:D1115"/>
    <mergeCell ref="D1129:D1130"/>
    <mergeCell ref="E1129:E1130"/>
    <mergeCell ref="F1129:F1130"/>
    <mergeCell ref="G1129:G1130"/>
    <mergeCell ref="E1131:E1132"/>
    <mergeCell ref="F1131:F1132"/>
    <mergeCell ref="G1131:G1132"/>
    <mergeCell ref="D1131:D1132"/>
    <mergeCell ref="D1133:D1134"/>
    <mergeCell ref="E1133:E1134"/>
    <mergeCell ref="F1133:F1134"/>
    <mergeCell ref="G1133:G1134"/>
    <mergeCell ref="B1087:B1096"/>
    <mergeCell ref="C1087:C1088"/>
    <mergeCell ref="D1087:D1088"/>
    <mergeCell ref="E1087:E1088"/>
    <mergeCell ref="F1087:F1088"/>
    <mergeCell ref="G1087:G1088"/>
    <mergeCell ref="G1091:G1092"/>
    <mergeCell ref="G1095:G1096"/>
    <mergeCell ref="C1095:C1096"/>
    <mergeCell ref="D1095:D1096"/>
    <mergeCell ref="B1097:D1097"/>
    <mergeCell ref="D1098:D1099"/>
    <mergeCell ref="E1098:E1099"/>
    <mergeCell ref="F1098:F1099"/>
    <mergeCell ref="G1098:G1099"/>
    <mergeCell ref="F1106:F1107"/>
    <mergeCell ref="G1106:G1107"/>
    <mergeCell ref="E1102:E1103"/>
    <mergeCell ref="F1102:F1103"/>
    <mergeCell ref="G1102:G1103"/>
    <mergeCell ref="D1102:D1103"/>
    <mergeCell ref="D1104:D1105"/>
    <mergeCell ref="E1104:E1105"/>
    <mergeCell ref="F1104:F1105"/>
    <mergeCell ref="G1104:G1105"/>
    <mergeCell ref="D1106:D1107"/>
    <mergeCell ref="E1106:E1107"/>
    <mergeCell ref="C1091:C1092"/>
    <mergeCell ref="D1091:D1092"/>
    <mergeCell ref="E1091:E1092"/>
    <mergeCell ref="F1091:F1092"/>
    <mergeCell ref="D1093:D1094"/>
    <mergeCell ref="B1084:B1085"/>
    <mergeCell ref="C1084:C1085"/>
    <mergeCell ref="D1084:E1084"/>
    <mergeCell ref="F1084:F1085"/>
    <mergeCell ref="G1084:G1085"/>
    <mergeCell ref="B1055:B1068"/>
    <mergeCell ref="C1063:C1064"/>
    <mergeCell ref="C1065:C1066"/>
    <mergeCell ref="C1067:C1068"/>
    <mergeCell ref="B1069:D1069"/>
    <mergeCell ref="B1070:B1077"/>
    <mergeCell ref="D1070:D1071"/>
    <mergeCell ref="C1055:C1056"/>
    <mergeCell ref="C1057:C1058"/>
    <mergeCell ref="E1055:E1056"/>
    <mergeCell ref="F1055:F1056"/>
    <mergeCell ref="G1055:G1056"/>
    <mergeCell ref="G1059:G1060"/>
    <mergeCell ref="D1057:D1058"/>
    <mergeCell ref="E1057:E1058"/>
    <mergeCell ref="F1057:F1058"/>
    <mergeCell ref="G1057:G1058"/>
    <mergeCell ref="C1059:C1060"/>
    <mergeCell ref="D1059:D1060"/>
    <mergeCell ref="E1059:E1060"/>
    <mergeCell ref="F1059:F1060"/>
    <mergeCell ref="D1055:D1056"/>
    <mergeCell ref="E1110:E1111"/>
    <mergeCell ref="F1110:F1111"/>
    <mergeCell ref="C1106:C1107"/>
    <mergeCell ref="C1108:C1109"/>
    <mergeCell ref="D1108:D1109"/>
    <mergeCell ref="E1108:E1109"/>
    <mergeCell ref="F1108:F1109"/>
    <mergeCell ref="G1108:G1109"/>
    <mergeCell ref="D1110:D1111"/>
    <mergeCell ref="G1110:G1111"/>
    <mergeCell ref="C1110:C1111"/>
    <mergeCell ref="C1070:C1071"/>
    <mergeCell ref="C1072:C1073"/>
    <mergeCell ref="D1072:D1073"/>
    <mergeCell ref="C1074:C1075"/>
    <mergeCell ref="D1074:D1075"/>
    <mergeCell ref="E1074:E1075"/>
    <mergeCell ref="F1074:F1075"/>
    <mergeCell ref="G1074:G1075"/>
    <mergeCell ref="C1076:C1077"/>
    <mergeCell ref="D1076:D1077"/>
    <mergeCell ref="E1076:E1077"/>
    <mergeCell ref="F1076:F1077"/>
    <mergeCell ref="G1076:G1077"/>
    <mergeCell ref="D1100:D1101"/>
    <mergeCell ref="E1100:E1101"/>
    <mergeCell ref="F1100:F1101"/>
    <mergeCell ref="G1100:G1101"/>
    <mergeCell ref="D1089:D1090"/>
    <mergeCell ref="E1089:E1090"/>
    <mergeCell ref="F1089:F1090"/>
    <mergeCell ref="G1089:G1090"/>
    <mergeCell ref="E1050:E1051"/>
    <mergeCell ref="F1050:F1051"/>
    <mergeCell ref="G1050:G1051"/>
    <mergeCell ref="C1052:C1053"/>
    <mergeCell ref="E1093:E1094"/>
    <mergeCell ref="F1093:F1094"/>
    <mergeCell ref="G1093:G1094"/>
    <mergeCell ref="E1095:E1096"/>
    <mergeCell ref="F1095:F1096"/>
    <mergeCell ref="G1061:G1062"/>
    <mergeCell ref="E1061:E1062"/>
    <mergeCell ref="F1061:F1062"/>
    <mergeCell ref="E1063:E1064"/>
    <mergeCell ref="F1063:F1064"/>
    <mergeCell ref="G1063:G1064"/>
    <mergeCell ref="F1065:F1066"/>
    <mergeCell ref="G1065:G1066"/>
    <mergeCell ref="E1072:E1073"/>
    <mergeCell ref="F1072:F1073"/>
    <mergeCell ref="G1072:G1073"/>
    <mergeCell ref="E1065:E1066"/>
    <mergeCell ref="E1067:E1068"/>
    <mergeCell ref="F1067:F1068"/>
    <mergeCell ref="G1067:G1068"/>
    <mergeCell ref="E1070:E1071"/>
    <mergeCell ref="F1070:F1071"/>
    <mergeCell ref="G1070:G1071"/>
    <mergeCell ref="C1061:C1062"/>
    <mergeCell ref="D1061:D1062"/>
    <mergeCell ref="D1052:D1053"/>
    <mergeCell ref="E1052:E1053"/>
    <mergeCell ref="B1054:D1054"/>
    <mergeCell ref="F1052:F1053"/>
    <mergeCell ref="G1052:G1053"/>
    <mergeCell ref="D1010:D1011"/>
    <mergeCell ref="E1010:E1011"/>
    <mergeCell ref="F1010:F1011"/>
    <mergeCell ref="G1010:G1011"/>
    <mergeCell ref="B1012:D1012"/>
    <mergeCell ref="C1013:C1014"/>
    <mergeCell ref="D1017:D1018"/>
    <mergeCell ref="D1019:D1020"/>
    <mergeCell ref="C1032:C1033"/>
    <mergeCell ref="D1032:D1033"/>
    <mergeCell ref="E1032:E1033"/>
    <mergeCell ref="F1032:F1033"/>
    <mergeCell ref="G1032:G1033"/>
    <mergeCell ref="D1034:D1035"/>
    <mergeCell ref="G1034:G1035"/>
    <mergeCell ref="C1034:C1035"/>
    <mergeCell ref="C1036:C1037"/>
    <mergeCell ref="D1036:D1037"/>
    <mergeCell ref="E1036:E1037"/>
    <mergeCell ref="F1036:F1037"/>
    <mergeCell ref="G1036:G1037"/>
    <mergeCell ref="F1023:F1024"/>
    <mergeCell ref="G1023:G1024"/>
    <mergeCell ref="F1025:F1026"/>
    <mergeCell ref="G1025:G1026"/>
    <mergeCell ref="F1027:F1028"/>
    <mergeCell ref="G1027:G1028"/>
    <mergeCell ref="C1017:C1018"/>
    <mergeCell ref="C1021:C1022"/>
    <mergeCell ref="D1021:D1022"/>
    <mergeCell ref="A1013:A1031"/>
    <mergeCell ref="D985:D986"/>
    <mergeCell ref="D987:D988"/>
    <mergeCell ref="B989:D989"/>
    <mergeCell ref="C990:C991"/>
    <mergeCell ref="D990:D991"/>
    <mergeCell ref="C992:C993"/>
    <mergeCell ref="D992:D993"/>
    <mergeCell ref="D1005:E1005"/>
    <mergeCell ref="F1005:F1006"/>
    <mergeCell ref="G1005:G1006"/>
    <mergeCell ref="C1008:C1009"/>
    <mergeCell ref="D1008:D1009"/>
    <mergeCell ref="E1008:E1009"/>
    <mergeCell ref="F1008:F1009"/>
    <mergeCell ref="G1008:G1009"/>
    <mergeCell ref="C994:C995"/>
    <mergeCell ref="D994:D995"/>
    <mergeCell ref="C996:C997"/>
    <mergeCell ref="D996:D997"/>
    <mergeCell ref="C998:C999"/>
    <mergeCell ref="D998:D999"/>
    <mergeCell ref="C1005:C1006"/>
    <mergeCell ref="F1013:F1014"/>
    <mergeCell ref="G1013:G1014"/>
    <mergeCell ref="F1015:F1016"/>
    <mergeCell ref="G1015:G1016"/>
    <mergeCell ref="C1010:C1011"/>
    <mergeCell ref="E1019:E1020"/>
    <mergeCell ref="C1019:C1020"/>
    <mergeCell ref="E1013:E1014"/>
    <mergeCell ref="C1015:C1016"/>
    <mergeCell ref="D1015:D1016"/>
    <mergeCell ref="E1015:E1016"/>
    <mergeCell ref="E1017:E1018"/>
    <mergeCell ref="C1038:C1039"/>
    <mergeCell ref="G1021:G1022"/>
    <mergeCell ref="C1023:C1024"/>
    <mergeCell ref="D1023:D1024"/>
    <mergeCell ref="E1023:E1024"/>
    <mergeCell ref="C1025:C1026"/>
    <mergeCell ref="D1025:D1026"/>
    <mergeCell ref="E1025:E1026"/>
    <mergeCell ref="D1027:D1028"/>
    <mergeCell ref="E1027:E1028"/>
    <mergeCell ref="C1027:C1028"/>
    <mergeCell ref="C1029:C1030"/>
    <mergeCell ref="D1029:D1030"/>
    <mergeCell ref="E1029:E1030"/>
    <mergeCell ref="F1029:F1030"/>
    <mergeCell ref="G1029:G1030"/>
    <mergeCell ref="B1031:D1031"/>
    <mergeCell ref="E1034:E1035"/>
    <mergeCell ref="F1034:F1035"/>
    <mergeCell ref="F1038:F1039"/>
    <mergeCell ref="G1038:G1039"/>
    <mergeCell ref="D1038:D1039"/>
    <mergeCell ref="E1038:E1039"/>
    <mergeCell ref="B1032:B1042"/>
    <mergeCell ref="E1021:E1022"/>
    <mergeCell ref="F1021:F1022"/>
    <mergeCell ref="B1044:B1053"/>
    <mergeCell ref="B1013:B1030"/>
    <mergeCell ref="B884:B898"/>
    <mergeCell ref="B900:B911"/>
    <mergeCell ref="B913:B920"/>
    <mergeCell ref="B926:B927"/>
    <mergeCell ref="B936:B946"/>
    <mergeCell ref="B948:B962"/>
    <mergeCell ref="F1044:F1045"/>
    <mergeCell ref="G1044:G1045"/>
    <mergeCell ref="F1046:F1047"/>
    <mergeCell ref="G1046:G1047"/>
    <mergeCell ref="F1048:F1049"/>
    <mergeCell ref="G1048:G1049"/>
    <mergeCell ref="C1040:C1041"/>
    <mergeCell ref="D1040:D1041"/>
    <mergeCell ref="E1040:E1041"/>
    <mergeCell ref="F1040:F1041"/>
    <mergeCell ref="G1040:G1041"/>
    <mergeCell ref="B1043:D1043"/>
    <mergeCell ref="C1044:C1045"/>
    <mergeCell ref="D1044:D1045"/>
    <mergeCell ref="E1044:E1045"/>
    <mergeCell ref="C1046:C1047"/>
    <mergeCell ref="D1046:D1047"/>
    <mergeCell ref="E1046:E1047"/>
    <mergeCell ref="D1048:D1049"/>
    <mergeCell ref="E1048:E1049"/>
    <mergeCell ref="C987:C988"/>
    <mergeCell ref="E987:E988"/>
    <mergeCell ref="F987:F988"/>
    <mergeCell ref="G987:G988"/>
    <mergeCell ref="B695:B696"/>
    <mergeCell ref="B698:B710"/>
    <mergeCell ref="B712:B727"/>
    <mergeCell ref="B729:B746"/>
    <mergeCell ref="B748:B765"/>
    <mergeCell ref="B772:B773"/>
    <mergeCell ref="B775:B778"/>
    <mergeCell ref="B780:B789"/>
    <mergeCell ref="B791:B794"/>
    <mergeCell ref="B796:B805"/>
    <mergeCell ref="B807:B819"/>
    <mergeCell ref="B821:B835"/>
    <mergeCell ref="B837:B842"/>
    <mergeCell ref="B849:B850"/>
    <mergeCell ref="B852:B856"/>
    <mergeCell ref="B858:B867"/>
    <mergeCell ref="B869:B882"/>
    <mergeCell ref="E990:E991"/>
    <mergeCell ref="E994:E995"/>
    <mergeCell ref="E996:E997"/>
    <mergeCell ref="F996:F997"/>
    <mergeCell ref="G996:G997"/>
    <mergeCell ref="E998:E999"/>
    <mergeCell ref="F998:F999"/>
    <mergeCell ref="G998:G999"/>
    <mergeCell ref="F990:F991"/>
    <mergeCell ref="G990:G991"/>
    <mergeCell ref="E992:E993"/>
    <mergeCell ref="F992:F993"/>
    <mergeCell ref="G992:G993"/>
    <mergeCell ref="F994:F995"/>
    <mergeCell ref="G994:G995"/>
    <mergeCell ref="E977:E978"/>
    <mergeCell ref="F977:F978"/>
    <mergeCell ref="G977:G978"/>
    <mergeCell ref="F979:F980"/>
    <mergeCell ref="G979:G980"/>
    <mergeCell ref="E985:E986"/>
    <mergeCell ref="F985:F986"/>
    <mergeCell ref="G985:G986"/>
    <mergeCell ref="F983:F984"/>
    <mergeCell ref="G983:G984"/>
    <mergeCell ref="E979:E980"/>
    <mergeCell ref="E981:E982"/>
    <mergeCell ref="F981:F982"/>
    <mergeCell ref="G981:G982"/>
    <mergeCell ref="C983:C984"/>
    <mergeCell ref="D983:D984"/>
    <mergeCell ref="E983:E984"/>
    <mergeCell ref="C977:C978"/>
    <mergeCell ref="D977:D978"/>
    <mergeCell ref="C979:C980"/>
    <mergeCell ref="D979:D980"/>
    <mergeCell ref="C981:C982"/>
    <mergeCell ref="D981:D982"/>
    <mergeCell ref="C985:C986"/>
    <mergeCell ref="G970:G971"/>
    <mergeCell ref="F973:F974"/>
    <mergeCell ref="G973:G974"/>
    <mergeCell ref="F975:F976"/>
    <mergeCell ref="G975:G976"/>
    <mergeCell ref="B964:B971"/>
    <mergeCell ref="C968:C969"/>
    <mergeCell ref="D968:D969"/>
    <mergeCell ref="E968:E969"/>
    <mergeCell ref="F968:F969"/>
    <mergeCell ref="G968:G969"/>
    <mergeCell ref="C970:C971"/>
    <mergeCell ref="A929:A935"/>
    <mergeCell ref="D970:D971"/>
    <mergeCell ref="E970:E971"/>
    <mergeCell ref="B972:D972"/>
    <mergeCell ref="C973:C974"/>
    <mergeCell ref="D973:D974"/>
    <mergeCell ref="E973:E974"/>
    <mergeCell ref="C975:C976"/>
    <mergeCell ref="D975:D976"/>
    <mergeCell ref="E975:E976"/>
    <mergeCell ref="B973:B988"/>
    <mergeCell ref="F947:K947"/>
    <mergeCell ref="K936:K937"/>
    <mergeCell ref="C960:C961"/>
    <mergeCell ref="D960:D961"/>
    <mergeCell ref="E960:E961"/>
    <mergeCell ref="F960:F961"/>
    <mergeCell ref="G960:G961"/>
    <mergeCell ref="B963:D963"/>
    <mergeCell ref="C950:C951"/>
    <mergeCell ref="G942:G943"/>
    <mergeCell ref="C942:C943"/>
    <mergeCell ref="C944:C945"/>
    <mergeCell ref="D944:D945"/>
    <mergeCell ref="E944:E945"/>
    <mergeCell ref="F944:F945"/>
    <mergeCell ref="G944:G945"/>
    <mergeCell ref="B947:D947"/>
    <mergeCell ref="E950:E951"/>
    <mergeCell ref="F950:F951"/>
    <mergeCell ref="C948:C949"/>
    <mergeCell ref="D948:D949"/>
    <mergeCell ref="A360:A375"/>
    <mergeCell ref="B298:B301"/>
    <mergeCell ref="B308:B309"/>
    <mergeCell ref="B311:B323"/>
    <mergeCell ref="B325:B343"/>
    <mergeCell ref="B345:B358"/>
    <mergeCell ref="B376:B381"/>
    <mergeCell ref="B360:B374"/>
    <mergeCell ref="C372:C373"/>
    <mergeCell ref="B387:B388"/>
    <mergeCell ref="B390:B397"/>
    <mergeCell ref="B399:B409"/>
    <mergeCell ref="B411:B422"/>
    <mergeCell ref="B424:B435"/>
    <mergeCell ref="B437:B450"/>
    <mergeCell ref="B452:B457"/>
    <mergeCell ref="F970:F971"/>
    <mergeCell ref="B464:B465"/>
    <mergeCell ref="B467:B468"/>
    <mergeCell ref="B470:B484"/>
    <mergeCell ref="B486:B500"/>
    <mergeCell ref="B502:B522"/>
    <mergeCell ref="B524:B535"/>
    <mergeCell ref="B541:B542"/>
    <mergeCell ref="B544:B547"/>
    <mergeCell ref="B549:B564"/>
    <mergeCell ref="B566:B579"/>
    <mergeCell ref="B581:B594"/>
    <mergeCell ref="B596:B607"/>
    <mergeCell ref="B609:B612"/>
    <mergeCell ref="B621:B634"/>
    <mergeCell ref="B636:B654"/>
    <mergeCell ref="A234:A247"/>
    <mergeCell ref="A248:A256"/>
    <mergeCell ref="A257:A267"/>
    <mergeCell ref="A268:A283"/>
    <mergeCell ref="B211:B222"/>
    <mergeCell ref="B231:B232"/>
    <mergeCell ref="B234:B245"/>
    <mergeCell ref="B248:B255"/>
    <mergeCell ref="B257:B266"/>
    <mergeCell ref="B268:B282"/>
    <mergeCell ref="B284:B296"/>
    <mergeCell ref="A284:A297"/>
    <mergeCell ref="A298:A301"/>
    <mergeCell ref="A308:A309"/>
    <mergeCell ref="A311:A324"/>
    <mergeCell ref="A325:A344"/>
    <mergeCell ref="A345:A359"/>
    <mergeCell ref="B223:D223"/>
    <mergeCell ref="C231:C232"/>
    <mergeCell ref="C234:C235"/>
    <mergeCell ref="D234:D235"/>
    <mergeCell ref="C236:C237"/>
    <mergeCell ref="D236:D237"/>
    <mergeCell ref="C238:C239"/>
    <mergeCell ref="D238:D239"/>
    <mergeCell ref="D268:D269"/>
    <mergeCell ref="D270:D271"/>
    <mergeCell ref="D272:D273"/>
    <mergeCell ref="D274:D275"/>
    <mergeCell ref="D276:D277"/>
    <mergeCell ref="D278:D279"/>
    <mergeCell ref="D280:D281"/>
    <mergeCell ref="A142:A149"/>
    <mergeCell ref="B142:B149"/>
    <mergeCell ref="A155:A156"/>
    <mergeCell ref="B155:B156"/>
    <mergeCell ref="A158:A174"/>
    <mergeCell ref="B158:B173"/>
    <mergeCell ref="A175:A186"/>
    <mergeCell ref="B175:B185"/>
    <mergeCell ref="A187:A197"/>
    <mergeCell ref="B187:B196"/>
    <mergeCell ref="B198:B209"/>
    <mergeCell ref="A198:A210"/>
    <mergeCell ref="A211:A223"/>
    <mergeCell ref="A231:A232"/>
    <mergeCell ref="B186:D186"/>
    <mergeCell ref="C187:C188"/>
    <mergeCell ref="D187:D188"/>
    <mergeCell ref="C189:C190"/>
    <mergeCell ref="D189:D190"/>
    <mergeCell ref="D170:D171"/>
    <mergeCell ref="C172:C173"/>
    <mergeCell ref="C175:C176"/>
    <mergeCell ref="D175:D176"/>
    <mergeCell ref="C177:C178"/>
    <mergeCell ref="D177:D178"/>
    <mergeCell ref="C179:C180"/>
    <mergeCell ref="D179:D180"/>
    <mergeCell ref="D181:D182"/>
    <mergeCell ref="D183:D184"/>
    <mergeCell ref="C148:C149"/>
    <mergeCell ref="C155:C156"/>
    <mergeCell ref="C158:C159"/>
    <mergeCell ref="K698:K699"/>
    <mergeCell ref="K700:K701"/>
    <mergeCell ref="K702:K703"/>
    <mergeCell ref="K704:K705"/>
    <mergeCell ref="K714:K715"/>
    <mergeCell ref="F760:F761"/>
    <mergeCell ref="G760:G761"/>
    <mergeCell ref="F762:F763"/>
    <mergeCell ref="G762:G763"/>
    <mergeCell ref="F764:F765"/>
    <mergeCell ref="G764:G765"/>
    <mergeCell ref="C756:C757"/>
    <mergeCell ref="C758:C759"/>
    <mergeCell ref="D758:D759"/>
    <mergeCell ref="E758:E759"/>
    <mergeCell ref="F758:F759"/>
    <mergeCell ref="G758:G759"/>
    <mergeCell ref="C760:C761"/>
    <mergeCell ref="D760:D761"/>
    <mergeCell ref="E760:E761"/>
    <mergeCell ref="C762:C763"/>
    <mergeCell ref="D762:D763"/>
    <mergeCell ref="E762:E763"/>
    <mergeCell ref="D764:D765"/>
    <mergeCell ref="E764:E765"/>
    <mergeCell ref="K716:K717"/>
    <mergeCell ref="K718:K719"/>
    <mergeCell ref="K720:K721"/>
    <mergeCell ref="K722:K723"/>
    <mergeCell ref="K724:K725"/>
    <mergeCell ref="K726:K727"/>
    <mergeCell ref="K743:K744"/>
    <mergeCell ref="C752:C753"/>
    <mergeCell ref="D752:D753"/>
    <mergeCell ref="E752:E753"/>
    <mergeCell ref="F752:F753"/>
    <mergeCell ref="G752:G753"/>
    <mergeCell ref="E756:E757"/>
    <mergeCell ref="F756:F757"/>
    <mergeCell ref="C754:C755"/>
    <mergeCell ref="D754:D755"/>
    <mergeCell ref="E754:E755"/>
    <mergeCell ref="F754:F755"/>
    <mergeCell ref="G754:G755"/>
    <mergeCell ref="D756:D757"/>
    <mergeCell ref="G756:G757"/>
    <mergeCell ref="F728:K728"/>
    <mergeCell ref="K706:K707"/>
    <mergeCell ref="K708:K709"/>
    <mergeCell ref="K712:K713"/>
    <mergeCell ref="K745:K746"/>
    <mergeCell ref="K748:K749"/>
    <mergeCell ref="K750:K751"/>
    <mergeCell ref="K752:K753"/>
    <mergeCell ref="K729:K730"/>
    <mergeCell ref="K731:K732"/>
    <mergeCell ref="K733:K734"/>
    <mergeCell ref="K735:K736"/>
    <mergeCell ref="K737:K738"/>
    <mergeCell ref="K739:K740"/>
    <mergeCell ref="K741:K742"/>
    <mergeCell ref="F747:K747"/>
    <mergeCell ref="C750:C751"/>
    <mergeCell ref="D750:D751"/>
    <mergeCell ref="E646:E647"/>
    <mergeCell ref="F646:F647"/>
    <mergeCell ref="C644:C645"/>
    <mergeCell ref="D644:D645"/>
    <mergeCell ref="E644:E645"/>
    <mergeCell ref="F644:F645"/>
    <mergeCell ref="G644:G645"/>
    <mergeCell ref="D646:D647"/>
    <mergeCell ref="G646:G647"/>
    <mergeCell ref="F650:F651"/>
    <mergeCell ref="G650:G651"/>
    <mergeCell ref="F652:F653"/>
    <mergeCell ref="G652:G653"/>
    <mergeCell ref="C646:C647"/>
    <mergeCell ref="C648:C649"/>
    <mergeCell ref="D648:D649"/>
    <mergeCell ref="E648:E649"/>
    <mergeCell ref="F648:F649"/>
    <mergeCell ref="G648:G649"/>
    <mergeCell ref="C650:C651"/>
    <mergeCell ref="D642:D643"/>
    <mergeCell ref="E642:E643"/>
    <mergeCell ref="C636:C637"/>
    <mergeCell ref="D636:D637"/>
    <mergeCell ref="E636:E637"/>
    <mergeCell ref="F636:F637"/>
    <mergeCell ref="G636:G637"/>
    <mergeCell ref="D638:D639"/>
    <mergeCell ref="G638:G639"/>
    <mergeCell ref="F642:F643"/>
    <mergeCell ref="G642:G643"/>
    <mergeCell ref="C638:C639"/>
    <mergeCell ref="C640:C641"/>
    <mergeCell ref="D640:D641"/>
    <mergeCell ref="E640:E641"/>
    <mergeCell ref="F640:F641"/>
    <mergeCell ref="G640:G641"/>
    <mergeCell ref="C642:C643"/>
    <mergeCell ref="E631:E632"/>
    <mergeCell ref="F631:F632"/>
    <mergeCell ref="C629:C630"/>
    <mergeCell ref="D629:D630"/>
    <mergeCell ref="E629:E630"/>
    <mergeCell ref="F629:F630"/>
    <mergeCell ref="G629:G630"/>
    <mergeCell ref="D631:D632"/>
    <mergeCell ref="G631:G632"/>
    <mergeCell ref="C631:C632"/>
    <mergeCell ref="C633:C634"/>
    <mergeCell ref="D633:D634"/>
    <mergeCell ref="E633:E634"/>
    <mergeCell ref="F633:F634"/>
    <mergeCell ref="G633:G634"/>
    <mergeCell ref="B635:D635"/>
    <mergeCell ref="E638:E639"/>
    <mergeCell ref="F638:F639"/>
    <mergeCell ref="E623:E624"/>
    <mergeCell ref="F623:F624"/>
    <mergeCell ref="D627:D628"/>
    <mergeCell ref="E627:E628"/>
    <mergeCell ref="F627:F628"/>
    <mergeCell ref="G627:G628"/>
    <mergeCell ref="C621:C622"/>
    <mergeCell ref="D621:D622"/>
    <mergeCell ref="E621:E622"/>
    <mergeCell ref="F621:F622"/>
    <mergeCell ref="G621:G622"/>
    <mergeCell ref="D623:D624"/>
    <mergeCell ref="G623:G624"/>
    <mergeCell ref="C623:C624"/>
    <mergeCell ref="C625:C626"/>
    <mergeCell ref="D625:D626"/>
    <mergeCell ref="E625:E626"/>
    <mergeCell ref="F625:F626"/>
    <mergeCell ref="G625:G626"/>
    <mergeCell ref="C627:C628"/>
    <mergeCell ref="B608:D608"/>
    <mergeCell ref="D609:D610"/>
    <mergeCell ref="G609:G610"/>
    <mergeCell ref="C596:C597"/>
    <mergeCell ref="D596:D597"/>
    <mergeCell ref="C598:C599"/>
    <mergeCell ref="D598:D599"/>
    <mergeCell ref="C600:C601"/>
    <mergeCell ref="D600:D601"/>
    <mergeCell ref="D602:D603"/>
    <mergeCell ref="F611:F612"/>
    <mergeCell ref="G611:G612"/>
    <mergeCell ref="C602:C603"/>
    <mergeCell ref="C604:C605"/>
    <mergeCell ref="C606:C607"/>
    <mergeCell ref="C609:C610"/>
    <mergeCell ref="C611:C612"/>
    <mergeCell ref="D611:D612"/>
    <mergeCell ref="E611:E612"/>
    <mergeCell ref="F606:F607"/>
    <mergeCell ref="G606:G607"/>
    <mergeCell ref="E600:E601"/>
    <mergeCell ref="F609:F610"/>
    <mergeCell ref="F600:F601"/>
    <mergeCell ref="G600:G601"/>
    <mergeCell ref="E596:E597"/>
    <mergeCell ref="F596:F597"/>
    <mergeCell ref="G596:G597"/>
    <mergeCell ref="E598:E599"/>
    <mergeCell ref="F598:F599"/>
    <mergeCell ref="G598:G599"/>
    <mergeCell ref="C581:C582"/>
    <mergeCell ref="D581:D582"/>
    <mergeCell ref="C583:C584"/>
    <mergeCell ref="D583:D584"/>
    <mergeCell ref="C585:C586"/>
    <mergeCell ref="D585:D586"/>
    <mergeCell ref="D593:D594"/>
    <mergeCell ref="B595:D595"/>
    <mergeCell ref="C587:C588"/>
    <mergeCell ref="D587:D588"/>
    <mergeCell ref="C589:C590"/>
    <mergeCell ref="D589:D590"/>
    <mergeCell ref="C591:C592"/>
    <mergeCell ref="D591:D592"/>
    <mergeCell ref="C593:C594"/>
    <mergeCell ref="D604:D605"/>
    <mergeCell ref="D606:D607"/>
    <mergeCell ref="B565:D565"/>
    <mergeCell ref="D566:D567"/>
    <mergeCell ref="D568:D569"/>
    <mergeCell ref="D570:D571"/>
    <mergeCell ref="D572:D573"/>
    <mergeCell ref="D574:D575"/>
    <mergeCell ref="D576:D577"/>
    <mergeCell ref="D578:D579"/>
    <mergeCell ref="B580:D580"/>
    <mergeCell ref="C555:C556"/>
    <mergeCell ref="D555:D556"/>
    <mergeCell ref="C557:C558"/>
    <mergeCell ref="D557:D558"/>
    <mergeCell ref="D559:D560"/>
    <mergeCell ref="D561:D562"/>
    <mergeCell ref="D563:D564"/>
    <mergeCell ref="C559:C560"/>
    <mergeCell ref="C566:C567"/>
    <mergeCell ref="C568:C569"/>
    <mergeCell ref="C570:C571"/>
    <mergeCell ref="C572:C573"/>
    <mergeCell ref="C574:C575"/>
    <mergeCell ref="C576:C577"/>
    <mergeCell ref="C578:C579"/>
    <mergeCell ref="C512:C513"/>
    <mergeCell ref="D512:D513"/>
    <mergeCell ref="C514:C515"/>
    <mergeCell ref="D514:D515"/>
    <mergeCell ref="C516:C517"/>
    <mergeCell ref="D516:D517"/>
    <mergeCell ref="C518:C519"/>
    <mergeCell ref="D518:D519"/>
    <mergeCell ref="C520:C521"/>
    <mergeCell ref="D520:D521"/>
    <mergeCell ref="B523:D523"/>
    <mergeCell ref="C524:C525"/>
    <mergeCell ref="D524:D525"/>
    <mergeCell ref="C546:C547"/>
    <mergeCell ref="C549:C550"/>
    <mergeCell ref="D549:D550"/>
    <mergeCell ref="C551:C552"/>
    <mergeCell ref="D551:D552"/>
    <mergeCell ref="C532:C533"/>
    <mergeCell ref="C534:C535"/>
    <mergeCell ref="C541:C542"/>
    <mergeCell ref="C544:C545"/>
    <mergeCell ref="D544:D545"/>
    <mergeCell ref="D546:D547"/>
    <mergeCell ref="B548:D548"/>
    <mergeCell ref="C526:C527"/>
    <mergeCell ref="D526:D527"/>
    <mergeCell ref="C528:C529"/>
    <mergeCell ref="D528:D529"/>
    <mergeCell ref="C530:C531"/>
    <mergeCell ref="D530:D531"/>
    <mergeCell ref="D532:D533"/>
    <mergeCell ref="C480:C481"/>
    <mergeCell ref="D480:D481"/>
    <mergeCell ref="C482:C483"/>
    <mergeCell ref="D482:D483"/>
    <mergeCell ref="B485:D485"/>
    <mergeCell ref="C486:C487"/>
    <mergeCell ref="D486:D487"/>
    <mergeCell ref="D496:D497"/>
    <mergeCell ref="D498:D499"/>
    <mergeCell ref="B501:D501"/>
    <mergeCell ref="D502:D503"/>
    <mergeCell ref="D504:D505"/>
    <mergeCell ref="D506:D507"/>
    <mergeCell ref="D508:D509"/>
    <mergeCell ref="D510:D511"/>
    <mergeCell ref="C488:C489"/>
    <mergeCell ref="D488:D489"/>
    <mergeCell ref="C490:C491"/>
    <mergeCell ref="D490:D491"/>
    <mergeCell ref="C492:C493"/>
    <mergeCell ref="D492:D493"/>
    <mergeCell ref="D494:D495"/>
    <mergeCell ref="C494:C495"/>
    <mergeCell ref="C496:C497"/>
    <mergeCell ref="C498:C499"/>
    <mergeCell ref="C502:C503"/>
    <mergeCell ref="C504:C505"/>
    <mergeCell ref="C506:C507"/>
    <mergeCell ref="C508:C509"/>
    <mergeCell ref="C510:C511"/>
    <mergeCell ref="C553:C554"/>
    <mergeCell ref="D553:D554"/>
    <mergeCell ref="C561:C562"/>
    <mergeCell ref="C563:C564"/>
    <mergeCell ref="C954:C955"/>
    <mergeCell ref="C958:C959"/>
    <mergeCell ref="D958:D959"/>
    <mergeCell ref="E958:E959"/>
    <mergeCell ref="E942:E943"/>
    <mergeCell ref="F942:F943"/>
    <mergeCell ref="C940:C941"/>
    <mergeCell ref="D940:D941"/>
    <mergeCell ref="E940:E941"/>
    <mergeCell ref="F940:F941"/>
    <mergeCell ref="C938:C939"/>
    <mergeCell ref="D938:D939"/>
    <mergeCell ref="E938:E939"/>
    <mergeCell ref="F938:F939"/>
    <mergeCell ref="F913:F914"/>
    <mergeCell ref="C926:C927"/>
    <mergeCell ref="D926:E926"/>
    <mergeCell ref="F926:F927"/>
    <mergeCell ref="E894:E895"/>
    <mergeCell ref="C896:C897"/>
    <mergeCell ref="E896:E897"/>
    <mergeCell ref="D896:D897"/>
    <mergeCell ref="B899:D899"/>
    <mergeCell ref="C900:C901"/>
    <mergeCell ref="D900:D901"/>
    <mergeCell ref="E900:E901"/>
    <mergeCell ref="F900:F901"/>
    <mergeCell ref="B883:D883"/>
    <mergeCell ref="E948:E949"/>
    <mergeCell ref="F948:F949"/>
    <mergeCell ref="G948:G949"/>
    <mergeCell ref="D950:D951"/>
    <mergeCell ref="G950:G951"/>
    <mergeCell ref="G938:G939"/>
    <mergeCell ref="B929:B934"/>
    <mergeCell ref="D964:D965"/>
    <mergeCell ref="E964:E965"/>
    <mergeCell ref="F964:F965"/>
    <mergeCell ref="G964:G965"/>
    <mergeCell ref="C966:C967"/>
    <mergeCell ref="D966:D967"/>
    <mergeCell ref="G966:G967"/>
    <mergeCell ref="F958:F959"/>
    <mergeCell ref="G958:G959"/>
    <mergeCell ref="C964:C965"/>
    <mergeCell ref="C952:C953"/>
    <mergeCell ref="D952:D953"/>
    <mergeCell ref="E952:E953"/>
    <mergeCell ref="F952:F953"/>
    <mergeCell ref="G952:G953"/>
    <mergeCell ref="G956:G957"/>
    <mergeCell ref="E966:E967"/>
    <mergeCell ref="F966:F967"/>
    <mergeCell ref="D954:D955"/>
    <mergeCell ref="E954:E955"/>
    <mergeCell ref="F954:F955"/>
    <mergeCell ref="G954:G955"/>
    <mergeCell ref="C956:C957"/>
    <mergeCell ref="D956:D957"/>
    <mergeCell ref="E956:E957"/>
    <mergeCell ref="F956:F957"/>
    <mergeCell ref="F929:F930"/>
    <mergeCell ref="G929:G930"/>
    <mergeCell ref="G940:G941"/>
    <mergeCell ref="D942:D943"/>
    <mergeCell ref="G913:G914"/>
    <mergeCell ref="F915:F916"/>
    <mergeCell ref="G915:G916"/>
    <mergeCell ref="F917:F918"/>
    <mergeCell ref="G917:G918"/>
    <mergeCell ref="C910:C911"/>
    <mergeCell ref="D910:D911"/>
    <mergeCell ref="E910:E911"/>
    <mergeCell ref="F910:F911"/>
    <mergeCell ref="G910:G911"/>
    <mergeCell ref="B912:D912"/>
    <mergeCell ref="C913:C914"/>
    <mergeCell ref="C917:C918"/>
    <mergeCell ref="C919:C920"/>
    <mergeCell ref="D919:D920"/>
    <mergeCell ref="E919:E920"/>
    <mergeCell ref="F919:F920"/>
    <mergeCell ref="G919:G920"/>
    <mergeCell ref="D913:D914"/>
    <mergeCell ref="E913:E914"/>
    <mergeCell ref="C915:C916"/>
    <mergeCell ref="D915:D916"/>
    <mergeCell ref="E915:E916"/>
    <mergeCell ref="D917:D918"/>
    <mergeCell ref="E917:E918"/>
    <mergeCell ref="G926:G927"/>
    <mergeCell ref="C929:C930"/>
    <mergeCell ref="D929:D930"/>
    <mergeCell ref="E929:E930"/>
    <mergeCell ref="F936:F937"/>
    <mergeCell ref="G936:G937"/>
    <mergeCell ref="C933:C934"/>
    <mergeCell ref="D933:D934"/>
    <mergeCell ref="E933:E934"/>
    <mergeCell ref="F933:F934"/>
    <mergeCell ref="C931:C932"/>
    <mergeCell ref="D931:D932"/>
    <mergeCell ref="E931:E932"/>
    <mergeCell ref="F931:F932"/>
    <mergeCell ref="G931:G932"/>
    <mergeCell ref="B935:D935"/>
    <mergeCell ref="C936:C937"/>
    <mergeCell ref="G933:G934"/>
    <mergeCell ref="D936:D937"/>
    <mergeCell ref="E936:E937"/>
    <mergeCell ref="D908:D909"/>
    <mergeCell ref="E908:E909"/>
    <mergeCell ref="E888:E889"/>
    <mergeCell ref="F888:F889"/>
    <mergeCell ref="C886:C887"/>
    <mergeCell ref="D886:D887"/>
    <mergeCell ref="E886:E887"/>
    <mergeCell ref="F886:F887"/>
    <mergeCell ref="G886:G887"/>
    <mergeCell ref="C888:C889"/>
    <mergeCell ref="D888:D889"/>
    <mergeCell ref="F908:F909"/>
    <mergeCell ref="G908:G909"/>
    <mergeCell ref="C904:C905"/>
    <mergeCell ref="C906:C907"/>
    <mergeCell ref="D906:D907"/>
    <mergeCell ref="E906:E907"/>
    <mergeCell ref="F906:F907"/>
    <mergeCell ref="G906:G907"/>
    <mergeCell ref="C908:C909"/>
    <mergeCell ref="C884:C885"/>
    <mergeCell ref="D884:D885"/>
    <mergeCell ref="E884:E885"/>
    <mergeCell ref="F884:F885"/>
    <mergeCell ref="G884:G885"/>
    <mergeCell ref="E904:E905"/>
    <mergeCell ref="F904:F905"/>
    <mergeCell ref="C902:C903"/>
    <mergeCell ref="D902:D903"/>
    <mergeCell ref="E902:E903"/>
    <mergeCell ref="F902:F903"/>
    <mergeCell ref="G902:G903"/>
    <mergeCell ref="D904:D905"/>
    <mergeCell ref="G904:G905"/>
    <mergeCell ref="F892:F893"/>
    <mergeCell ref="G892:G893"/>
    <mergeCell ref="F894:F895"/>
    <mergeCell ref="G894:G895"/>
    <mergeCell ref="F896:F897"/>
    <mergeCell ref="G896:G897"/>
    <mergeCell ref="C890:C891"/>
    <mergeCell ref="D890:D891"/>
    <mergeCell ref="E890:E891"/>
    <mergeCell ref="F890:F891"/>
    <mergeCell ref="G890:G891"/>
    <mergeCell ref="C892:C893"/>
    <mergeCell ref="G888:G889"/>
    <mergeCell ref="D892:D893"/>
    <mergeCell ref="E892:E893"/>
    <mergeCell ref="C894:C895"/>
    <mergeCell ref="D894:D895"/>
    <mergeCell ref="G900:G901"/>
    <mergeCell ref="F877:F878"/>
    <mergeCell ref="G877:G878"/>
    <mergeCell ref="F879:F880"/>
    <mergeCell ref="G879:G880"/>
    <mergeCell ref="F881:F882"/>
    <mergeCell ref="G881:G882"/>
    <mergeCell ref="C873:C874"/>
    <mergeCell ref="C875:C876"/>
    <mergeCell ref="D875:D876"/>
    <mergeCell ref="E875:E876"/>
    <mergeCell ref="F875:F876"/>
    <mergeCell ref="G875:G876"/>
    <mergeCell ref="C877:C878"/>
    <mergeCell ref="D877:D878"/>
    <mergeCell ref="E877:E878"/>
    <mergeCell ref="C879:C880"/>
    <mergeCell ref="D879:D880"/>
    <mergeCell ref="E879:E880"/>
    <mergeCell ref="C881:C882"/>
    <mergeCell ref="E881:E882"/>
    <mergeCell ref="D881:D882"/>
    <mergeCell ref="F869:F870"/>
    <mergeCell ref="G869:G870"/>
    <mergeCell ref="F871:F872"/>
    <mergeCell ref="G871:G872"/>
    <mergeCell ref="F873:F874"/>
    <mergeCell ref="G873:G874"/>
    <mergeCell ref="C866:C867"/>
    <mergeCell ref="D866:D867"/>
    <mergeCell ref="E866:E867"/>
    <mergeCell ref="F866:F867"/>
    <mergeCell ref="G866:G867"/>
    <mergeCell ref="B868:D868"/>
    <mergeCell ref="C869:C870"/>
    <mergeCell ref="D869:D870"/>
    <mergeCell ref="E869:E870"/>
    <mergeCell ref="C871:C872"/>
    <mergeCell ref="D871:D872"/>
    <mergeCell ref="E871:E872"/>
    <mergeCell ref="D873:D874"/>
    <mergeCell ref="E873:E874"/>
    <mergeCell ref="F868:K868"/>
    <mergeCell ref="E864:E865"/>
    <mergeCell ref="F864:F865"/>
    <mergeCell ref="C862:C863"/>
    <mergeCell ref="D862:D863"/>
    <mergeCell ref="E862:E863"/>
    <mergeCell ref="F862:F863"/>
    <mergeCell ref="G862:G863"/>
    <mergeCell ref="C864:C865"/>
    <mergeCell ref="D864:D865"/>
    <mergeCell ref="G864:G865"/>
    <mergeCell ref="D858:D859"/>
    <mergeCell ref="E858:E859"/>
    <mergeCell ref="C860:C861"/>
    <mergeCell ref="D860:D861"/>
    <mergeCell ref="E860:E861"/>
    <mergeCell ref="F860:F861"/>
    <mergeCell ref="G860:G861"/>
    <mergeCell ref="D827:D828"/>
    <mergeCell ref="E827:E828"/>
    <mergeCell ref="E839:E840"/>
    <mergeCell ref="F839:F840"/>
    <mergeCell ref="C837:C838"/>
    <mergeCell ref="D837:D838"/>
    <mergeCell ref="E837:E838"/>
    <mergeCell ref="F837:F838"/>
    <mergeCell ref="G837:G838"/>
    <mergeCell ref="D839:D840"/>
    <mergeCell ref="G839:G840"/>
    <mergeCell ref="F858:F859"/>
    <mergeCell ref="G858:G859"/>
    <mergeCell ref="C854:C855"/>
    <mergeCell ref="D854:D855"/>
    <mergeCell ref="E854:E855"/>
    <mergeCell ref="F854:F855"/>
    <mergeCell ref="G854:G855"/>
    <mergeCell ref="B857:D857"/>
    <mergeCell ref="C858:C859"/>
    <mergeCell ref="C849:C850"/>
    <mergeCell ref="G849:G850"/>
    <mergeCell ref="D849:E849"/>
    <mergeCell ref="F849:F850"/>
    <mergeCell ref="C852:C853"/>
    <mergeCell ref="D852:D853"/>
    <mergeCell ref="E852:E853"/>
    <mergeCell ref="F852:F853"/>
    <mergeCell ref="G852:G853"/>
    <mergeCell ref="F827:F828"/>
    <mergeCell ref="G827:G828"/>
    <mergeCell ref="C839:C840"/>
    <mergeCell ref="E815:E816"/>
    <mergeCell ref="F815:F816"/>
    <mergeCell ref="C813:C814"/>
    <mergeCell ref="D813:D814"/>
    <mergeCell ref="E813:E814"/>
    <mergeCell ref="F813:F814"/>
    <mergeCell ref="G813:G814"/>
    <mergeCell ref="D815:D816"/>
    <mergeCell ref="G815:G816"/>
    <mergeCell ref="C815:C816"/>
    <mergeCell ref="C817:C818"/>
    <mergeCell ref="D817:D818"/>
    <mergeCell ref="E817:E818"/>
    <mergeCell ref="F817:F818"/>
    <mergeCell ref="G817:G818"/>
    <mergeCell ref="B820:D820"/>
    <mergeCell ref="E823:E824"/>
    <mergeCell ref="F823:F824"/>
    <mergeCell ref="C821:C822"/>
    <mergeCell ref="D821:D822"/>
    <mergeCell ref="E821:E822"/>
    <mergeCell ref="F821:F822"/>
    <mergeCell ref="G821:G822"/>
    <mergeCell ref="D823:D824"/>
    <mergeCell ref="G823:G824"/>
    <mergeCell ref="C823:C824"/>
    <mergeCell ref="D811:D812"/>
    <mergeCell ref="E811:E812"/>
    <mergeCell ref="F811:F812"/>
    <mergeCell ref="G811:G812"/>
    <mergeCell ref="C807:C808"/>
    <mergeCell ref="C809:C810"/>
    <mergeCell ref="D809:D810"/>
    <mergeCell ref="E809:E810"/>
    <mergeCell ref="F809:F810"/>
    <mergeCell ref="G809:G810"/>
    <mergeCell ref="C811:C812"/>
    <mergeCell ref="C802:C803"/>
    <mergeCell ref="D802:D803"/>
    <mergeCell ref="E802:E803"/>
    <mergeCell ref="F802:F803"/>
    <mergeCell ref="G802:G803"/>
    <mergeCell ref="C804:C805"/>
    <mergeCell ref="C796:C797"/>
    <mergeCell ref="D796:D797"/>
    <mergeCell ref="E796:E797"/>
    <mergeCell ref="C798:C799"/>
    <mergeCell ref="D798:D799"/>
    <mergeCell ref="E798:E799"/>
    <mergeCell ref="D800:D801"/>
    <mergeCell ref="E800:E801"/>
    <mergeCell ref="D784:D785"/>
    <mergeCell ref="E784:E785"/>
    <mergeCell ref="F784:F785"/>
    <mergeCell ref="G784:G785"/>
    <mergeCell ref="C786:C787"/>
    <mergeCell ref="C800:C801"/>
    <mergeCell ref="D786:D787"/>
    <mergeCell ref="E786:E787"/>
    <mergeCell ref="C788:C789"/>
    <mergeCell ref="D788:D789"/>
    <mergeCell ref="E788:E789"/>
    <mergeCell ref="B790:D790"/>
    <mergeCell ref="F777:F778"/>
    <mergeCell ref="G777:G778"/>
    <mergeCell ref="B779:D779"/>
    <mergeCell ref="E782:E783"/>
    <mergeCell ref="F782:F783"/>
    <mergeCell ref="C780:C781"/>
    <mergeCell ref="D780:D781"/>
    <mergeCell ref="E780:E781"/>
    <mergeCell ref="F780:F781"/>
    <mergeCell ref="G780:G781"/>
    <mergeCell ref="D782:D783"/>
    <mergeCell ref="G782:G783"/>
    <mergeCell ref="D804:D805"/>
    <mergeCell ref="E804:E805"/>
    <mergeCell ref="B806:D806"/>
    <mergeCell ref="D807:D808"/>
    <mergeCell ref="E807:E808"/>
    <mergeCell ref="F807:F808"/>
    <mergeCell ref="G807:G808"/>
    <mergeCell ref="D791:D792"/>
    <mergeCell ref="E791:E792"/>
    <mergeCell ref="F791:F792"/>
    <mergeCell ref="G791:G792"/>
    <mergeCell ref="C791:C792"/>
    <mergeCell ref="F796:F797"/>
    <mergeCell ref="G796:G797"/>
    <mergeCell ref="G800:G801"/>
    <mergeCell ref="C793:C794"/>
    <mergeCell ref="D793:D794"/>
    <mergeCell ref="E793:E794"/>
    <mergeCell ref="F793:F794"/>
    <mergeCell ref="G793:G794"/>
    <mergeCell ref="F695:F696"/>
    <mergeCell ref="G695:G696"/>
    <mergeCell ref="D685:D686"/>
    <mergeCell ref="E685:E686"/>
    <mergeCell ref="C687:C688"/>
    <mergeCell ref="D687:D688"/>
    <mergeCell ref="E687:E688"/>
    <mergeCell ref="C695:C696"/>
    <mergeCell ref="D695:E695"/>
    <mergeCell ref="C700:C701"/>
    <mergeCell ref="C702:C703"/>
    <mergeCell ref="C782:C783"/>
    <mergeCell ref="C784:C785"/>
    <mergeCell ref="E750:E751"/>
    <mergeCell ref="F750:F751"/>
    <mergeCell ref="G750:G751"/>
    <mergeCell ref="D743:D744"/>
    <mergeCell ref="E743:E744"/>
    <mergeCell ref="C745:C746"/>
    <mergeCell ref="E775:E776"/>
    <mergeCell ref="F775:F776"/>
    <mergeCell ref="C764:C765"/>
    <mergeCell ref="C772:C773"/>
    <mergeCell ref="D772:E772"/>
    <mergeCell ref="F772:F773"/>
    <mergeCell ref="G772:G773"/>
    <mergeCell ref="D775:D776"/>
    <mergeCell ref="G775:G776"/>
    <mergeCell ref="C775:C776"/>
    <mergeCell ref="C777:C778"/>
    <mergeCell ref="D777:D778"/>
    <mergeCell ref="E777:E778"/>
    <mergeCell ref="C841:C842"/>
    <mergeCell ref="D841:D842"/>
    <mergeCell ref="E841:E842"/>
    <mergeCell ref="F841:F842"/>
    <mergeCell ref="G841:G842"/>
    <mergeCell ref="D831:D832"/>
    <mergeCell ref="G831:G832"/>
    <mergeCell ref="C831:C832"/>
    <mergeCell ref="C833:C834"/>
    <mergeCell ref="D833:D834"/>
    <mergeCell ref="E833:E834"/>
    <mergeCell ref="F833:F834"/>
    <mergeCell ref="G833:G834"/>
    <mergeCell ref="B836:D836"/>
    <mergeCell ref="F786:F787"/>
    <mergeCell ref="G786:G787"/>
    <mergeCell ref="F788:F789"/>
    <mergeCell ref="G788:G789"/>
    <mergeCell ref="C825:C826"/>
    <mergeCell ref="D825:D826"/>
    <mergeCell ref="E825:E826"/>
    <mergeCell ref="F825:F826"/>
    <mergeCell ref="G825:G826"/>
    <mergeCell ref="C827:C828"/>
    <mergeCell ref="E831:E832"/>
    <mergeCell ref="F831:F832"/>
    <mergeCell ref="C829:C830"/>
    <mergeCell ref="D829:D830"/>
    <mergeCell ref="E829:E830"/>
    <mergeCell ref="F829:F830"/>
    <mergeCell ref="G829:G830"/>
    <mergeCell ref="B795:D795"/>
    <mergeCell ref="F680:F681"/>
    <mergeCell ref="G680:G681"/>
    <mergeCell ref="C676:C677"/>
    <mergeCell ref="C678:C679"/>
    <mergeCell ref="D678:D679"/>
    <mergeCell ref="E678:E679"/>
    <mergeCell ref="F678:F679"/>
    <mergeCell ref="G678:G679"/>
    <mergeCell ref="C680:C681"/>
    <mergeCell ref="F685:F686"/>
    <mergeCell ref="G685:G686"/>
    <mergeCell ref="F687:F688"/>
    <mergeCell ref="G687:G688"/>
    <mergeCell ref="C682:C683"/>
    <mergeCell ref="D682:D683"/>
    <mergeCell ref="E682:E683"/>
    <mergeCell ref="F682:F683"/>
    <mergeCell ref="G682:G683"/>
    <mergeCell ref="B684:D684"/>
    <mergeCell ref="C685:C686"/>
    <mergeCell ref="B674:B683"/>
    <mergeCell ref="B685:B688"/>
    <mergeCell ref="C674:C675"/>
    <mergeCell ref="D674:D675"/>
    <mergeCell ref="E674:E675"/>
    <mergeCell ref="F674:F675"/>
    <mergeCell ref="G674:G675"/>
    <mergeCell ref="D676:D677"/>
    <mergeCell ref="G676:G677"/>
    <mergeCell ref="E676:E677"/>
    <mergeCell ref="F676:F677"/>
    <mergeCell ref="F684:K684"/>
    <mergeCell ref="D745:D746"/>
    <mergeCell ref="E745:E746"/>
    <mergeCell ref="B747:D747"/>
    <mergeCell ref="C748:C749"/>
    <mergeCell ref="E700:E701"/>
    <mergeCell ref="F700:F701"/>
    <mergeCell ref="C698:C699"/>
    <mergeCell ref="D698:D699"/>
    <mergeCell ref="E698:E699"/>
    <mergeCell ref="F698:F699"/>
    <mergeCell ref="G698:G699"/>
    <mergeCell ref="D700:D701"/>
    <mergeCell ref="G700:G701"/>
    <mergeCell ref="D748:D749"/>
    <mergeCell ref="E748:E749"/>
    <mergeCell ref="F748:F749"/>
    <mergeCell ref="G748:G749"/>
    <mergeCell ref="E739:E740"/>
    <mergeCell ref="F739:F740"/>
    <mergeCell ref="C737:C738"/>
    <mergeCell ref="D737:D738"/>
    <mergeCell ref="E737:E738"/>
    <mergeCell ref="F737:F738"/>
    <mergeCell ref="G737:G738"/>
    <mergeCell ref="D739:D740"/>
    <mergeCell ref="G739:G740"/>
    <mergeCell ref="F743:F744"/>
    <mergeCell ref="G743:G744"/>
    <mergeCell ref="F745:F746"/>
    <mergeCell ref="G745:G746"/>
    <mergeCell ref="C739:C740"/>
    <mergeCell ref="C741:C742"/>
    <mergeCell ref="C662:C663"/>
    <mergeCell ref="D662:D663"/>
    <mergeCell ref="E662:E663"/>
    <mergeCell ref="F662:F663"/>
    <mergeCell ref="G662:G663"/>
    <mergeCell ref="C664:C665"/>
    <mergeCell ref="D680:D681"/>
    <mergeCell ref="E680:E681"/>
    <mergeCell ref="E708:E709"/>
    <mergeCell ref="F708:F709"/>
    <mergeCell ref="D708:D709"/>
    <mergeCell ref="B711:D711"/>
    <mergeCell ref="C712:C713"/>
    <mergeCell ref="D712:D713"/>
    <mergeCell ref="E712:E713"/>
    <mergeCell ref="F712:F713"/>
    <mergeCell ref="G712:G713"/>
    <mergeCell ref="D702:D703"/>
    <mergeCell ref="E702:E703"/>
    <mergeCell ref="F702:F703"/>
    <mergeCell ref="G702:G703"/>
    <mergeCell ref="C704:C705"/>
    <mergeCell ref="D704:D705"/>
    <mergeCell ref="E704:E705"/>
    <mergeCell ref="F704:F705"/>
    <mergeCell ref="G704:G705"/>
    <mergeCell ref="C706:C707"/>
    <mergeCell ref="D706:D707"/>
    <mergeCell ref="E706:E707"/>
    <mergeCell ref="F706:F707"/>
    <mergeCell ref="G706:G707"/>
    <mergeCell ref="C708:C709"/>
    <mergeCell ref="D656:D657"/>
    <mergeCell ref="E656:E657"/>
    <mergeCell ref="F656:F657"/>
    <mergeCell ref="G656:G657"/>
    <mergeCell ref="D650:D651"/>
    <mergeCell ref="E650:E651"/>
    <mergeCell ref="C652:C653"/>
    <mergeCell ref="D652:D653"/>
    <mergeCell ref="E652:E653"/>
    <mergeCell ref="B655:D655"/>
    <mergeCell ref="C656:C657"/>
    <mergeCell ref="E660:E661"/>
    <mergeCell ref="F660:F661"/>
    <mergeCell ref="C658:C659"/>
    <mergeCell ref="D658:D659"/>
    <mergeCell ref="E658:E659"/>
    <mergeCell ref="F658:F659"/>
    <mergeCell ref="G658:G659"/>
    <mergeCell ref="D660:D661"/>
    <mergeCell ref="G660:G661"/>
    <mergeCell ref="C660:C661"/>
    <mergeCell ref="B656:B672"/>
    <mergeCell ref="D664:D665"/>
    <mergeCell ref="E664:E665"/>
    <mergeCell ref="C666:C667"/>
    <mergeCell ref="D666:D667"/>
    <mergeCell ref="E666:E667"/>
    <mergeCell ref="D668:D669"/>
    <mergeCell ref="E668:E669"/>
    <mergeCell ref="C668:C669"/>
    <mergeCell ref="C670:C671"/>
    <mergeCell ref="D670:D671"/>
    <mergeCell ref="E670:E671"/>
    <mergeCell ref="F670:F671"/>
    <mergeCell ref="G670:G671"/>
    <mergeCell ref="B673:D673"/>
    <mergeCell ref="F664:F665"/>
    <mergeCell ref="G664:G665"/>
    <mergeCell ref="F666:F667"/>
    <mergeCell ref="G666:G667"/>
    <mergeCell ref="F668:F669"/>
    <mergeCell ref="G668:G669"/>
    <mergeCell ref="E716:E717"/>
    <mergeCell ref="F716:F717"/>
    <mergeCell ref="D720:D721"/>
    <mergeCell ref="E720:E721"/>
    <mergeCell ref="G708:G709"/>
    <mergeCell ref="E731:E732"/>
    <mergeCell ref="F731:F732"/>
    <mergeCell ref="C729:C730"/>
    <mergeCell ref="F729:F730"/>
    <mergeCell ref="G729:G730"/>
    <mergeCell ref="D731:D732"/>
    <mergeCell ref="G731:G732"/>
    <mergeCell ref="C714:C715"/>
    <mergeCell ref="D714:D715"/>
    <mergeCell ref="E714:E715"/>
    <mergeCell ref="F714:F715"/>
    <mergeCell ref="G714:G715"/>
    <mergeCell ref="D716:D717"/>
    <mergeCell ref="G716:G717"/>
    <mergeCell ref="F720:F721"/>
    <mergeCell ref="G720:G721"/>
    <mergeCell ref="C716:C717"/>
    <mergeCell ref="D741:D742"/>
    <mergeCell ref="E741:E742"/>
    <mergeCell ref="F741:F742"/>
    <mergeCell ref="G741:G742"/>
    <mergeCell ref="C743:C744"/>
    <mergeCell ref="C726:C727"/>
    <mergeCell ref="D726:D727"/>
    <mergeCell ref="E726:E727"/>
    <mergeCell ref="F726:F727"/>
    <mergeCell ref="G726:G727"/>
    <mergeCell ref="B728:D728"/>
    <mergeCell ref="D735:D736"/>
    <mergeCell ref="E735:E736"/>
    <mergeCell ref="F735:F736"/>
    <mergeCell ref="G735:G736"/>
    <mergeCell ref="C731:C732"/>
    <mergeCell ref="C733:C734"/>
    <mergeCell ref="D733:D734"/>
    <mergeCell ref="E733:E734"/>
    <mergeCell ref="F733:F734"/>
    <mergeCell ref="G733:G734"/>
    <mergeCell ref="C735:C736"/>
    <mergeCell ref="D729:D730"/>
    <mergeCell ref="E729:E730"/>
    <mergeCell ref="C718:C719"/>
    <mergeCell ref="D718:D719"/>
    <mergeCell ref="E718:E719"/>
    <mergeCell ref="F718:F719"/>
    <mergeCell ref="G718:G719"/>
    <mergeCell ref="C720:C721"/>
    <mergeCell ref="E724:E725"/>
    <mergeCell ref="F724:F725"/>
    <mergeCell ref="C722:C723"/>
    <mergeCell ref="D722:D723"/>
    <mergeCell ref="E722:E723"/>
    <mergeCell ref="F722:F723"/>
    <mergeCell ref="G722:G723"/>
    <mergeCell ref="D724:D725"/>
    <mergeCell ref="G724:G725"/>
    <mergeCell ref="C724:C725"/>
    <mergeCell ref="E472:E473"/>
    <mergeCell ref="F472:F473"/>
    <mergeCell ref="G472:G473"/>
    <mergeCell ref="F478:F479"/>
    <mergeCell ref="G478:G479"/>
    <mergeCell ref="E474:E475"/>
    <mergeCell ref="F474:F475"/>
    <mergeCell ref="G474:G475"/>
    <mergeCell ref="E476:E477"/>
    <mergeCell ref="F476:F477"/>
    <mergeCell ref="G476:G477"/>
    <mergeCell ref="E478:E479"/>
    <mergeCell ref="F486:F487"/>
    <mergeCell ref="G486:G487"/>
    <mergeCell ref="E480:E481"/>
    <mergeCell ref="F480:F481"/>
    <mergeCell ref="G480:G481"/>
    <mergeCell ref="E482:E483"/>
    <mergeCell ref="F482:F483"/>
    <mergeCell ref="G482:G483"/>
    <mergeCell ref="E486:E487"/>
    <mergeCell ref="E445:E446"/>
    <mergeCell ref="F445:F446"/>
    <mergeCell ref="G445:G446"/>
    <mergeCell ref="E447:E448"/>
    <mergeCell ref="F447:F448"/>
    <mergeCell ref="G447:G448"/>
    <mergeCell ref="E449:E450"/>
    <mergeCell ref="F449:F450"/>
    <mergeCell ref="G449:G450"/>
    <mergeCell ref="D464:E464"/>
    <mergeCell ref="F464:F465"/>
    <mergeCell ref="G464:G465"/>
    <mergeCell ref="F467:F468"/>
    <mergeCell ref="G467:G468"/>
    <mergeCell ref="E467:E468"/>
    <mergeCell ref="E470:E471"/>
    <mergeCell ref="F470:F471"/>
    <mergeCell ref="G470:G471"/>
    <mergeCell ref="F469:K469"/>
    <mergeCell ref="K454:K455"/>
    <mergeCell ref="K456:K457"/>
    <mergeCell ref="H464:K464"/>
    <mergeCell ref="K452:K453"/>
    <mergeCell ref="K467:K468"/>
    <mergeCell ref="F485:K485"/>
    <mergeCell ref="K447:K448"/>
    <mergeCell ref="K449:K450"/>
    <mergeCell ref="E439:E440"/>
    <mergeCell ref="F439:F440"/>
    <mergeCell ref="G439:G440"/>
    <mergeCell ref="E441:E442"/>
    <mergeCell ref="F441:F442"/>
    <mergeCell ref="G441:G442"/>
    <mergeCell ref="E443:E444"/>
    <mergeCell ref="D387:E387"/>
    <mergeCell ref="F387:F388"/>
    <mergeCell ref="G387:G388"/>
    <mergeCell ref="F390:F391"/>
    <mergeCell ref="G390:G391"/>
    <mergeCell ref="E390:E391"/>
    <mergeCell ref="E392:E393"/>
    <mergeCell ref="F392:F393"/>
    <mergeCell ref="G392:G393"/>
    <mergeCell ref="E394:E395"/>
    <mergeCell ref="F394:F395"/>
    <mergeCell ref="G394:G395"/>
    <mergeCell ref="F401:F402"/>
    <mergeCell ref="G401:G402"/>
    <mergeCell ref="E396:E397"/>
    <mergeCell ref="F396:F397"/>
    <mergeCell ref="G396:G397"/>
    <mergeCell ref="E399:E400"/>
    <mergeCell ref="F399:F400"/>
    <mergeCell ref="G399:G400"/>
    <mergeCell ref="E401:E402"/>
    <mergeCell ref="E417:E418"/>
    <mergeCell ref="F417:F418"/>
    <mergeCell ref="D405:D406"/>
    <mergeCell ref="D407:D408"/>
    <mergeCell ref="F349:F350"/>
    <mergeCell ref="G349:G350"/>
    <mergeCell ref="E345:E346"/>
    <mergeCell ref="F345:F346"/>
    <mergeCell ref="G345:G346"/>
    <mergeCell ref="E347:E348"/>
    <mergeCell ref="E372:E373"/>
    <mergeCell ref="F372:F373"/>
    <mergeCell ref="G372:G373"/>
    <mergeCell ref="E370:E371"/>
    <mergeCell ref="F370:F371"/>
    <mergeCell ref="G370:G371"/>
    <mergeCell ref="E376:E377"/>
    <mergeCell ref="F376:F377"/>
    <mergeCell ref="G376:G377"/>
    <mergeCell ref="E378:E379"/>
    <mergeCell ref="F378:F379"/>
    <mergeCell ref="G378:G379"/>
    <mergeCell ref="F359:K359"/>
    <mergeCell ref="G368:G369"/>
    <mergeCell ref="E364:E365"/>
    <mergeCell ref="F364:F365"/>
    <mergeCell ref="G364:G365"/>
    <mergeCell ref="E366:E367"/>
    <mergeCell ref="F366:F367"/>
    <mergeCell ref="G366:G367"/>
    <mergeCell ref="E368:E369"/>
    <mergeCell ref="G362:G363"/>
    <mergeCell ref="G360:G361"/>
    <mergeCell ref="E362:E363"/>
    <mergeCell ref="F368:F369"/>
    <mergeCell ref="K376:K377"/>
    <mergeCell ref="F335:F336"/>
    <mergeCell ref="G335:G336"/>
    <mergeCell ref="E331:E332"/>
    <mergeCell ref="F331:F332"/>
    <mergeCell ref="G331:G332"/>
    <mergeCell ref="E333:E334"/>
    <mergeCell ref="F333:F334"/>
    <mergeCell ref="G333:G334"/>
    <mergeCell ref="E335:E336"/>
    <mergeCell ref="F341:F342"/>
    <mergeCell ref="G341:G342"/>
    <mergeCell ref="E337:E338"/>
    <mergeCell ref="F337:F338"/>
    <mergeCell ref="G337:G338"/>
    <mergeCell ref="E339:E340"/>
    <mergeCell ref="F339:F340"/>
    <mergeCell ref="G339:G340"/>
    <mergeCell ref="E341:E342"/>
    <mergeCell ref="E452:E453"/>
    <mergeCell ref="F452:F453"/>
    <mergeCell ref="G452:G453"/>
    <mergeCell ref="E454:E455"/>
    <mergeCell ref="F454:F455"/>
    <mergeCell ref="G454:G455"/>
    <mergeCell ref="E456:E457"/>
    <mergeCell ref="F355:F356"/>
    <mergeCell ref="G355:G356"/>
    <mergeCell ref="E351:E352"/>
    <mergeCell ref="F351:F352"/>
    <mergeCell ref="G351:G352"/>
    <mergeCell ref="E353:E354"/>
    <mergeCell ref="F353:F354"/>
    <mergeCell ref="E424:E425"/>
    <mergeCell ref="F430:F431"/>
    <mergeCell ref="G430:G431"/>
    <mergeCell ref="G353:G354"/>
    <mergeCell ref="E355:E356"/>
    <mergeCell ref="F362:F363"/>
    <mergeCell ref="E426:E427"/>
    <mergeCell ref="F426:F427"/>
    <mergeCell ref="G426:G427"/>
    <mergeCell ref="G357:G358"/>
    <mergeCell ref="E360:E361"/>
    <mergeCell ref="F360:F361"/>
    <mergeCell ref="E357:E358"/>
    <mergeCell ref="F357:F358"/>
    <mergeCell ref="F443:F444"/>
    <mergeCell ref="G443:G444"/>
    <mergeCell ref="F437:F438"/>
    <mergeCell ref="G437:G438"/>
    <mergeCell ref="E432:E433"/>
    <mergeCell ref="F432:F433"/>
    <mergeCell ref="G432:G433"/>
    <mergeCell ref="E434:E435"/>
    <mergeCell ref="F434:F435"/>
    <mergeCell ref="G434:G435"/>
    <mergeCell ref="E437:E438"/>
    <mergeCell ref="F415:F416"/>
    <mergeCell ref="G415:G416"/>
    <mergeCell ref="E411:E412"/>
    <mergeCell ref="F411:F412"/>
    <mergeCell ref="G411:G412"/>
    <mergeCell ref="E413:E414"/>
    <mergeCell ref="F413:F414"/>
    <mergeCell ref="G413:G414"/>
    <mergeCell ref="E415:E416"/>
    <mergeCell ref="F424:F425"/>
    <mergeCell ref="G424:G425"/>
    <mergeCell ref="E419:E420"/>
    <mergeCell ref="F419:F420"/>
    <mergeCell ref="G419:G420"/>
    <mergeCell ref="E428:E429"/>
    <mergeCell ref="F428:F429"/>
    <mergeCell ref="G428:G429"/>
    <mergeCell ref="E430:E431"/>
  </mergeCells>
  <conditionalFormatting sqref="Q13:Q789 U13:U1389 Q791:Q1371">
    <cfRule type="cellIs" dxfId="2" priority="1" operator="equal">
      <formula>1</formula>
    </cfRule>
  </conditionalFormatting>
  <hyperlinks>
    <hyperlink ref="B81" r:id="rId1" xr:uid="{00000000-0004-0000-0000-000000000000}"/>
  </hyperlinks>
  <printOptions horizontalCentered="1"/>
  <pageMargins left="0.19685039370078741" right="0.19685039370078741" top="0.19685039370078741" bottom="0.19685039370078741" header="0" footer="0"/>
  <pageSetup paperSize="5"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EE42-E35B-4E10-84E7-44F1923D2B86}">
  <dimension ref="A1:Z2290"/>
  <sheetViews>
    <sheetView tabSelected="1" zoomScale="59" zoomScaleNormal="59" workbookViewId="0">
      <selection activeCell="H16" sqref="H16"/>
    </sheetView>
  </sheetViews>
  <sheetFormatPr defaultRowHeight="14.5" x14ac:dyDescent="0.35"/>
  <cols>
    <col min="1" max="1" width="5.08984375" style="157" bestFit="1" customWidth="1"/>
    <col min="2" max="2" width="32.1796875" customWidth="1"/>
    <col min="3" max="3" width="23.1796875" customWidth="1"/>
    <col min="4" max="4" width="5" style="161" bestFit="1" customWidth="1"/>
    <col min="5" max="5" width="71.08984375" bestFit="1" customWidth="1"/>
    <col min="6" max="6" width="10.453125" customWidth="1"/>
    <col min="7" max="7" width="11.6328125" customWidth="1"/>
    <col min="8" max="8" width="7.81640625" bestFit="1" customWidth="1"/>
    <col min="9" max="9" width="33.54296875" style="161" bestFit="1" customWidth="1"/>
    <col min="10" max="10" width="20.26953125" style="167" bestFit="1" customWidth="1"/>
    <col min="11" max="11" width="10.54296875" style="167" customWidth="1"/>
    <col min="12" max="12" width="8.54296875" style="161" bestFit="1" customWidth="1"/>
    <col min="13" max="13" width="6.81640625" style="161" bestFit="1" customWidth="1"/>
    <col min="14" max="14" width="10.54296875" style="161" bestFit="1" customWidth="1"/>
    <col min="15" max="15" width="11.26953125" style="161" bestFit="1" customWidth="1"/>
    <col min="16" max="16" width="8.90625" style="161" bestFit="1" customWidth="1"/>
    <col min="17" max="17" width="8" style="161" bestFit="1" customWidth="1"/>
    <col min="19" max="19" width="5.26953125" customWidth="1"/>
    <col min="20" max="20" width="10.90625" bestFit="1" customWidth="1"/>
    <col min="22" max="22" width="5.90625" style="167" customWidth="1"/>
    <col min="23" max="23" width="14" style="167" bestFit="1" customWidth="1"/>
  </cols>
  <sheetData>
    <row r="1" spans="1:26" ht="15.5" customHeight="1" x14ac:dyDescent="0.35">
      <c r="A1" s="154" t="s">
        <v>477</v>
      </c>
      <c r="B1" s="201" t="s">
        <v>476</v>
      </c>
      <c r="D1" s="159" t="s">
        <v>477</v>
      </c>
      <c r="E1" s="159" t="s">
        <v>509</v>
      </c>
      <c r="F1" s="163"/>
      <c r="G1" s="159" t="s">
        <v>477</v>
      </c>
      <c r="H1" s="159" t="s">
        <v>11</v>
      </c>
      <c r="J1" s="154" t="s">
        <v>477</v>
      </c>
      <c r="K1" s="154" t="s">
        <v>510</v>
      </c>
      <c r="M1" s="154" t="s">
        <v>477</v>
      </c>
      <c r="N1" s="201" t="s">
        <v>515</v>
      </c>
      <c r="P1" s="154" t="s">
        <v>477</v>
      </c>
      <c r="Q1" s="154" t="s">
        <v>15</v>
      </c>
      <c r="S1" s="159" t="s">
        <v>477</v>
      </c>
      <c r="T1" s="159" t="s">
        <v>17</v>
      </c>
      <c r="V1" s="159" t="s">
        <v>7</v>
      </c>
      <c r="W1" s="159" t="s">
        <v>512</v>
      </c>
      <c r="Y1" s="159" t="s">
        <v>477</v>
      </c>
      <c r="Z1" s="159" t="s">
        <v>19</v>
      </c>
    </row>
    <row r="2" spans="1:26" x14ac:dyDescent="0.35">
      <c r="A2" s="156">
        <v>1</v>
      </c>
      <c r="B2" s="155" t="s">
        <v>31</v>
      </c>
      <c r="D2" s="203">
        <v>1</v>
      </c>
      <c r="E2" s="203" t="s">
        <v>99</v>
      </c>
      <c r="F2" s="162"/>
      <c r="G2" s="160">
        <v>1</v>
      </c>
      <c r="H2" s="158" t="s">
        <v>120</v>
      </c>
      <c r="J2" s="156">
        <v>1</v>
      </c>
      <c r="K2" s="156" t="s">
        <v>90</v>
      </c>
      <c r="M2" s="156">
        <v>1</v>
      </c>
      <c r="N2" s="156" t="s">
        <v>35</v>
      </c>
      <c r="P2" s="156">
        <v>1</v>
      </c>
      <c r="Q2" s="156">
        <v>1</v>
      </c>
      <c r="S2" s="160">
        <v>1</v>
      </c>
      <c r="T2" s="160" t="s">
        <v>56</v>
      </c>
      <c r="V2" s="203">
        <v>1</v>
      </c>
      <c r="W2" s="203" t="s">
        <v>37</v>
      </c>
      <c r="Y2" s="160">
        <v>1</v>
      </c>
      <c r="Z2" s="166" t="s">
        <v>54</v>
      </c>
    </row>
    <row r="3" spans="1:26" x14ac:dyDescent="0.35">
      <c r="A3" s="156">
        <v>2</v>
      </c>
      <c r="B3" s="155" t="s">
        <v>73</v>
      </c>
      <c r="D3" s="203">
        <v>2</v>
      </c>
      <c r="E3" s="203" t="s">
        <v>145</v>
      </c>
      <c r="F3" s="162"/>
      <c r="G3" s="160">
        <v>2</v>
      </c>
      <c r="H3" s="158" t="s">
        <v>86</v>
      </c>
      <c r="J3" s="156">
        <v>2</v>
      </c>
      <c r="K3" s="156" t="s">
        <v>173</v>
      </c>
      <c r="M3" s="156">
        <v>2</v>
      </c>
      <c r="N3" s="156" t="s">
        <v>46</v>
      </c>
      <c r="P3" s="156">
        <v>2</v>
      </c>
      <c r="Q3" s="156">
        <v>1.5</v>
      </c>
      <c r="S3" s="160">
        <v>2</v>
      </c>
      <c r="T3" s="160" t="s">
        <v>511</v>
      </c>
      <c r="V3" s="203">
        <v>2</v>
      </c>
      <c r="W3" s="203" t="s">
        <v>41</v>
      </c>
      <c r="Y3" s="160">
        <v>2</v>
      </c>
      <c r="Z3" s="166" t="s">
        <v>38</v>
      </c>
    </row>
    <row r="4" spans="1:26" x14ac:dyDescent="0.35">
      <c r="A4" s="156">
        <v>3</v>
      </c>
      <c r="B4" s="155" t="s">
        <v>478</v>
      </c>
      <c r="D4" s="203">
        <v>3</v>
      </c>
      <c r="E4" s="203" t="s">
        <v>138</v>
      </c>
      <c r="F4" s="162"/>
      <c r="G4" s="160">
        <v>3</v>
      </c>
      <c r="H4" s="158" t="s">
        <v>454</v>
      </c>
      <c r="J4" s="156">
        <v>3</v>
      </c>
      <c r="K4" s="156" t="s">
        <v>175</v>
      </c>
      <c r="M4" s="156">
        <v>3</v>
      </c>
      <c r="N4" s="156" t="s">
        <v>39</v>
      </c>
      <c r="P4" s="156">
        <v>3</v>
      </c>
      <c r="Q4" s="156">
        <v>2</v>
      </c>
      <c r="S4" s="160">
        <v>3</v>
      </c>
      <c r="T4" s="160" t="s">
        <v>70</v>
      </c>
      <c r="V4" s="203">
        <v>3</v>
      </c>
      <c r="W4" s="203" t="s">
        <v>43</v>
      </c>
      <c r="Y4" s="160">
        <v>3</v>
      </c>
      <c r="Z4" s="166" t="s">
        <v>93</v>
      </c>
    </row>
    <row r="5" spans="1:26" x14ac:dyDescent="0.35">
      <c r="A5" s="156">
        <v>4</v>
      </c>
      <c r="B5" s="155" t="s">
        <v>105</v>
      </c>
      <c r="D5" s="203">
        <v>4</v>
      </c>
      <c r="E5" s="203" t="s">
        <v>141</v>
      </c>
      <c r="F5" s="162"/>
      <c r="G5" s="160">
        <v>4</v>
      </c>
      <c r="H5" s="158" t="s">
        <v>158</v>
      </c>
      <c r="J5" s="156">
        <v>4</v>
      </c>
      <c r="K5" s="156" t="s">
        <v>177</v>
      </c>
      <c r="M5" s="156">
        <v>4</v>
      </c>
      <c r="N5" s="156" t="s">
        <v>48</v>
      </c>
      <c r="P5" s="205">
        <v>4</v>
      </c>
      <c r="Q5" s="205">
        <v>3</v>
      </c>
      <c r="S5" s="160">
        <v>4</v>
      </c>
      <c r="T5" s="160" t="s">
        <v>288</v>
      </c>
      <c r="V5" s="203">
        <v>4</v>
      </c>
      <c r="W5" s="203" t="s">
        <v>47</v>
      </c>
    </row>
    <row r="6" spans="1:26" x14ac:dyDescent="0.35">
      <c r="A6" s="156">
        <v>5</v>
      </c>
      <c r="B6" s="155" t="s">
        <v>479</v>
      </c>
      <c r="D6" s="203">
        <v>5</v>
      </c>
      <c r="E6" s="203" t="s">
        <v>62</v>
      </c>
      <c r="F6" s="162"/>
      <c r="G6" s="160">
        <v>5</v>
      </c>
      <c r="H6" s="158" t="s">
        <v>325</v>
      </c>
      <c r="J6" s="156">
        <v>5</v>
      </c>
      <c r="K6" s="156" t="s">
        <v>178</v>
      </c>
      <c r="M6" s="156">
        <v>5</v>
      </c>
      <c r="N6" s="156" t="s">
        <v>55</v>
      </c>
      <c r="S6" s="160">
        <v>5</v>
      </c>
      <c r="T6" s="160" t="s">
        <v>116</v>
      </c>
      <c r="V6" s="203">
        <v>5</v>
      </c>
      <c r="W6" s="203" t="s">
        <v>53</v>
      </c>
    </row>
    <row r="7" spans="1:26" x14ac:dyDescent="0.35">
      <c r="A7" s="156">
        <v>6</v>
      </c>
      <c r="B7" s="155" t="s">
        <v>134</v>
      </c>
      <c r="D7" s="203">
        <v>6</v>
      </c>
      <c r="E7" s="203" t="s">
        <v>222</v>
      </c>
      <c r="F7" s="162"/>
      <c r="G7" s="160">
        <v>6</v>
      </c>
      <c r="H7" s="158" t="s">
        <v>375</v>
      </c>
      <c r="J7" s="156">
        <v>6</v>
      </c>
      <c r="K7" s="156" t="s">
        <v>192</v>
      </c>
      <c r="M7" s="165"/>
      <c r="N7" s="165"/>
      <c r="S7" s="160">
        <v>6</v>
      </c>
      <c r="T7" s="160" t="s">
        <v>304</v>
      </c>
      <c r="V7" s="203">
        <v>6</v>
      </c>
      <c r="W7" s="203" t="s">
        <v>57</v>
      </c>
    </row>
    <row r="8" spans="1:26" x14ac:dyDescent="0.35">
      <c r="A8" s="156">
        <v>7</v>
      </c>
      <c r="B8" s="155" t="s">
        <v>480</v>
      </c>
      <c r="D8" s="203">
        <v>7</v>
      </c>
      <c r="E8" s="203" t="s">
        <v>188</v>
      </c>
      <c r="F8" s="162"/>
      <c r="G8" s="160">
        <v>7</v>
      </c>
      <c r="H8" s="158" t="s">
        <v>326</v>
      </c>
      <c r="J8" s="156">
        <v>7</v>
      </c>
      <c r="K8" s="156" t="s">
        <v>211</v>
      </c>
      <c r="M8" s="165"/>
      <c r="N8" s="165"/>
      <c r="S8" s="160">
        <v>7</v>
      </c>
      <c r="T8" s="160" t="s">
        <v>131</v>
      </c>
      <c r="V8" s="203">
        <v>7</v>
      </c>
      <c r="W8" s="203" t="s">
        <v>60</v>
      </c>
    </row>
    <row r="9" spans="1:26" x14ac:dyDescent="0.35">
      <c r="A9" s="156">
        <v>8</v>
      </c>
      <c r="B9" s="155" t="s">
        <v>481</v>
      </c>
      <c r="D9" s="203">
        <v>8</v>
      </c>
      <c r="E9" s="203" t="s">
        <v>213</v>
      </c>
      <c r="F9" s="162"/>
      <c r="G9" s="160">
        <v>8</v>
      </c>
      <c r="H9" s="158" t="s">
        <v>33</v>
      </c>
      <c r="J9" s="156">
        <v>8</v>
      </c>
      <c r="K9" s="156" t="s">
        <v>234</v>
      </c>
      <c r="S9" s="160">
        <v>8</v>
      </c>
      <c r="T9" s="160" t="s">
        <v>66</v>
      </c>
      <c r="V9" s="203">
        <v>8</v>
      </c>
      <c r="W9" s="203" t="s">
        <v>65</v>
      </c>
    </row>
    <row r="10" spans="1:26" x14ac:dyDescent="0.35">
      <c r="A10" s="156">
        <v>9</v>
      </c>
      <c r="B10" s="155" t="s">
        <v>482</v>
      </c>
      <c r="D10" s="203">
        <v>9</v>
      </c>
      <c r="E10" s="203" t="s">
        <v>516</v>
      </c>
      <c r="F10" s="162"/>
      <c r="G10" s="160">
        <v>9</v>
      </c>
      <c r="H10" s="158" t="s">
        <v>250</v>
      </c>
      <c r="J10" s="156">
        <v>9</v>
      </c>
      <c r="K10" s="156" t="s">
        <v>241</v>
      </c>
      <c r="S10" s="160">
        <v>9</v>
      </c>
      <c r="T10" s="160" t="s">
        <v>179</v>
      </c>
      <c r="V10" s="203">
        <v>9</v>
      </c>
      <c r="W10" s="203" t="s">
        <v>71</v>
      </c>
    </row>
    <row r="11" spans="1:26" x14ac:dyDescent="0.35">
      <c r="A11" s="156">
        <v>10</v>
      </c>
      <c r="B11" s="155" t="s">
        <v>184</v>
      </c>
      <c r="D11" s="203">
        <v>10</v>
      </c>
      <c r="E11" s="203" t="s">
        <v>148</v>
      </c>
      <c r="F11" s="162"/>
      <c r="G11" s="160">
        <v>10</v>
      </c>
      <c r="H11" s="158" t="s">
        <v>51</v>
      </c>
      <c r="J11" s="156">
        <v>10</v>
      </c>
      <c r="K11" s="156" t="s">
        <v>253</v>
      </c>
      <c r="S11" s="160">
        <v>10</v>
      </c>
      <c r="T11" s="160" t="s">
        <v>52</v>
      </c>
      <c r="V11" s="203">
        <v>10</v>
      </c>
      <c r="W11" s="203" t="s">
        <v>77</v>
      </c>
    </row>
    <row r="12" spans="1:26" x14ac:dyDescent="0.35">
      <c r="A12" s="156">
        <v>11</v>
      </c>
      <c r="B12" s="155" t="s">
        <v>193</v>
      </c>
      <c r="D12" s="203">
        <v>11</v>
      </c>
      <c r="E12" s="203" t="s">
        <v>109</v>
      </c>
      <c r="F12" s="162"/>
      <c r="G12" s="160">
        <v>11</v>
      </c>
      <c r="H12" s="158" t="s">
        <v>81</v>
      </c>
      <c r="J12" s="156">
        <v>11</v>
      </c>
      <c r="K12" s="156" t="s">
        <v>268</v>
      </c>
      <c r="S12" s="160">
        <v>11</v>
      </c>
      <c r="T12" s="160" t="s">
        <v>40</v>
      </c>
      <c r="V12" s="203">
        <v>11</v>
      </c>
      <c r="W12" s="203" t="s">
        <v>78</v>
      </c>
    </row>
    <row r="13" spans="1:26" x14ac:dyDescent="0.35">
      <c r="A13" s="156">
        <v>12</v>
      </c>
      <c r="B13" s="155" t="s">
        <v>483</v>
      </c>
      <c r="D13" s="203">
        <v>12</v>
      </c>
      <c r="E13" s="203" t="s">
        <v>517</v>
      </c>
      <c r="F13" s="162"/>
      <c r="G13" s="160">
        <v>12</v>
      </c>
      <c r="H13" s="158" t="s">
        <v>294</v>
      </c>
      <c r="J13" s="156">
        <v>12</v>
      </c>
      <c r="K13" s="156" t="s">
        <v>273</v>
      </c>
      <c r="S13" s="160">
        <v>12</v>
      </c>
      <c r="T13" s="160" t="s">
        <v>140</v>
      </c>
      <c r="V13" s="203">
        <v>12</v>
      </c>
      <c r="W13" s="203" t="s">
        <v>80</v>
      </c>
    </row>
    <row r="14" spans="1:26" x14ac:dyDescent="0.35">
      <c r="A14" s="156">
        <v>13</v>
      </c>
      <c r="B14" s="155" t="s">
        <v>203</v>
      </c>
      <c r="D14" s="203">
        <v>13</v>
      </c>
      <c r="E14" s="203" t="s">
        <v>166</v>
      </c>
      <c r="F14" s="162"/>
      <c r="G14" s="160">
        <v>13</v>
      </c>
      <c r="H14" s="158" t="s">
        <v>260</v>
      </c>
      <c r="J14" s="156">
        <v>13</v>
      </c>
      <c r="K14" s="156" t="s">
        <v>297</v>
      </c>
      <c r="S14" s="160">
        <v>13</v>
      </c>
      <c r="T14" s="160" t="s">
        <v>230</v>
      </c>
      <c r="V14" s="203">
        <v>13</v>
      </c>
      <c r="W14" s="203" t="s">
        <v>83</v>
      </c>
    </row>
    <row r="15" spans="1:26" x14ac:dyDescent="0.35">
      <c r="A15" s="156">
        <v>14</v>
      </c>
      <c r="B15" s="155" t="s">
        <v>205</v>
      </c>
      <c r="D15" s="203">
        <v>14</v>
      </c>
      <c r="E15" s="203" t="s">
        <v>202</v>
      </c>
      <c r="F15" s="162"/>
      <c r="G15" s="160">
        <v>14</v>
      </c>
      <c r="H15" s="158" t="s">
        <v>346</v>
      </c>
      <c r="J15" s="156">
        <v>14</v>
      </c>
      <c r="K15" s="156" t="s">
        <v>301</v>
      </c>
      <c r="S15" s="160">
        <v>14</v>
      </c>
      <c r="T15" s="160" t="s">
        <v>59</v>
      </c>
      <c r="V15" s="203">
        <v>14</v>
      </c>
      <c r="W15" s="203" t="s">
        <v>85</v>
      </c>
    </row>
    <row r="16" spans="1:26" x14ac:dyDescent="0.35">
      <c r="A16" s="156">
        <v>15</v>
      </c>
      <c r="B16" s="155" t="s">
        <v>484</v>
      </c>
      <c r="D16" s="203">
        <v>15</v>
      </c>
      <c r="E16" s="203" t="s">
        <v>207</v>
      </c>
      <c r="F16" s="162"/>
      <c r="G16" s="160">
        <v>15</v>
      </c>
      <c r="H16" s="158" t="s">
        <v>75</v>
      </c>
      <c r="J16" s="156">
        <v>15</v>
      </c>
      <c r="K16" s="156" t="s">
        <v>333</v>
      </c>
      <c r="M16" s="161" t="s">
        <v>102</v>
      </c>
      <c r="S16" s="160">
        <v>15</v>
      </c>
      <c r="T16" s="160" t="s">
        <v>232</v>
      </c>
      <c r="V16" s="203">
        <v>15</v>
      </c>
      <c r="W16" s="203" t="s">
        <v>87</v>
      </c>
    </row>
    <row r="17" spans="1:23" x14ac:dyDescent="0.35">
      <c r="A17" s="156">
        <v>16</v>
      </c>
      <c r="B17" s="155" t="s">
        <v>214</v>
      </c>
      <c r="D17" s="203">
        <v>16</v>
      </c>
      <c r="E17" s="203" t="s">
        <v>67</v>
      </c>
      <c r="F17" s="162"/>
      <c r="G17" s="160">
        <v>16</v>
      </c>
      <c r="H17" s="158" t="s">
        <v>63</v>
      </c>
      <c r="J17" s="156">
        <v>16</v>
      </c>
      <c r="K17" s="156" t="s">
        <v>341</v>
      </c>
      <c r="S17" s="160">
        <v>16</v>
      </c>
      <c r="T17" s="160" t="s">
        <v>309</v>
      </c>
      <c r="V17" s="203">
        <v>16</v>
      </c>
      <c r="W17" s="203" t="s">
        <v>88</v>
      </c>
    </row>
    <row r="18" spans="1:23" x14ac:dyDescent="0.35">
      <c r="A18" s="156">
        <v>17</v>
      </c>
      <c r="B18" s="155" t="s">
        <v>218</v>
      </c>
      <c r="D18" s="203">
        <v>17</v>
      </c>
      <c r="E18" s="203" t="s">
        <v>32</v>
      </c>
      <c r="F18" s="162"/>
      <c r="G18" s="160">
        <v>17</v>
      </c>
      <c r="H18" s="158" t="s">
        <v>68</v>
      </c>
      <c r="J18" s="156">
        <v>17</v>
      </c>
      <c r="K18" s="156" t="s">
        <v>347</v>
      </c>
      <c r="S18" s="160">
        <v>17</v>
      </c>
      <c r="T18" s="160" t="s">
        <v>219</v>
      </c>
      <c r="V18" s="203">
        <v>17</v>
      </c>
      <c r="W18" s="203" t="s">
        <v>92</v>
      </c>
    </row>
    <row r="19" spans="1:23" x14ac:dyDescent="0.35">
      <c r="A19" s="156">
        <v>18</v>
      </c>
      <c r="B19" s="155" t="s">
        <v>485</v>
      </c>
      <c r="D19" s="203">
        <v>18</v>
      </c>
      <c r="E19" s="203" t="s">
        <v>112</v>
      </c>
      <c r="F19" s="162"/>
      <c r="G19" s="160">
        <v>18</v>
      </c>
      <c r="H19" s="158" t="s">
        <v>106</v>
      </c>
      <c r="J19" s="156">
        <v>18</v>
      </c>
      <c r="K19" s="156" t="s">
        <v>371</v>
      </c>
      <c r="S19" s="160">
        <v>18</v>
      </c>
      <c r="T19" s="160" t="s">
        <v>108</v>
      </c>
      <c r="V19" s="203">
        <v>18</v>
      </c>
      <c r="W19" s="203" t="s">
        <v>96</v>
      </c>
    </row>
    <row r="20" spans="1:23" x14ac:dyDescent="0.35">
      <c r="A20" s="156">
        <v>19</v>
      </c>
      <c r="B20" s="155" t="s">
        <v>486</v>
      </c>
      <c r="D20" s="203">
        <v>19</v>
      </c>
      <c r="E20" s="203" t="s">
        <v>518</v>
      </c>
      <c r="F20" s="162"/>
      <c r="J20" s="156">
        <v>19</v>
      </c>
      <c r="K20" s="156" t="s">
        <v>378</v>
      </c>
      <c r="S20" s="160">
        <v>19</v>
      </c>
      <c r="T20" s="160" t="s">
        <v>123</v>
      </c>
      <c r="V20" s="203">
        <v>19</v>
      </c>
      <c r="W20" s="203" t="s">
        <v>98</v>
      </c>
    </row>
    <row r="21" spans="1:23" x14ac:dyDescent="0.35">
      <c r="A21" s="156">
        <v>20</v>
      </c>
      <c r="B21" s="155" t="s">
        <v>487</v>
      </c>
      <c r="D21" s="203">
        <v>20</v>
      </c>
      <c r="E21" s="203" t="s">
        <v>122</v>
      </c>
      <c r="F21" s="162"/>
      <c r="J21" s="156">
        <v>20</v>
      </c>
      <c r="K21" s="156" t="s">
        <v>397</v>
      </c>
      <c r="S21" s="160">
        <v>20</v>
      </c>
      <c r="T21" s="160" t="s">
        <v>44</v>
      </c>
      <c r="V21" s="203">
        <v>20</v>
      </c>
      <c r="W21" s="203" t="s">
        <v>107</v>
      </c>
    </row>
    <row r="22" spans="1:23" x14ac:dyDescent="0.35">
      <c r="A22" s="156">
        <v>21</v>
      </c>
      <c r="B22" s="155" t="s">
        <v>488</v>
      </c>
      <c r="D22" s="203">
        <v>21</v>
      </c>
      <c r="E22" s="203" t="s">
        <v>204</v>
      </c>
      <c r="F22" s="162"/>
      <c r="J22" s="156">
        <v>21</v>
      </c>
      <c r="K22" s="156" t="s">
        <v>421</v>
      </c>
      <c r="S22" s="160">
        <v>21</v>
      </c>
      <c r="T22" s="160" t="s">
        <v>84</v>
      </c>
      <c r="V22" s="203">
        <v>21</v>
      </c>
      <c r="W22" s="203" t="s">
        <v>110</v>
      </c>
    </row>
    <row r="23" spans="1:23" x14ac:dyDescent="0.35">
      <c r="A23" s="156">
        <v>22</v>
      </c>
      <c r="B23" s="155" t="s">
        <v>246</v>
      </c>
      <c r="D23" s="203">
        <v>22</v>
      </c>
      <c r="E23" s="203" t="s">
        <v>89</v>
      </c>
      <c r="F23" s="162"/>
      <c r="J23" s="156">
        <v>22</v>
      </c>
      <c r="K23" s="156" t="s">
        <v>444</v>
      </c>
      <c r="S23" s="160">
        <v>22</v>
      </c>
      <c r="T23" s="160" t="s">
        <v>146</v>
      </c>
      <c r="V23" s="203">
        <v>22</v>
      </c>
      <c r="W23" s="203" t="s">
        <v>111</v>
      </c>
    </row>
    <row r="24" spans="1:23" x14ac:dyDescent="0.35">
      <c r="A24" s="156">
        <v>23</v>
      </c>
      <c r="B24" s="155" t="s">
        <v>254</v>
      </c>
      <c r="D24" s="203">
        <v>23</v>
      </c>
      <c r="E24" s="203" t="s">
        <v>519</v>
      </c>
      <c r="F24" s="162"/>
      <c r="J24" s="156">
        <v>23</v>
      </c>
      <c r="K24" s="156" t="s">
        <v>458</v>
      </c>
      <c r="S24" s="160">
        <v>23</v>
      </c>
      <c r="T24" s="160" t="s">
        <v>61</v>
      </c>
      <c r="V24" s="203">
        <v>23</v>
      </c>
      <c r="W24" s="203" t="s">
        <v>113</v>
      </c>
    </row>
    <row r="25" spans="1:23" x14ac:dyDescent="0.35">
      <c r="A25" s="156">
        <v>24</v>
      </c>
      <c r="B25" s="155" t="s">
        <v>257</v>
      </c>
      <c r="D25" s="203">
        <v>24</v>
      </c>
      <c r="E25" s="203" t="s">
        <v>58</v>
      </c>
      <c r="J25" s="156">
        <v>24</v>
      </c>
      <c r="K25" s="156" t="s">
        <v>465</v>
      </c>
      <c r="S25" s="160">
        <v>24</v>
      </c>
      <c r="T25" s="160" t="s">
        <v>91</v>
      </c>
      <c r="V25" s="203">
        <v>24</v>
      </c>
      <c r="W25" s="203" t="s">
        <v>114</v>
      </c>
    </row>
    <row r="26" spans="1:23" x14ac:dyDescent="0.35">
      <c r="A26" s="156">
        <v>25</v>
      </c>
      <c r="B26" s="155" t="s">
        <v>489</v>
      </c>
      <c r="D26" s="203">
        <v>25</v>
      </c>
      <c r="E26" s="203" t="s">
        <v>50</v>
      </c>
      <c r="J26" s="156">
        <v>25</v>
      </c>
      <c r="K26" s="156" t="s">
        <v>136</v>
      </c>
      <c r="S26" s="160">
        <v>25</v>
      </c>
      <c r="T26" s="160" t="s">
        <v>82</v>
      </c>
      <c r="V26" s="203">
        <v>25</v>
      </c>
      <c r="W26" s="203" t="s">
        <v>117</v>
      </c>
    </row>
    <row r="27" spans="1:23" x14ac:dyDescent="0.35">
      <c r="A27" s="156">
        <v>26</v>
      </c>
      <c r="B27" s="155" t="s">
        <v>490</v>
      </c>
      <c r="D27" s="203">
        <v>26</v>
      </c>
      <c r="E27" s="203" t="s">
        <v>224</v>
      </c>
      <c r="J27" s="156">
        <v>26</v>
      </c>
      <c r="K27" s="156" t="s">
        <v>76</v>
      </c>
      <c r="V27" s="203">
        <v>26</v>
      </c>
      <c r="W27" s="203" t="s">
        <v>118</v>
      </c>
    </row>
    <row r="28" spans="1:23" x14ac:dyDescent="0.35">
      <c r="A28" s="156">
        <v>27</v>
      </c>
      <c r="B28" s="155" t="s">
        <v>491</v>
      </c>
      <c r="D28" s="203">
        <v>27</v>
      </c>
      <c r="E28" s="203" t="s">
        <v>130</v>
      </c>
      <c r="J28" s="156">
        <v>27</v>
      </c>
      <c r="K28" s="156" t="s">
        <v>79</v>
      </c>
      <c r="V28" s="203">
        <v>27</v>
      </c>
      <c r="W28" s="203" t="s">
        <v>124</v>
      </c>
    </row>
    <row r="29" spans="1:23" x14ac:dyDescent="0.35">
      <c r="A29" s="156">
        <v>28</v>
      </c>
      <c r="B29" s="155" t="s">
        <v>492</v>
      </c>
      <c r="D29" s="203">
        <v>28</v>
      </c>
      <c r="E29" s="203" t="s">
        <v>186</v>
      </c>
      <c r="J29" s="156">
        <v>28</v>
      </c>
      <c r="K29" s="156" t="s">
        <v>97</v>
      </c>
      <c r="V29" s="203">
        <v>28</v>
      </c>
      <c r="W29" s="203" t="s">
        <v>126</v>
      </c>
    </row>
    <row r="30" spans="1:23" ht="14" customHeight="1" x14ac:dyDescent="0.35">
      <c r="A30" s="156">
        <v>29</v>
      </c>
      <c r="B30" s="155" t="s">
        <v>493</v>
      </c>
      <c r="D30" s="203">
        <v>29</v>
      </c>
      <c r="E30" s="203" t="s">
        <v>156</v>
      </c>
      <c r="J30" s="156">
        <v>29</v>
      </c>
      <c r="K30" s="156" t="s">
        <v>247</v>
      </c>
      <c r="V30" s="203">
        <v>29</v>
      </c>
      <c r="W30" s="203" t="s">
        <v>128</v>
      </c>
    </row>
    <row r="31" spans="1:23" x14ac:dyDescent="0.35">
      <c r="A31" s="156">
        <v>30</v>
      </c>
      <c r="B31" s="155" t="s">
        <v>298</v>
      </c>
      <c r="D31" s="203">
        <v>30</v>
      </c>
      <c r="E31" s="203" t="s">
        <v>201</v>
      </c>
      <c r="J31" s="156">
        <v>30</v>
      </c>
      <c r="K31" s="156" t="s">
        <v>162</v>
      </c>
      <c r="V31" s="203">
        <v>30</v>
      </c>
      <c r="W31" s="203" t="s">
        <v>132</v>
      </c>
    </row>
    <row r="32" spans="1:23" x14ac:dyDescent="0.35">
      <c r="A32" s="156">
        <v>31</v>
      </c>
      <c r="B32" s="155" t="s">
        <v>302</v>
      </c>
      <c r="D32" s="203">
        <v>31</v>
      </c>
      <c r="E32" s="203" t="s">
        <v>129</v>
      </c>
      <c r="J32" s="156">
        <v>31</v>
      </c>
      <c r="K32" s="156" t="s">
        <v>164</v>
      </c>
      <c r="V32" s="203">
        <v>31</v>
      </c>
      <c r="W32" s="203" t="s">
        <v>133</v>
      </c>
    </row>
    <row r="33" spans="1:23" x14ac:dyDescent="0.35">
      <c r="A33" s="156">
        <v>32</v>
      </c>
      <c r="B33" s="155" t="s">
        <v>494</v>
      </c>
      <c r="D33" s="203">
        <v>32</v>
      </c>
      <c r="E33" s="203" t="s">
        <v>135</v>
      </c>
      <c r="J33" s="156">
        <v>32</v>
      </c>
      <c r="K33" s="156" t="s">
        <v>189</v>
      </c>
      <c r="V33" s="203">
        <v>32</v>
      </c>
      <c r="W33" s="203" t="s">
        <v>139</v>
      </c>
    </row>
    <row r="34" spans="1:23" x14ac:dyDescent="0.35">
      <c r="A34" s="156">
        <v>33</v>
      </c>
      <c r="B34" s="155" t="s">
        <v>495</v>
      </c>
      <c r="D34" s="203">
        <v>33</v>
      </c>
      <c r="E34" s="203" t="s">
        <v>161</v>
      </c>
      <c r="J34" s="156">
        <v>33</v>
      </c>
      <c r="K34" s="156" t="s">
        <v>209</v>
      </c>
      <c r="V34" s="203">
        <v>33</v>
      </c>
      <c r="W34" s="203" t="s">
        <v>143</v>
      </c>
    </row>
    <row r="35" spans="1:23" x14ac:dyDescent="0.35">
      <c r="A35" s="156">
        <v>34</v>
      </c>
      <c r="B35" s="155" t="s">
        <v>312</v>
      </c>
      <c r="D35" s="203">
        <v>34</v>
      </c>
      <c r="E35" s="203" t="s">
        <v>142</v>
      </c>
      <c r="J35" s="156">
        <v>34</v>
      </c>
      <c r="K35" s="156" t="s">
        <v>210</v>
      </c>
      <c r="V35" s="203">
        <v>34</v>
      </c>
      <c r="W35" s="203" t="s">
        <v>149</v>
      </c>
    </row>
    <row r="36" spans="1:23" ht="29" x14ac:dyDescent="0.35">
      <c r="A36" s="156">
        <v>35</v>
      </c>
      <c r="B36" s="155" t="s">
        <v>317</v>
      </c>
      <c r="D36" s="203">
        <v>35</v>
      </c>
      <c r="E36" s="203" t="s">
        <v>199</v>
      </c>
      <c r="J36" s="156">
        <v>35</v>
      </c>
      <c r="K36" s="156" t="s">
        <v>300</v>
      </c>
      <c r="V36" s="203">
        <v>35</v>
      </c>
      <c r="W36" s="203" t="s">
        <v>150</v>
      </c>
    </row>
    <row r="37" spans="1:23" x14ac:dyDescent="0.35">
      <c r="A37" s="156">
        <v>36</v>
      </c>
      <c r="B37" s="155" t="s">
        <v>496</v>
      </c>
      <c r="D37" s="203">
        <v>36</v>
      </c>
      <c r="E37" s="203" t="s">
        <v>520</v>
      </c>
      <c r="J37" s="156">
        <v>36</v>
      </c>
      <c r="K37" s="156" t="s">
        <v>332</v>
      </c>
      <c r="V37" s="203">
        <v>36</v>
      </c>
      <c r="W37" s="203" t="s">
        <v>152</v>
      </c>
    </row>
    <row r="38" spans="1:23" x14ac:dyDescent="0.35">
      <c r="A38" s="156">
        <v>37</v>
      </c>
      <c r="B38" s="155" t="s">
        <v>321</v>
      </c>
      <c r="D38" s="203">
        <v>37</v>
      </c>
      <c r="E38" s="203" t="s">
        <v>95</v>
      </c>
      <c r="J38" s="156">
        <v>37</v>
      </c>
      <c r="K38" s="156" t="s">
        <v>340</v>
      </c>
      <c r="V38" s="203">
        <v>37</v>
      </c>
      <c r="W38" s="203" t="s">
        <v>155</v>
      </c>
    </row>
    <row r="39" spans="1:23" x14ac:dyDescent="0.35">
      <c r="A39" s="156">
        <v>38</v>
      </c>
      <c r="B39" s="155" t="s">
        <v>330</v>
      </c>
      <c r="D39" s="203">
        <v>38</v>
      </c>
      <c r="E39" s="203" t="s">
        <v>521</v>
      </c>
      <c r="J39" s="156">
        <v>38</v>
      </c>
      <c r="K39" s="156" t="s">
        <v>351</v>
      </c>
      <c r="V39" s="203">
        <v>38</v>
      </c>
      <c r="W39" s="203" t="s">
        <v>160</v>
      </c>
    </row>
    <row r="40" spans="1:23" x14ac:dyDescent="0.35">
      <c r="A40" s="156">
        <v>39</v>
      </c>
      <c r="B40" s="155" t="s">
        <v>334</v>
      </c>
      <c r="D40" s="203">
        <v>39</v>
      </c>
      <c r="E40" s="203" t="s">
        <v>216</v>
      </c>
      <c r="J40" s="156">
        <v>39</v>
      </c>
      <c r="K40" s="156" t="s">
        <v>266</v>
      </c>
      <c r="V40" s="203">
        <v>39</v>
      </c>
      <c r="W40" s="203" t="s">
        <v>163</v>
      </c>
    </row>
    <row r="41" spans="1:23" x14ac:dyDescent="0.35">
      <c r="A41" s="156">
        <v>40</v>
      </c>
      <c r="B41" s="155" t="s">
        <v>497</v>
      </c>
      <c r="D41" s="203">
        <v>40</v>
      </c>
      <c r="E41" s="203" t="s">
        <v>522</v>
      </c>
      <c r="J41" s="156">
        <v>40</v>
      </c>
      <c r="K41" s="156" t="s">
        <v>419</v>
      </c>
      <c r="V41" s="203">
        <v>40</v>
      </c>
      <c r="W41" s="203" t="s">
        <v>165</v>
      </c>
    </row>
    <row r="42" spans="1:23" x14ac:dyDescent="0.35">
      <c r="A42" s="156">
        <v>41</v>
      </c>
      <c r="B42" s="155" t="s">
        <v>344</v>
      </c>
      <c r="D42" s="203">
        <v>41</v>
      </c>
      <c r="E42" s="203" t="s">
        <v>523</v>
      </c>
      <c r="J42" s="156">
        <v>41</v>
      </c>
      <c r="K42" s="156" t="s">
        <v>464</v>
      </c>
      <c r="V42" s="203">
        <v>41</v>
      </c>
      <c r="W42" s="203" t="s">
        <v>169</v>
      </c>
    </row>
    <row r="43" spans="1:23" x14ac:dyDescent="0.35">
      <c r="A43" s="156">
        <v>42</v>
      </c>
      <c r="B43" s="155" t="s">
        <v>498</v>
      </c>
      <c r="D43" s="203">
        <v>42</v>
      </c>
      <c r="E43" s="203" t="s">
        <v>168</v>
      </c>
      <c r="J43" s="156">
        <v>42</v>
      </c>
      <c r="K43" s="156" t="s">
        <v>101</v>
      </c>
      <c r="V43" s="203">
        <v>42</v>
      </c>
      <c r="W43" s="203" t="s">
        <v>170</v>
      </c>
    </row>
    <row r="44" spans="1:23" ht="29" x14ac:dyDescent="0.35">
      <c r="A44" s="156">
        <v>43</v>
      </c>
      <c r="B44" s="155" t="s">
        <v>352</v>
      </c>
      <c r="D44" s="203">
        <v>43</v>
      </c>
      <c r="E44" s="203" t="s">
        <v>171</v>
      </c>
      <c r="J44" s="156">
        <v>43</v>
      </c>
      <c r="K44" s="156" t="s">
        <v>64</v>
      </c>
      <c r="V44" s="203">
        <v>43</v>
      </c>
      <c r="W44" s="203" t="s">
        <v>172</v>
      </c>
    </row>
    <row r="45" spans="1:23" x14ac:dyDescent="0.35">
      <c r="A45" s="156">
        <v>44</v>
      </c>
      <c r="B45" s="155" t="s">
        <v>356</v>
      </c>
      <c r="D45" s="203">
        <v>44</v>
      </c>
      <c r="E45" s="203" t="s">
        <v>74</v>
      </c>
      <c r="J45" s="156">
        <v>44</v>
      </c>
      <c r="K45" s="156" t="s">
        <v>103</v>
      </c>
      <c r="V45" s="203">
        <v>44</v>
      </c>
      <c r="W45" s="203" t="s">
        <v>190</v>
      </c>
    </row>
    <row r="46" spans="1:23" x14ac:dyDescent="0.35">
      <c r="A46" s="156">
        <v>45</v>
      </c>
      <c r="B46" s="155" t="s">
        <v>499</v>
      </c>
      <c r="D46" s="203">
        <v>45</v>
      </c>
      <c r="E46" s="203" t="s">
        <v>524</v>
      </c>
      <c r="J46" s="156">
        <v>45</v>
      </c>
      <c r="K46" s="156" t="s">
        <v>104</v>
      </c>
      <c r="V46" s="203">
        <v>45</v>
      </c>
      <c r="W46" s="203" t="s">
        <v>196</v>
      </c>
    </row>
    <row r="47" spans="1:23" x14ac:dyDescent="0.35">
      <c r="A47" s="156">
        <v>46</v>
      </c>
      <c r="B47" s="155" t="s">
        <v>362</v>
      </c>
      <c r="D47" s="203">
        <v>46</v>
      </c>
      <c r="E47" s="203" t="s">
        <v>191</v>
      </c>
      <c r="J47" s="156">
        <v>46</v>
      </c>
      <c r="K47" s="156" t="s">
        <v>153</v>
      </c>
      <c r="V47" s="203">
        <v>46</v>
      </c>
      <c r="W47" s="203" t="s">
        <v>197</v>
      </c>
    </row>
    <row r="48" spans="1:23" x14ac:dyDescent="0.35">
      <c r="A48" s="156">
        <v>47</v>
      </c>
      <c r="B48" s="155" t="s">
        <v>363</v>
      </c>
      <c r="D48" s="203">
        <v>47</v>
      </c>
      <c r="E48" s="203" t="s">
        <v>127</v>
      </c>
      <c r="J48" s="156">
        <v>47</v>
      </c>
      <c r="K48" s="156" t="s">
        <v>69</v>
      </c>
      <c r="V48" s="203">
        <v>47</v>
      </c>
      <c r="W48" s="203" t="s">
        <v>206</v>
      </c>
    </row>
    <row r="49" spans="1:23" ht="29" x14ac:dyDescent="0.35">
      <c r="A49" s="156">
        <v>48</v>
      </c>
      <c r="B49" s="155" t="s">
        <v>500</v>
      </c>
      <c r="D49" s="203">
        <v>48</v>
      </c>
      <c r="E49" s="203" t="s">
        <v>187</v>
      </c>
      <c r="J49" s="156">
        <v>48</v>
      </c>
      <c r="K49" s="156" t="s">
        <v>34</v>
      </c>
      <c r="V49" s="203">
        <v>48</v>
      </c>
      <c r="W49" s="203" t="s">
        <v>208</v>
      </c>
    </row>
    <row r="50" spans="1:23" ht="29" x14ac:dyDescent="0.35">
      <c r="A50" s="156">
        <v>49</v>
      </c>
      <c r="B50" s="155" t="s">
        <v>372</v>
      </c>
      <c r="D50" s="203">
        <v>49</v>
      </c>
      <c r="E50" s="203" t="s">
        <v>525</v>
      </c>
      <c r="J50" s="156">
        <v>49</v>
      </c>
      <c r="K50" s="156" t="s">
        <v>42</v>
      </c>
      <c r="V50" s="203">
        <v>49</v>
      </c>
      <c r="W50" s="203" t="s">
        <v>267</v>
      </c>
    </row>
    <row r="51" spans="1:23" x14ac:dyDescent="0.35">
      <c r="A51" s="156">
        <v>50</v>
      </c>
      <c r="B51" s="155" t="s">
        <v>376</v>
      </c>
      <c r="D51" s="203">
        <v>50</v>
      </c>
      <c r="E51" s="203" t="s">
        <v>151</v>
      </c>
      <c r="J51" s="156">
        <v>50</v>
      </c>
      <c r="K51" s="156" t="s">
        <v>45</v>
      </c>
      <c r="V51" s="203">
        <v>50</v>
      </c>
      <c r="W51" s="203" t="s">
        <v>163</v>
      </c>
    </row>
    <row r="52" spans="1:23" x14ac:dyDescent="0.35">
      <c r="A52" s="156">
        <v>51</v>
      </c>
      <c r="B52" s="155" t="s">
        <v>379</v>
      </c>
      <c r="D52" s="203">
        <v>51</v>
      </c>
      <c r="E52" s="203" t="s">
        <v>144</v>
      </c>
      <c r="J52" s="156">
        <v>51</v>
      </c>
      <c r="K52" s="156" t="s">
        <v>49</v>
      </c>
      <c r="V52" s="203">
        <v>51</v>
      </c>
      <c r="W52" s="203" t="s">
        <v>174</v>
      </c>
    </row>
    <row r="53" spans="1:23" x14ac:dyDescent="0.35">
      <c r="A53" s="156">
        <v>52</v>
      </c>
      <c r="B53" s="155" t="s">
        <v>501</v>
      </c>
      <c r="D53" s="203">
        <v>52</v>
      </c>
      <c r="E53" s="203" t="s">
        <v>526</v>
      </c>
      <c r="J53" s="156">
        <v>52</v>
      </c>
      <c r="K53" s="156" t="s">
        <v>289</v>
      </c>
      <c r="V53" s="203">
        <v>52</v>
      </c>
      <c r="W53" s="203" t="s">
        <v>159</v>
      </c>
    </row>
    <row r="54" spans="1:23" x14ac:dyDescent="0.35">
      <c r="A54" s="156">
        <v>53</v>
      </c>
      <c r="B54" s="155" t="s">
        <v>383</v>
      </c>
      <c r="D54" s="203">
        <v>53</v>
      </c>
      <c r="E54" s="203" t="s">
        <v>185</v>
      </c>
      <c r="J54" s="156">
        <v>53</v>
      </c>
      <c r="K54" s="156" t="s">
        <v>272</v>
      </c>
      <c r="V54" s="203">
        <v>53</v>
      </c>
      <c r="W54" s="203" t="s">
        <v>170</v>
      </c>
    </row>
    <row r="55" spans="1:23" x14ac:dyDescent="0.35">
      <c r="A55" s="156">
        <v>54</v>
      </c>
      <c r="B55" s="155" t="s">
        <v>502</v>
      </c>
      <c r="D55" s="203">
        <v>54</v>
      </c>
      <c r="E55" s="203" t="s">
        <v>217</v>
      </c>
      <c r="J55" s="156">
        <v>54</v>
      </c>
      <c r="K55" s="156" t="s">
        <v>270</v>
      </c>
      <c r="V55" s="203">
        <v>54</v>
      </c>
      <c r="W55" s="203" t="s">
        <v>538</v>
      </c>
    </row>
    <row r="56" spans="1:23" x14ac:dyDescent="0.35">
      <c r="A56" s="156">
        <v>55</v>
      </c>
      <c r="B56" s="155" t="s">
        <v>390</v>
      </c>
      <c r="D56" s="203">
        <v>55</v>
      </c>
      <c r="E56" s="203" t="s">
        <v>527</v>
      </c>
      <c r="V56" s="203">
        <v>55</v>
      </c>
      <c r="W56" s="203" t="s">
        <v>221</v>
      </c>
    </row>
    <row r="57" spans="1:23" x14ac:dyDescent="0.35">
      <c r="A57" s="156">
        <v>56</v>
      </c>
      <c r="B57" s="155" t="s">
        <v>393</v>
      </c>
      <c r="D57" s="203">
        <v>56</v>
      </c>
      <c r="E57" s="203" t="s">
        <v>528</v>
      </c>
      <c r="V57" s="203">
        <v>56</v>
      </c>
      <c r="W57" s="203" t="s">
        <v>395</v>
      </c>
    </row>
    <row r="58" spans="1:23" ht="15.5" customHeight="1" x14ac:dyDescent="0.35">
      <c r="A58" s="156">
        <v>57</v>
      </c>
      <c r="B58" s="155" t="s">
        <v>394</v>
      </c>
      <c r="D58" s="203">
        <v>57</v>
      </c>
      <c r="E58" s="203" t="s">
        <v>194</v>
      </c>
      <c r="I58" s="307" t="s">
        <v>8</v>
      </c>
      <c r="J58" s="307" t="s">
        <v>9</v>
      </c>
      <c r="K58" s="313" t="s">
        <v>15</v>
      </c>
      <c r="L58" s="307" t="s">
        <v>11</v>
      </c>
      <c r="M58" s="307" t="s">
        <v>12</v>
      </c>
      <c r="N58" s="310" t="s">
        <v>13</v>
      </c>
      <c r="O58" s="311"/>
      <c r="P58" s="311"/>
      <c r="Q58" s="312"/>
      <c r="V58" s="203">
        <v>57</v>
      </c>
      <c r="W58" s="203" t="s">
        <v>406</v>
      </c>
    </row>
    <row r="59" spans="1:23" ht="15.5" customHeight="1" x14ac:dyDescent="0.35">
      <c r="A59" s="156">
        <v>58</v>
      </c>
      <c r="B59" s="155" t="s">
        <v>398</v>
      </c>
      <c r="D59" s="203">
        <v>58</v>
      </c>
      <c r="E59" s="203" t="s">
        <v>529</v>
      </c>
      <c r="I59" s="308"/>
      <c r="J59" s="308"/>
      <c r="K59" s="314"/>
      <c r="L59" s="308"/>
      <c r="M59" s="308"/>
      <c r="N59" s="168"/>
      <c r="O59" s="169"/>
      <c r="P59" s="169"/>
      <c r="Q59" s="170"/>
      <c r="V59" s="203">
        <v>58</v>
      </c>
      <c r="W59" s="203" t="s">
        <v>407</v>
      </c>
    </row>
    <row r="60" spans="1:23" ht="15.5" x14ac:dyDescent="0.35">
      <c r="A60" s="200">
        <v>59</v>
      </c>
      <c r="B60" s="158" t="s">
        <v>403</v>
      </c>
      <c r="D60" s="203">
        <v>59</v>
      </c>
      <c r="E60" s="203" t="s">
        <v>225</v>
      </c>
      <c r="I60" s="309"/>
      <c r="J60" s="309"/>
      <c r="K60" s="315"/>
      <c r="L60" s="309"/>
      <c r="M60" s="309"/>
      <c r="N60" s="19" t="s">
        <v>16</v>
      </c>
      <c r="O60" s="19" t="s">
        <v>17</v>
      </c>
      <c r="P60" s="19" t="s">
        <v>18</v>
      </c>
      <c r="Q60" s="19" t="s">
        <v>19</v>
      </c>
      <c r="V60" s="203">
        <v>59</v>
      </c>
      <c r="W60" s="203" t="s">
        <v>400</v>
      </c>
    </row>
    <row r="61" spans="1:23" ht="15.5" x14ac:dyDescent="0.35">
      <c r="A61" s="156">
        <v>60</v>
      </c>
      <c r="B61" s="155" t="s">
        <v>409</v>
      </c>
      <c r="D61" s="203">
        <v>60</v>
      </c>
      <c r="E61" s="203" t="s">
        <v>255</v>
      </c>
      <c r="I61" s="187" t="s">
        <v>31</v>
      </c>
      <c r="J61" s="172" t="s">
        <v>32</v>
      </c>
      <c r="K61" s="148">
        <v>1.5</v>
      </c>
      <c r="L61" s="149" t="s">
        <v>33</v>
      </c>
      <c r="M61" s="149" t="s">
        <v>34</v>
      </c>
      <c r="N61" s="21" t="s">
        <v>35</v>
      </c>
      <c r="O61" s="21" t="s">
        <v>511</v>
      </c>
      <c r="P61" s="21" t="s">
        <v>37</v>
      </c>
      <c r="Q61" s="149" t="s">
        <v>38</v>
      </c>
      <c r="V61" s="203">
        <v>60</v>
      </c>
      <c r="W61" s="203" t="s">
        <v>365</v>
      </c>
    </row>
    <row r="62" spans="1:23" ht="15.5" customHeight="1" x14ac:dyDescent="0.35">
      <c r="A62" s="156">
        <v>61</v>
      </c>
      <c r="B62" s="155" t="s">
        <v>503</v>
      </c>
      <c r="D62" s="203">
        <v>61</v>
      </c>
      <c r="E62" s="203" t="s">
        <v>530</v>
      </c>
      <c r="I62" s="187" t="s">
        <v>31</v>
      </c>
      <c r="J62" s="172" t="s">
        <v>32</v>
      </c>
      <c r="K62" s="148">
        <v>1.5</v>
      </c>
      <c r="L62" s="149" t="s">
        <v>33</v>
      </c>
      <c r="M62" s="149" t="s">
        <v>34</v>
      </c>
      <c r="N62" s="21" t="s">
        <v>39</v>
      </c>
      <c r="O62" s="21" t="s">
        <v>40</v>
      </c>
      <c r="P62" s="21" t="s">
        <v>41</v>
      </c>
      <c r="Q62" s="149" t="s">
        <v>38</v>
      </c>
      <c r="V62" s="203">
        <v>61</v>
      </c>
      <c r="W62" s="203" t="s">
        <v>152</v>
      </c>
    </row>
    <row r="63" spans="1:23" ht="15.5" x14ac:dyDescent="0.35">
      <c r="A63" s="200">
        <v>62</v>
      </c>
      <c r="B63" s="155" t="s">
        <v>418</v>
      </c>
      <c r="D63" s="203">
        <v>62</v>
      </c>
      <c r="E63" s="204" t="s">
        <v>531</v>
      </c>
      <c r="I63" s="187" t="s">
        <v>31</v>
      </c>
      <c r="J63" s="172" t="s">
        <v>32</v>
      </c>
      <c r="K63" s="148">
        <v>1.5</v>
      </c>
      <c r="L63" s="149" t="s">
        <v>33</v>
      </c>
      <c r="M63" s="149" t="s">
        <v>42</v>
      </c>
      <c r="N63" s="21" t="s">
        <v>35</v>
      </c>
      <c r="O63" s="21" t="s">
        <v>40</v>
      </c>
      <c r="P63" s="21" t="s">
        <v>43</v>
      </c>
      <c r="Q63" s="149" t="s">
        <v>38</v>
      </c>
      <c r="V63" s="203">
        <v>62</v>
      </c>
      <c r="W63" s="203" t="s">
        <v>373</v>
      </c>
    </row>
    <row r="64" spans="1:23" ht="15.5" customHeight="1" x14ac:dyDescent="0.35">
      <c r="A64" s="156">
        <v>63</v>
      </c>
      <c r="B64" s="155" t="s">
        <v>422</v>
      </c>
      <c r="D64" s="203">
        <v>63</v>
      </c>
      <c r="E64" s="158" t="s">
        <v>228</v>
      </c>
      <c r="I64" s="187" t="s">
        <v>31</v>
      </c>
      <c r="J64" s="172" t="s">
        <v>32</v>
      </c>
      <c r="K64" s="148">
        <v>1.5</v>
      </c>
      <c r="L64" s="149" t="s">
        <v>33</v>
      </c>
      <c r="M64" s="149" t="s">
        <v>42</v>
      </c>
      <c r="N64" s="21" t="s">
        <v>39</v>
      </c>
      <c r="O64" s="21" t="s">
        <v>44</v>
      </c>
      <c r="P64" s="21" t="s">
        <v>43</v>
      </c>
      <c r="Q64" s="149" t="s">
        <v>38</v>
      </c>
      <c r="V64" s="203">
        <v>63</v>
      </c>
      <c r="W64" s="203" t="s">
        <v>412</v>
      </c>
    </row>
    <row r="65" spans="1:23" ht="15.5" x14ac:dyDescent="0.35">
      <c r="A65" s="156">
        <v>64</v>
      </c>
      <c r="B65" s="155" t="s">
        <v>504</v>
      </c>
      <c r="D65" s="203">
        <v>64</v>
      </c>
      <c r="E65" s="158" t="s">
        <v>229</v>
      </c>
      <c r="I65" s="187" t="s">
        <v>31</v>
      </c>
      <c r="J65" s="172" t="s">
        <v>32</v>
      </c>
      <c r="K65" s="148">
        <v>1.5</v>
      </c>
      <c r="L65" s="149" t="s">
        <v>33</v>
      </c>
      <c r="M65" s="149" t="s">
        <v>45</v>
      </c>
      <c r="N65" s="21" t="s">
        <v>46</v>
      </c>
      <c r="O65" s="21" t="s">
        <v>40</v>
      </c>
      <c r="P65" s="21" t="s">
        <v>47</v>
      </c>
      <c r="Q65" s="149" t="s">
        <v>38</v>
      </c>
      <c r="V65" s="203">
        <v>64</v>
      </c>
      <c r="W65" s="203" t="s">
        <v>176</v>
      </c>
    </row>
    <row r="66" spans="1:23" ht="15.5" customHeight="1" x14ac:dyDescent="0.35">
      <c r="A66" s="200">
        <v>65</v>
      </c>
      <c r="B66" s="155" t="s">
        <v>505</v>
      </c>
      <c r="D66" s="203">
        <v>65</v>
      </c>
      <c r="E66" s="158" t="s">
        <v>181</v>
      </c>
      <c r="I66" s="187" t="s">
        <v>31</v>
      </c>
      <c r="J66" s="172" t="s">
        <v>32</v>
      </c>
      <c r="K66" s="148">
        <v>1.5</v>
      </c>
      <c r="L66" s="149" t="s">
        <v>33</v>
      </c>
      <c r="M66" s="149" t="s">
        <v>45</v>
      </c>
      <c r="N66" s="21" t="s">
        <v>48</v>
      </c>
      <c r="O66" s="21" t="s">
        <v>40</v>
      </c>
      <c r="P66" s="21" t="s">
        <v>47</v>
      </c>
      <c r="Q66" s="149" t="s">
        <v>38</v>
      </c>
      <c r="V66" s="203">
        <v>65</v>
      </c>
      <c r="W66" s="203" t="s">
        <v>404</v>
      </c>
    </row>
    <row r="67" spans="1:23" ht="15.5" x14ac:dyDescent="0.35">
      <c r="A67" s="156">
        <v>66</v>
      </c>
      <c r="B67" s="155" t="s">
        <v>430</v>
      </c>
      <c r="D67" s="203">
        <v>66</v>
      </c>
      <c r="E67" s="158" t="s">
        <v>183</v>
      </c>
      <c r="I67" s="187" t="s">
        <v>31</v>
      </c>
      <c r="J67" s="172" t="s">
        <v>32</v>
      </c>
      <c r="K67" s="148">
        <v>1.5</v>
      </c>
      <c r="L67" s="149" t="s">
        <v>33</v>
      </c>
      <c r="M67" s="149" t="s">
        <v>49</v>
      </c>
      <c r="N67" s="21" t="s">
        <v>46</v>
      </c>
      <c r="O67" s="21" t="s">
        <v>44</v>
      </c>
      <c r="P67" s="21" t="s">
        <v>43</v>
      </c>
      <c r="Q67" s="149" t="s">
        <v>38</v>
      </c>
      <c r="V67" s="203">
        <v>66</v>
      </c>
      <c r="W67" s="203" t="s">
        <v>431</v>
      </c>
    </row>
    <row r="68" spans="1:23" ht="15.5" customHeight="1" x14ac:dyDescent="0.35">
      <c r="A68" s="156">
        <v>67</v>
      </c>
      <c r="B68" s="155" t="s">
        <v>433</v>
      </c>
      <c r="D68" s="203">
        <v>67</v>
      </c>
      <c r="E68" s="158" t="s">
        <v>231</v>
      </c>
      <c r="I68" s="187" t="s">
        <v>31</v>
      </c>
      <c r="J68" s="172" t="s">
        <v>32</v>
      </c>
      <c r="K68" s="148">
        <v>1.5</v>
      </c>
      <c r="L68" s="149" t="s">
        <v>33</v>
      </c>
      <c r="M68" s="149" t="s">
        <v>49</v>
      </c>
      <c r="N68" s="21" t="s">
        <v>48</v>
      </c>
      <c r="O68" s="21" t="s">
        <v>44</v>
      </c>
      <c r="P68" s="21" t="s">
        <v>43</v>
      </c>
      <c r="Q68" s="149" t="s">
        <v>38</v>
      </c>
      <c r="V68" s="203">
        <v>67</v>
      </c>
      <c r="W68" s="203" t="s">
        <v>445</v>
      </c>
    </row>
    <row r="69" spans="1:23" ht="15.5" x14ac:dyDescent="0.35">
      <c r="A69" s="200">
        <v>68</v>
      </c>
      <c r="B69" s="155" t="s">
        <v>436</v>
      </c>
      <c r="D69" s="203">
        <v>68</v>
      </c>
      <c r="E69" s="158" t="s">
        <v>233</v>
      </c>
      <c r="I69" s="187" t="s">
        <v>31</v>
      </c>
      <c r="J69" s="173" t="s">
        <v>50</v>
      </c>
      <c r="K69" s="148">
        <v>1.5</v>
      </c>
      <c r="L69" s="153" t="s">
        <v>51</v>
      </c>
      <c r="M69" s="153" t="s">
        <v>34</v>
      </c>
      <c r="N69" s="28" t="s">
        <v>46</v>
      </c>
      <c r="O69" s="28" t="s">
        <v>52</v>
      </c>
      <c r="P69" s="28" t="s">
        <v>53</v>
      </c>
      <c r="Q69" s="153" t="s">
        <v>54</v>
      </c>
      <c r="V69" s="203">
        <v>68</v>
      </c>
      <c r="W69" s="203" t="s">
        <v>459</v>
      </c>
    </row>
    <row r="70" spans="1:23" ht="15.5" customHeight="1" x14ac:dyDescent="0.35">
      <c r="A70" s="156">
        <v>69</v>
      </c>
      <c r="B70" s="155" t="s">
        <v>438</v>
      </c>
      <c r="D70" s="203">
        <v>69</v>
      </c>
      <c r="E70" s="155" t="s">
        <v>238</v>
      </c>
      <c r="I70" s="187" t="s">
        <v>31</v>
      </c>
      <c r="J70" s="173" t="s">
        <v>50</v>
      </c>
      <c r="K70" s="148">
        <v>1.5</v>
      </c>
      <c r="L70" s="153" t="s">
        <v>51</v>
      </c>
      <c r="M70" s="153" t="s">
        <v>34</v>
      </c>
      <c r="N70" s="28" t="s">
        <v>55</v>
      </c>
      <c r="O70" s="28" t="s">
        <v>56</v>
      </c>
      <c r="P70" s="28" t="s">
        <v>57</v>
      </c>
      <c r="Q70" s="153" t="s">
        <v>54</v>
      </c>
      <c r="V70" s="203">
        <v>69</v>
      </c>
      <c r="W70" s="203" t="s">
        <v>296</v>
      </c>
    </row>
    <row r="71" spans="1:23" ht="15.5" x14ac:dyDescent="0.35">
      <c r="A71" s="156">
        <v>70</v>
      </c>
      <c r="B71" s="155" t="s">
        <v>441</v>
      </c>
      <c r="D71" s="203">
        <v>70</v>
      </c>
      <c r="E71" s="155" t="s">
        <v>532</v>
      </c>
      <c r="I71" s="187" t="s">
        <v>31</v>
      </c>
      <c r="J71" s="173" t="s">
        <v>58</v>
      </c>
      <c r="K71" s="148">
        <v>1.5</v>
      </c>
      <c r="L71" s="153" t="s">
        <v>51</v>
      </c>
      <c r="M71" s="153" t="s">
        <v>42</v>
      </c>
      <c r="N71" s="28" t="s">
        <v>39</v>
      </c>
      <c r="O71" s="28" t="s">
        <v>59</v>
      </c>
      <c r="P71" s="28" t="s">
        <v>60</v>
      </c>
      <c r="Q71" s="153" t="s">
        <v>54</v>
      </c>
      <c r="V71" s="203">
        <v>70</v>
      </c>
      <c r="W71" s="203" t="s">
        <v>440</v>
      </c>
    </row>
    <row r="72" spans="1:23" ht="15.5" customHeight="1" x14ac:dyDescent="0.35">
      <c r="A72" s="200">
        <v>71</v>
      </c>
      <c r="B72" s="155" t="s">
        <v>446</v>
      </c>
      <c r="D72" s="203">
        <v>71</v>
      </c>
      <c r="E72" s="155" t="s">
        <v>278</v>
      </c>
      <c r="I72" s="187" t="s">
        <v>31</v>
      </c>
      <c r="J72" s="173" t="s">
        <v>58</v>
      </c>
      <c r="K72" s="148">
        <v>1.5</v>
      </c>
      <c r="L72" s="153" t="s">
        <v>51</v>
      </c>
      <c r="M72" s="153" t="s">
        <v>42</v>
      </c>
      <c r="N72" s="28" t="s">
        <v>48</v>
      </c>
      <c r="O72" s="28" t="s">
        <v>61</v>
      </c>
      <c r="P72" s="28" t="s">
        <v>60</v>
      </c>
      <c r="Q72" s="153" t="s">
        <v>54</v>
      </c>
      <c r="V72" s="203">
        <v>71</v>
      </c>
      <c r="W72" s="203" t="s">
        <v>295</v>
      </c>
    </row>
    <row r="73" spans="1:23" ht="15.5" x14ac:dyDescent="0.35">
      <c r="A73" s="156">
        <v>72</v>
      </c>
      <c r="B73" s="155" t="s">
        <v>450</v>
      </c>
      <c r="D73" s="203">
        <v>72</v>
      </c>
      <c r="E73" s="155" t="s">
        <v>533</v>
      </c>
      <c r="I73" s="187" t="s">
        <v>31</v>
      </c>
      <c r="J73" s="172" t="s">
        <v>62</v>
      </c>
      <c r="K73" s="148">
        <v>1.5</v>
      </c>
      <c r="L73" s="149" t="s">
        <v>63</v>
      </c>
      <c r="M73" s="149" t="s">
        <v>64</v>
      </c>
      <c r="N73" s="21" t="s">
        <v>48</v>
      </c>
      <c r="O73" s="21" t="s">
        <v>40</v>
      </c>
      <c r="P73" s="21" t="s">
        <v>65</v>
      </c>
      <c r="Q73" s="149" t="s">
        <v>38</v>
      </c>
      <c r="V73" s="203">
        <v>72</v>
      </c>
      <c r="W73" s="203" t="s">
        <v>327</v>
      </c>
    </row>
    <row r="74" spans="1:23" ht="15.5" x14ac:dyDescent="0.35">
      <c r="A74" s="156">
        <v>73</v>
      </c>
      <c r="B74" s="155" t="s">
        <v>451</v>
      </c>
      <c r="D74" s="203">
        <v>73</v>
      </c>
      <c r="E74" s="155" t="s">
        <v>534</v>
      </c>
      <c r="I74" s="187" t="s">
        <v>31</v>
      </c>
      <c r="J74" s="172" t="s">
        <v>62</v>
      </c>
      <c r="K74" s="148">
        <v>1.5</v>
      </c>
      <c r="L74" s="149" t="s">
        <v>63</v>
      </c>
      <c r="M74" s="149" t="s">
        <v>64</v>
      </c>
      <c r="N74" s="21" t="s">
        <v>55</v>
      </c>
      <c r="O74" s="21" t="s">
        <v>66</v>
      </c>
      <c r="P74" s="21" t="s">
        <v>65</v>
      </c>
      <c r="Q74" s="149" t="s">
        <v>38</v>
      </c>
      <c r="V74" s="203">
        <v>73</v>
      </c>
      <c r="W74" s="203" t="s">
        <v>328</v>
      </c>
    </row>
    <row r="75" spans="1:23" ht="15.5" x14ac:dyDescent="0.35">
      <c r="A75" s="200">
        <v>74</v>
      </c>
      <c r="B75" s="155" t="s">
        <v>453</v>
      </c>
      <c r="D75" s="203">
        <v>74</v>
      </c>
      <c r="E75" s="155" t="s">
        <v>374</v>
      </c>
      <c r="I75" s="187" t="s">
        <v>31</v>
      </c>
      <c r="J75" s="172" t="s">
        <v>67</v>
      </c>
      <c r="K75" s="148">
        <v>2</v>
      </c>
      <c r="L75" s="149" t="s">
        <v>68</v>
      </c>
      <c r="M75" s="149" t="s">
        <v>69</v>
      </c>
      <c r="N75" s="21" t="s">
        <v>35</v>
      </c>
      <c r="O75" s="30" t="s">
        <v>70</v>
      </c>
      <c r="P75" s="30" t="s">
        <v>71</v>
      </c>
      <c r="Q75" s="149" t="s">
        <v>54</v>
      </c>
      <c r="V75" s="203">
        <v>74</v>
      </c>
      <c r="W75" s="203" t="s">
        <v>338</v>
      </c>
    </row>
    <row r="76" spans="1:23" ht="15.5" x14ac:dyDescent="0.35">
      <c r="A76" s="156">
        <v>75</v>
      </c>
      <c r="B76" s="155" t="s">
        <v>455</v>
      </c>
      <c r="D76" s="203">
        <v>75</v>
      </c>
      <c r="E76" s="155" t="s">
        <v>245</v>
      </c>
      <c r="I76" s="188" t="s">
        <v>31</v>
      </c>
      <c r="J76" s="172" t="s">
        <v>67</v>
      </c>
      <c r="K76" s="148">
        <v>2</v>
      </c>
      <c r="L76" s="149" t="s">
        <v>68</v>
      </c>
      <c r="M76" s="149" t="s">
        <v>69</v>
      </c>
      <c r="N76" s="21" t="s">
        <v>48</v>
      </c>
      <c r="O76" s="30" t="s">
        <v>70</v>
      </c>
      <c r="P76" s="30" t="s">
        <v>71</v>
      </c>
      <c r="Q76" s="149" t="s">
        <v>54</v>
      </c>
      <c r="V76" s="203">
        <v>75</v>
      </c>
      <c r="W76" s="203" t="s">
        <v>391</v>
      </c>
    </row>
    <row r="77" spans="1:23" ht="15.5" customHeight="1" x14ac:dyDescent="0.35">
      <c r="A77" s="156">
        <v>76</v>
      </c>
      <c r="B77" s="155" t="s">
        <v>456</v>
      </c>
      <c r="D77" s="203">
        <v>76</v>
      </c>
      <c r="E77" s="155" t="s">
        <v>248</v>
      </c>
      <c r="I77" s="172" t="s">
        <v>73</v>
      </c>
      <c r="J77" s="174" t="s">
        <v>74</v>
      </c>
      <c r="K77" s="171">
        <v>3</v>
      </c>
      <c r="L77" s="38" t="s">
        <v>75</v>
      </c>
      <c r="M77" s="38" t="s">
        <v>76</v>
      </c>
      <c r="N77" s="21" t="s">
        <v>35</v>
      </c>
      <c r="O77" s="21" t="s">
        <v>40</v>
      </c>
      <c r="P77" s="21" t="s">
        <v>77</v>
      </c>
      <c r="Q77" s="38" t="s">
        <v>38</v>
      </c>
      <c r="V77" s="203">
        <v>76</v>
      </c>
      <c r="W77" s="203" t="s">
        <v>386</v>
      </c>
    </row>
    <row r="78" spans="1:23" ht="15.5" x14ac:dyDescent="0.35">
      <c r="A78" s="200">
        <v>77</v>
      </c>
      <c r="B78" s="155" t="s">
        <v>457</v>
      </c>
      <c r="D78" s="203">
        <v>77</v>
      </c>
      <c r="E78" s="202" t="s">
        <v>275</v>
      </c>
      <c r="I78" s="172" t="s">
        <v>73</v>
      </c>
      <c r="J78" s="174" t="s">
        <v>74</v>
      </c>
      <c r="K78" s="171">
        <v>3</v>
      </c>
      <c r="L78" s="38" t="s">
        <v>75</v>
      </c>
      <c r="M78" s="38" t="s">
        <v>76</v>
      </c>
      <c r="N78" s="21" t="s">
        <v>48</v>
      </c>
      <c r="O78" s="21" t="s">
        <v>511</v>
      </c>
      <c r="P78" s="21" t="s">
        <v>78</v>
      </c>
      <c r="Q78" s="38" t="s">
        <v>38</v>
      </c>
      <c r="V78" s="203">
        <v>77</v>
      </c>
      <c r="W78" s="203" t="s">
        <v>408</v>
      </c>
    </row>
    <row r="79" spans="1:23" ht="15.5" customHeight="1" x14ac:dyDescent="0.35">
      <c r="A79" s="156">
        <v>78</v>
      </c>
      <c r="B79" s="155" t="s">
        <v>460</v>
      </c>
      <c r="D79" s="203">
        <v>78</v>
      </c>
      <c r="E79" s="202" t="s">
        <v>276</v>
      </c>
      <c r="I79" s="172" t="s">
        <v>73</v>
      </c>
      <c r="J79" s="172" t="s">
        <v>74</v>
      </c>
      <c r="K79" s="171">
        <v>3</v>
      </c>
      <c r="L79" s="38" t="s">
        <v>75</v>
      </c>
      <c r="M79" s="38" t="s">
        <v>79</v>
      </c>
      <c r="N79" s="21" t="s">
        <v>35</v>
      </c>
      <c r="O79" s="21" t="s">
        <v>511</v>
      </c>
      <c r="P79" s="21" t="s">
        <v>80</v>
      </c>
      <c r="Q79" s="38" t="s">
        <v>38</v>
      </c>
      <c r="V79" s="203">
        <v>78</v>
      </c>
      <c r="W79" s="203" t="s">
        <v>322</v>
      </c>
    </row>
    <row r="80" spans="1:23" ht="15.5" x14ac:dyDescent="0.35">
      <c r="A80" s="156">
        <v>79</v>
      </c>
      <c r="B80" s="155" t="s">
        <v>461</v>
      </c>
      <c r="D80" s="202">
        <v>79</v>
      </c>
      <c r="E80" s="202" t="s">
        <v>279</v>
      </c>
      <c r="I80" s="172" t="s">
        <v>73</v>
      </c>
      <c r="J80" s="172" t="s">
        <v>74</v>
      </c>
      <c r="K80" s="171">
        <v>3</v>
      </c>
      <c r="L80" s="38" t="s">
        <v>75</v>
      </c>
      <c r="M80" s="38" t="s">
        <v>79</v>
      </c>
      <c r="N80" s="21" t="s">
        <v>48</v>
      </c>
      <c r="O80" s="21" t="s">
        <v>40</v>
      </c>
      <c r="P80" s="21" t="s">
        <v>41</v>
      </c>
      <c r="Q80" s="38" t="s">
        <v>38</v>
      </c>
      <c r="V80" s="203">
        <v>79</v>
      </c>
      <c r="W80" s="203" t="s">
        <v>324</v>
      </c>
    </row>
    <row r="81" spans="1:23" ht="16.5" customHeight="1" x14ac:dyDescent="0.35">
      <c r="A81" s="200">
        <v>80</v>
      </c>
      <c r="B81" s="155" t="s">
        <v>506</v>
      </c>
      <c r="D81" s="202">
        <v>80</v>
      </c>
      <c r="E81" s="202" t="s">
        <v>281</v>
      </c>
      <c r="I81" s="172" t="s">
        <v>73</v>
      </c>
      <c r="J81" s="175" t="s">
        <v>58</v>
      </c>
      <c r="K81" s="171">
        <v>1.5</v>
      </c>
      <c r="L81" s="38" t="s">
        <v>81</v>
      </c>
      <c r="M81" s="38" t="s">
        <v>42</v>
      </c>
      <c r="N81" s="21" t="s">
        <v>35</v>
      </c>
      <c r="O81" s="31" t="s">
        <v>82</v>
      </c>
      <c r="P81" s="31" t="s">
        <v>60</v>
      </c>
      <c r="Q81" s="38" t="s">
        <v>38</v>
      </c>
      <c r="V81" s="203">
        <v>80</v>
      </c>
      <c r="W81" s="203" t="s">
        <v>323</v>
      </c>
    </row>
    <row r="82" spans="1:23" ht="16.5" x14ac:dyDescent="0.35">
      <c r="A82" s="156">
        <v>81</v>
      </c>
      <c r="B82" s="155" t="s">
        <v>507</v>
      </c>
      <c r="D82" s="202">
        <v>81</v>
      </c>
      <c r="E82" s="202" t="s">
        <v>282</v>
      </c>
      <c r="I82" s="172" t="s">
        <v>73</v>
      </c>
      <c r="J82" s="175" t="s">
        <v>58</v>
      </c>
      <c r="K82" s="171">
        <v>1.5</v>
      </c>
      <c r="L82" s="38" t="s">
        <v>81</v>
      </c>
      <c r="M82" s="38" t="s">
        <v>42</v>
      </c>
      <c r="N82" s="21" t="s">
        <v>39</v>
      </c>
      <c r="O82" s="31" t="s">
        <v>82</v>
      </c>
      <c r="P82" s="31" t="s">
        <v>60</v>
      </c>
      <c r="Q82" s="38" t="s">
        <v>38</v>
      </c>
      <c r="V82" s="203">
        <v>81</v>
      </c>
      <c r="W82" s="203" t="s">
        <v>85</v>
      </c>
    </row>
    <row r="83" spans="1:23" ht="15.5" customHeight="1" x14ac:dyDescent="0.35">
      <c r="A83" s="156">
        <v>82</v>
      </c>
      <c r="B83" s="155" t="s">
        <v>466</v>
      </c>
      <c r="D83" s="202">
        <v>82</v>
      </c>
      <c r="E83" s="202" t="s">
        <v>434</v>
      </c>
      <c r="I83" s="172" t="s">
        <v>73</v>
      </c>
      <c r="J83" s="175" t="s">
        <v>50</v>
      </c>
      <c r="K83" s="171">
        <v>1.5</v>
      </c>
      <c r="L83" s="38" t="s">
        <v>81</v>
      </c>
      <c r="M83" s="38" t="s">
        <v>49</v>
      </c>
      <c r="N83" s="21" t="s">
        <v>35</v>
      </c>
      <c r="O83" s="21" t="s">
        <v>82</v>
      </c>
      <c r="P83" s="21" t="s">
        <v>83</v>
      </c>
      <c r="Q83" s="38" t="s">
        <v>38</v>
      </c>
      <c r="V83" s="203">
        <v>82</v>
      </c>
      <c r="W83" s="203" t="s">
        <v>392</v>
      </c>
    </row>
    <row r="84" spans="1:23" ht="16.5" x14ac:dyDescent="0.35">
      <c r="A84" s="200">
        <v>83</v>
      </c>
      <c r="B84" s="155" t="s">
        <v>508</v>
      </c>
      <c r="D84" s="202">
        <v>83</v>
      </c>
      <c r="E84" s="202" t="s">
        <v>303</v>
      </c>
      <c r="I84" s="172" t="s">
        <v>73</v>
      </c>
      <c r="J84" s="175" t="s">
        <v>50</v>
      </c>
      <c r="K84" s="171">
        <v>1.5</v>
      </c>
      <c r="L84" s="38" t="s">
        <v>81</v>
      </c>
      <c r="M84" s="38" t="s">
        <v>49</v>
      </c>
      <c r="N84" s="21" t="s">
        <v>48</v>
      </c>
      <c r="O84" s="21" t="s">
        <v>84</v>
      </c>
      <c r="P84" s="21" t="s">
        <v>85</v>
      </c>
      <c r="Q84" s="38" t="s">
        <v>38</v>
      </c>
      <c r="V84" s="203">
        <v>83</v>
      </c>
      <c r="W84" s="203" t="s">
        <v>387</v>
      </c>
    </row>
    <row r="85" spans="1:23" ht="15.5" customHeight="1" x14ac:dyDescent="0.35">
      <c r="A85" s="156">
        <v>84</v>
      </c>
      <c r="B85" s="158" t="s">
        <v>468</v>
      </c>
      <c r="D85" s="202">
        <v>84</v>
      </c>
      <c r="E85" s="202" t="s">
        <v>307</v>
      </c>
      <c r="I85" s="172" t="s">
        <v>73</v>
      </c>
      <c r="J85" s="172" t="s">
        <v>50</v>
      </c>
      <c r="K85" s="171">
        <v>1.5</v>
      </c>
      <c r="L85" s="38" t="s">
        <v>86</v>
      </c>
      <c r="M85" s="38" t="s">
        <v>34</v>
      </c>
      <c r="N85" s="21" t="s">
        <v>46</v>
      </c>
      <c r="O85" s="21" t="s">
        <v>56</v>
      </c>
      <c r="P85" s="21" t="s">
        <v>87</v>
      </c>
      <c r="Q85" s="38" t="s">
        <v>38</v>
      </c>
      <c r="V85" s="203">
        <v>84</v>
      </c>
      <c r="W85" s="203" t="s">
        <v>262</v>
      </c>
    </row>
    <row r="86" spans="1:23" ht="15.5" x14ac:dyDescent="0.35">
      <c r="D86" s="202">
        <v>85</v>
      </c>
      <c r="E86" s="202" t="s">
        <v>313</v>
      </c>
      <c r="I86" s="172" t="s">
        <v>73</v>
      </c>
      <c r="J86" s="172" t="s">
        <v>50</v>
      </c>
      <c r="K86" s="171">
        <v>1.5</v>
      </c>
      <c r="L86" s="38" t="s">
        <v>86</v>
      </c>
      <c r="M86" s="38" t="s">
        <v>34</v>
      </c>
      <c r="N86" s="21" t="s">
        <v>39</v>
      </c>
      <c r="O86" s="21" t="s">
        <v>84</v>
      </c>
      <c r="P86" s="21" t="s">
        <v>88</v>
      </c>
      <c r="Q86" s="38" t="s">
        <v>38</v>
      </c>
      <c r="V86" s="203">
        <v>85</v>
      </c>
      <c r="W86" s="203" t="s">
        <v>290</v>
      </c>
    </row>
    <row r="87" spans="1:23" ht="15.5" x14ac:dyDescent="0.35">
      <c r="D87" s="202">
        <v>86</v>
      </c>
      <c r="E87" s="202" t="s">
        <v>316</v>
      </c>
      <c r="I87" s="172" t="s">
        <v>73</v>
      </c>
      <c r="J87" s="47" t="s">
        <v>89</v>
      </c>
      <c r="K87" s="33">
        <v>3</v>
      </c>
      <c r="L87" s="21" t="s">
        <v>75</v>
      </c>
      <c r="M87" s="21" t="s">
        <v>90</v>
      </c>
      <c r="N87" s="21" t="s">
        <v>35</v>
      </c>
      <c r="O87" s="21" t="s">
        <v>91</v>
      </c>
      <c r="P87" s="34" t="s">
        <v>92</v>
      </c>
      <c r="Q87" s="21" t="s">
        <v>93</v>
      </c>
      <c r="V87" s="203">
        <v>86</v>
      </c>
      <c r="W87" s="203" t="s">
        <v>291</v>
      </c>
    </row>
    <row r="88" spans="1:23" ht="15.5" customHeight="1" x14ac:dyDescent="0.35">
      <c r="D88" s="202">
        <v>87</v>
      </c>
      <c r="E88" s="202" t="s">
        <v>318</v>
      </c>
      <c r="I88" s="172" t="s">
        <v>478</v>
      </c>
      <c r="J88" s="172" t="s">
        <v>95</v>
      </c>
      <c r="K88" s="148">
        <v>3</v>
      </c>
      <c r="L88" s="149" t="s">
        <v>33</v>
      </c>
      <c r="M88" s="149" t="s">
        <v>79</v>
      </c>
      <c r="N88" s="21" t="s">
        <v>46</v>
      </c>
      <c r="O88" s="21" t="s">
        <v>40</v>
      </c>
      <c r="P88" s="35" t="s">
        <v>96</v>
      </c>
      <c r="Q88" s="149" t="s">
        <v>54</v>
      </c>
      <c r="V88" s="203">
        <v>87</v>
      </c>
      <c r="W88" s="203" t="s">
        <v>329</v>
      </c>
    </row>
    <row r="89" spans="1:23" ht="15.5" x14ac:dyDescent="0.35">
      <c r="D89" s="202">
        <v>88</v>
      </c>
      <c r="E89" s="202" t="s">
        <v>320</v>
      </c>
      <c r="I89" s="172" t="s">
        <v>478</v>
      </c>
      <c r="J89" s="172" t="s">
        <v>95</v>
      </c>
      <c r="K89" s="148">
        <v>3</v>
      </c>
      <c r="L89" s="149" t="s">
        <v>33</v>
      </c>
      <c r="M89" s="149" t="s">
        <v>79</v>
      </c>
      <c r="N89" s="21" t="s">
        <v>48</v>
      </c>
      <c r="O89" s="21" t="s">
        <v>511</v>
      </c>
      <c r="P89" s="35" t="s">
        <v>96</v>
      </c>
      <c r="Q89" s="149" t="s">
        <v>54</v>
      </c>
      <c r="V89" s="203">
        <v>88</v>
      </c>
      <c r="W89" s="203" t="s">
        <v>251</v>
      </c>
    </row>
    <row r="90" spans="1:23" ht="15.5" x14ac:dyDescent="0.35">
      <c r="D90" s="202">
        <v>89</v>
      </c>
      <c r="E90" s="202" t="s">
        <v>335</v>
      </c>
      <c r="I90" s="172" t="s">
        <v>478</v>
      </c>
      <c r="J90" s="172" t="s">
        <v>95</v>
      </c>
      <c r="K90" s="148">
        <v>3</v>
      </c>
      <c r="L90" s="149" t="s">
        <v>33</v>
      </c>
      <c r="M90" s="149" t="s">
        <v>97</v>
      </c>
      <c r="N90" s="21" t="s">
        <v>35</v>
      </c>
      <c r="O90" s="21" t="s">
        <v>511</v>
      </c>
      <c r="P90" s="35" t="s">
        <v>98</v>
      </c>
      <c r="Q90" s="149" t="s">
        <v>54</v>
      </c>
      <c r="V90" s="203">
        <v>89</v>
      </c>
      <c r="W90" s="203" t="s">
        <v>292</v>
      </c>
    </row>
    <row r="91" spans="1:23" ht="15.5" x14ac:dyDescent="0.35">
      <c r="D91" s="202">
        <v>90</v>
      </c>
      <c r="E91" s="202" t="s">
        <v>343</v>
      </c>
      <c r="I91" s="172" t="s">
        <v>478</v>
      </c>
      <c r="J91" s="172" t="s">
        <v>95</v>
      </c>
      <c r="K91" s="148">
        <v>3</v>
      </c>
      <c r="L91" s="149" t="s">
        <v>33</v>
      </c>
      <c r="M91" s="149" t="s">
        <v>97</v>
      </c>
      <c r="N91" s="21" t="s">
        <v>55</v>
      </c>
      <c r="O91" s="21" t="s">
        <v>511</v>
      </c>
      <c r="P91" s="35" t="s">
        <v>98</v>
      </c>
      <c r="Q91" s="149" t="s">
        <v>54</v>
      </c>
      <c r="V91" s="203">
        <v>90</v>
      </c>
      <c r="W91" s="203" t="s">
        <v>252</v>
      </c>
    </row>
    <row r="92" spans="1:23" ht="31" x14ac:dyDescent="0.35">
      <c r="D92" s="202">
        <v>91</v>
      </c>
      <c r="E92" s="202" t="s">
        <v>537</v>
      </c>
      <c r="I92" s="172" t="s">
        <v>478</v>
      </c>
      <c r="J92" s="172" t="s">
        <v>99</v>
      </c>
      <c r="K92" s="148">
        <v>3</v>
      </c>
      <c r="L92" s="149" t="s">
        <v>33</v>
      </c>
      <c r="M92" s="149" t="s">
        <v>79</v>
      </c>
      <c r="N92" s="21" t="s">
        <v>35</v>
      </c>
      <c r="O92" s="21" t="s">
        <v>44</v>
      </c>
      <c r="P92" s="21" t="s">
        <v>37</v>
      </c>
      <c r="Q92" s="149" t="s">
        <v>38</v>
      </c>
      <c r="V92" s="203">
        <v>91</v>
      </c>
      <c r="W92" s="203" t="s">
        <v>265</v>
      </c>
    </row>
    <row r="93" spans="1:23" ht="31" x14ac:dyDescent="0.35">
      <c r="D93" s="202">
        <v>92</v>
      </c>
      <c r="E93" s="202" t="s">
        <v>355</v>
      </c>
      <c r="I93" s="172" t="s">
        <v>478</v>
      </c>
      <c r="J93" s="172" t="s">
        <v>99</v>
      </c>
      <c r="K93" s="148">
        <v>3</v>
      </c>
      <c r="L93" s="149" t="s">
        <v>33</v>
      </c>
      <c r="M93" s="149" t="s">
        <v>79</v>
      </c>
      <c r="N93" s="21" t="s">
        <v>39</v>
      </c>
      <c r="O93" s="21" t="s">
        <v>44</v>
      </c>
      <c r="P93" s="21" t="s">
        <v>37</v>
      </c>
      <c r="Q93" s="149" t="s">
        <v>38</v>
      </c>
      <c r="V93" s="203">
        <v>92</v>
      </c>
      <c r="W93" s="203" t="s">
        <v>263</v>
      </c>
    </row>
    <row r="94" spans="1:23" ht="15.5" x14ac:dyDescent="0.35">
      <c r="D94" s="202">
        <v>93</v>
      </c>
      <c r="E94" s="202" t="s">
        <v>536</v>
      </c>
      <c r="I94" s="172" t="s">
        <v>478</v>
      </c>
      <c r="J94" s="172" t="s">
        <v>100</v>
      </c>
      <c r="K94" s="148">
        <v>3</v>
      </c>
      <c r="L94" s="149" t="s">
        <v>33</v>
      </c>
      <c r="M94" s="149" t="s">
        <v>101</v>
      </c>
      <c r="N94" s="21" t="s">
        <v>35</v>
      </c>
      <c r="O94" s="21" t="s">
        <v>511</v>
      </c>
      <c r="P94" s="35" t="s">
        <v>43</v>
      </c>
      <c r="Q94" s="149" t="s">
        <v>38</v>
      </c>
      <c r="V94" s="203">
        <v>93</v>
      </c>
      <c r="W94" s="203" t="s">
        <v>264</v>
      </c>
    </row>
    <row r="95" spans="1:23" ht="15.5" x14ac:dyDescent="0.35">
      <c r="D95" s="202">
        <v>94</v>
      </c>
      <c r="E95" s="202" t="s">
        <v>360</v>
      </c>
      <c r="I95" s="172" t="s">
        <v>478</v>
      </c>
      <c r="J95" s="172" t="s">
        <v>100</v>
      </c>
      <c r="K95" s="148">
        <v>3</v>
      </c>
      <c r="L95" s="149" t="s">
        <v>33</v>
      </c>
      <c r="M95" s="149" t="s">
        <v>101</v>
      </c>
      <c r="N95" s="21" t="s">
        <v>39</v>
      </c>
      <c r="O95" s="21" t="s">
        <v>511</v>
      </c>
      <c r="P95" s="35" t="s">
        <v>43</v>
      </c>
      <c r="Q95" s="149" t="s">
        <v>38</v>
      </c>
      <c r="V95" s="203">
        <v>94</v>
      </c>
      <c r="W95" s="203">
        <v>4.42</v>
      </c>
    </row>
    <row r="96" spans="1:23" ht="15.5" x14ac:dyDescent="0.35">
      <c r="D96" s="202">
        <v>95</v>
      </c>
      <c r="E96" s="202" t="s">
        <v>366</v>
      </c>
      <c r="I96" s="172" t="s">
        <v>478</v>
      </c>
      <c r="J96" s="172" t="s">
        <v>100</v>
      </c>
      <c r="K96" s="148">
        <v>3</v>
      </c>
      <c r="L96" s="149" t="s">
        <v>33</v>
      </c>
      <c r="M96" s="149" t="s">
        <v>64</v>
      </c>
      <c r="N96" s="21" t="s">
        <v>46</v>
      </c>
      <c r="O96" s="21" t="s">
        <v>511</v>
      </c>
      <c r="P96" s="35" t="s">
        <v>92</v>
      </c>
      <c r="Q96" s="149" t="s">
        <v>38</v>
      </c>
      <c r="V96" s="203">
        <v>95</v>
      </c>
      <c r="W96" s="203" t="s">
        <v>336</v>
      </c>
    </row>
    <row r="97" spans="4:23" ht="15.5" x14ac:dyDescent="0.35">
      <c r="D97" s="202">
        <v>96</v>
      </c>
      <c r="E97" s="202" t="s">
        <v>377</v>
      </c>
      <c r="I97" s="172" t="s">
        <v>478</v>
      </c>
      <c r="J97" s="172" t="s">
        <v>100</v>
      </c>
      <c r="K97" s="148">
        <v>3</v>
      </c>
      <c r="L97" s="149" t="s">
        <v>33</v>
      </c>
      <c r="M97" s="149" t="s">
        <v>64</v>
      </c>
      <c r="N97" s="21" t="s">
        <v>48</v>
      </c>
      <c r="O97" s="21" t="s">
        <v>511</v>
      </c>
      <c r="P97" s="35" t="s">
        <v>92</v>
      </c>
      <c r="Q97" s="149" t="s">
        <v>38</v>
      </c>
      <c r="V97" s="203">
        <v>96</v>
      </c>
      <c r="W97" s="203" t="s">
        <v>314</v>
      </c>
    </row>
    <row r="98" spans="4:23" ht="15.5" x14ac:dyDescent="0.35">
      <c r="D98" s="202">
        <v>97</v>
      </c>
      <c r="E98" s="202" t="s">
        <v>381</v>
      </c>
      <c r="I98" s="172" t="s">
        <v>478</v>
      </c>
      <c r="J98" s="172" t="s">
        <v>100</v>
      </c>
      <c r="K98" s="148">
        <v>3</v>
      </c>
      <c r="L98" s="149" t="s">
        <v>33</v>
      </c>
      <c r="M98" s="149" t="s">
        <v>103</v>
      </c>
      <c r="N98" s="21" t="s">
        <v>46</v>
      </c>
      <c r="O98" s="21" t="s">
        <v>40</v>
      </c>
      <c r="P98" s="35" t="s">
        <v>92</v>
      </c>
      <c r="Q98" s="149" t="s">
        <v>38</v>
      </c>
      <c r="V98" s="203">
        <v>97</v>
      </c>
      <c r="W98" s="203" t="s">
        <v>315</v>
      </c>
    </row>
    <row r="99" spans="4:23" ht="15.5" x14ac:dyDescent="0.35">
      <c r="D99" s="202">
        <v>98</v>
      </c>
      <c r="E99" s="202" t="s">
        <v>399</v>
      </c>
      <c r="I99" s="172" t="s">
        <v>478</v>
      </c>
      <c r="J99" s="172" t="s">
        <v>100</v>
      </c>
      <c r="K99" s="148">
        <v>3</v>
      </c>
      <c r="L99" s="149" t="s">
        <v>33</v>
      </c>
      <c r="M99" s="149" t="s">
        <v>103</v>
      </c>
      <c r="N99" s="21" t="s">
        <v>48</v>
      </c>
      <c r="O99" s="21" t="s">
        <v>40</v>
      </c>
      <c r="P99" s="35" t="s">
        <v>92</v>
      </c>
      <c r="Q99" s="149" t="s">
        <v>38</v>
      </c>
      <c r="V99" s="203">
        <v>98</v>
      </c>
      <c r="W99" s="202" t="s">
        <v>369</v>
      </c>
    </row>
    <row r="100" spans="4:23" ht="15.5" x14ac:dyDescent="0.35">
      <c r="D100" s="202">
        <v>99</v>
      </c>
      <c r="E100" s="202" t="s">
        <v>401</v>
      </c>
      <c r="I100" s="172" t="s">
        <v>478</v>
      </c>
      <c r="J100" s="172" t="s">
        <v>100</v>
      </c>
      <c r="K100" s="148">
        <v>3</v>
      </c>
      <c r="L100" s="149" t="s">
        <v>33</v>
      </c>
      <c r="M100" s="149" t="s">
        <v>104</v>
      </c>
      <c r="N100" s="21" t="s">
        <v>39</v>
      </c>
      <c r="O100" s="21" t="s">
        <v>40</v>
      </c>
      <c r="P100" s="35" t="s">
        <v>43</v>
      </c>
      <c r="Q100" s="149" t="s">
        <v>38</v>
      </c>
      <c r="V100" s="203">
        <v>99</v>
      </c>
      <c r="W100" s="202" t="s">
        <v>405</v>
      </c>
    </row>
    <row r="101" spans="4:23" ht="31" customHeight="1" x14ac:dyDescent="0.35">
      <c r="D101" s="202">
        <v>100</v>
      </c>
      <c r="E101" s="202" t="s">
        <v>424</v>
      </c>
      <c r="I101" s="172" t="s">
        <v>478</v>
      </c>
      <c r="J101" s="172" t="s">
        <v>100</v>
      </c>
      <c r="K101" s="148">
        <v>3</v>
      </c>
      <c r="L101" s="149" t="s">
        <v>33</v>
      </c>
      <c r="M101" s="149" t="s">
        <v>104</v>
      </c>
      <c r="N101" s="21" t="s">
        <v>55</v>
      </c>
      <c r="O101" s="21" t="s">
        <v>511</v>
      </c>
      <c r="P101" s="35" t="s">
        <v>43</v>
      </c>
      <c r="Q101" s="149" t="s">
        <v>38</v>
      </c>
      <c r="V101" s="203">
        <v>100</v>
      </c>
      <c r="W101" s="202" t="s">
        <v>417</v>
      </c>
    </row>
    <row r="102" spans="4:23" ht="15.5" customHeight="1" x14ac:dyDescent="0.35">
      <c r="D102" s="202">
        <v>101</v>
      </c>
      <c r="E102" s="202" t="s">
        <v>308</v>
      </c>
      <c r="I102" s="172" t="s">
        <v>105</v>
      </c>
      <c r="J102" s="172" t="s">
        <v>32</v>
      </c>
      <c r="K102" s="148">
        <v>1.5</v>
      </c>
      <c r="L102" s="149" t="s">
        <v>106</v>
      </c>
      <c r="M102" s="149" t="s">
        <v>45</v>
      </c>
      <c r="N102" s="21" t="s">
        <v>35</v>
      </c>
      <c r="O102" s="21" t="s">
        <v>44</v>
      </c>
      <c r="P102" s="21" t="s">
        <v>107</v>
      </c>
      <c r="Q102" s="149" t="s">
        <v>54</v>
      </c>
      <c r="V102" s="203">
        <v>101</v>
      </c>
      <c r="W102" s="202" t="s">
        <v>396</v>
      </c>
    </row>
    <row r="103" spans="4:23" ht="31" customHeight="1" x14ac:dyDescent="0.35">
      <c r="D103" s="202">
        <v>102</v>
      </c>
      <c r="E103" s="202" t="s">
        <v>425</v>
      </c>
      <c r="I103" s="172" t="s">
        <v>105</v>
      </c>
      <c r="J103" s="172" t="s">
        <v>32</v>
      </c>
      <c r="K103" s="148">
        <v>1.5</v>
      </c>
      <c r="L103" s="149" t="s">
        <v>106</v>
      </c>
      <c r="M103" s="149" t="s">
        <v>45</v>
      </c>
      <c r="N103" s="21" t="s">
        <v>48</v>
      </c>
      <c r="O103" s="21" t="s">
        <v>108</v>
      </c>
      <c r="P103" s="21" t="s">
        <v>107</v>
      </c>
      <c r="Q103" s="149" t="s">
        <v>54</v>
      </c>
      <c r="V103" s="203">
        <v>102</v>
      </c>
      <c r="W103" s="202" t="s">
        <v>357</v>
      </c>
    </row>
    <row r="104" spans="4:23" ht="31" customHeight="1" x14ac:dyDescent="0.35">
      <c r="D104" s="202">
        <v>103</v>
      </c>
      <c r="E104" s="202" t="s">
        <v>402</v>
      </c>
      <c r="I104" s="172" t="s">
        <v>105</v>
      </c>
      <c r="J104" s="172" t="s">
        <v>109</v>
      </c>
      <c r="K104" s="148">
        <v>1.5</v>
      </c>
      <c r="L104" s="149" t="s">
        <v>51</v>
      </c>
      <c r="M104" s="149" t="s">
        <v>34</v>
      </c>
      <c r="N104" s="21" t="s">
        <v>46</v>
      </c>
      <c r="O104" s="21" t="s">
        <v>511</v>
      </c>
      <c r="P104" s="21" t="s">
        <v>110</v>
      </c>
      <c r="Q104" s="149" t="s">
        <v>38</v>
      </c>
      <c r="V104" s="203">
        <v>103</v>
      </c>
      <c r="W104" s="202" t="s">
        <v>331</v>
      </c>
    </row>
    <row r="105" spans="4:23" ht="31" customHeight="1" x14ac:dyDescent="0.35">
      <c r="D105" s="202">
        <v>104</v>
      </c>
      <c r="E105" s="202" t="s">
        <v>353</v>
      </c>
      <c r="I105" s="172" t="s">
        <v>105</v>
      </c>
      <c r="J105" s="172" t="s">
        <v>109</v>
      </c>
      <c r="K105" s="148">
        <v>1.5</v>
      </c>
      <c r="L105" s="149" t="s">
        <v>51</v>
      </c>
      <c r="M105" s="149" t="s">
        <v>34</v>
      </c>
      <c r="N105" s="21" t="s">
        <v>55</v>
      </c>
      <c r="O105" s="21" t="s">
        <v>511</v>
      </c>
      <c r="P105" s="21" t="s">
        <v>111</v>
      </c>
      <c r="Q105" s="149" t="s">
        <v>38</v>
      </c>
      <c r="V105" s="203">
        <v>104</v>
      </c>
      <c r="W105" s="202" t="s">
        <v>37</v>
      </c>
    </row>
    <row r="106" spans="4:23" ht="31" x14ac:dyDescent="0.35">
      <c r="D106" s="202">
        <v>105</v>
      </c>
      <c r="E106" s="202" t="s">
        <v>432</v>
      </c>
      <c r="I106" s="172" t="s">
        <v>105</v>
      </c>
      <c r="J106" s="172" t="s">
        <v>112</v>
      </c>
      <c r="K106" s="148">
        <v>1.5</v>
      </c>
      <c r="L106" s="149" t="s">
        <v>51</v>
      </c>
      <c r="M106" s="149" t="s">
        <v>64</v>
      </c>
      <c r="N106" s="21" t="s">
        <v>35</v>
      </c>
      <c r="O106" s="21" t="s">
        <v>511</v>
      </c>
      <c r="P106" s="21" t="s">
        <v>113</v>
      </c>
      <c r="Q106" s="149" t="s">
        <v>38</v>
      </c>
      <c r="V106" s="203">
        <v>105</v>
      </c>
      <c r="W106" s="202" t="s">
        <v>47</v>
      </c>
    </row>
    <row r="107" spans="4:23" ht="31" customHeight="1" x14ac:dyDescent="0.35">
      <c r="D107" s="202">
        <v>106</v>
      </c>
      <c r="E107" s="202" t="s">
        <v>535</v>
      </c>
      <c r="I107" s="172" t="s">
        <v>105</v>
      </c>
      <c r="J107" s="172" t="s">
        <v>112</v>
      </c>
      <c r="K107" s="148">
        <v>1.5</v>
      </c>
      <c r="L107" s="149" t="s">
        <v>51</v>
      </c>
      <c r="M107" s="149" t="s">
        <v>64</v>
      </c>
      <c r="N107" s="21" t="s">
        <v>55</v>
      </c>
      <c r="O107" s="21" t="s">
        <v>44</v>
      </c>
      <c r="P107" s="21" t="s">
        <v>80</v>
      </c>
      <c r="Q107" s="149" t="s">
        <v>38</v>
      </c>
      <c r="V107" s="203">
        <v>106</v>
      </c>
      <c r="W107" s="202" t="s">
        <v>249</v>
      </c>
    </row>
    <row r="108" spans="4:23" ht="31" x14ac:dyDescent="0.35">
      <c r="D108" s="202">
        <v>107</v>
      </c>
      <c r="E108" s="202" t="s">
        <v>435</v>
      </c>
      <c r="I108" s="172" t="s">
        <v>105</v>
      </c>
      <c r="J108" s="172" t="s">
        <v>112</v>
      </c>
      <c r="K108" s="148">
        <v>1.5</v>
      </c>
      <c r="L108" s="149" t="s">
        <v>51</v>
      </c>
      <c r="M108" s="149" t="s">
        <v>103</v>
      </c>
      <c r="N108" s="21" t="s">
        <v>46</v>
      </c>
      <c r="O108" s="21" t="s">
        <v>44</v>
      </c>
      <c r="P108" s="21" t="s">
        <v>114</v>
      </c>
      <c r="Q108" s="149" t="s">
        <v>54</v>
      </c>
      <c r="V108" s="203">
        <v>107</v>
      </c>
      <c r="W108" s="202" t="s">
        <v>369</v>
      </c>
    </row>
    <row r="109" spans="4:23" ht="31" customHeight="1" x14ac:dyDescent="0.35">
      <c r="D109" s="202">
        <v>108</v>
      </c>
      <c r="E109" s="202" t="s">
        <v>447</v>
      </c>
      <c r="I109" s="172" t="s">
        <v>105</v>
      </c>
      <c r="J109" s="172" t="s">
        <v>112</v>
      </c>
      <c r="K109" s="148">
        <v>1.5</v>
      </c>
      <c r="L109" s="149" t="s">
        <v>51</v>
      </c>
      <c r="M109" s="149" t="s">
        <v>103</v>
      </c>
      <c r="N109" s="21" t="s">
        <v>55</v>
      </c>
      <c r="O109" s="21" t="s">
        <v>44</v>
      </c>
      <c r="P109" s="21" t="s">
        <v>110</v>
      </c>
      <c r="Q109" s="149" t="s">
        <v>54</v>
      </c>
    </row>
    <row r="110" spans="4:23" ht="31" customHeight="1" x14ac:dyDescent="0.35">
      <c r="D110" s="202">
        <v>109</v>
      </c>
      <c r="E110" s="202" t="s">
        <v>448</v>
      </c>
      <c r="I110" s="172" t="s">
        <v>105</v>
      </c>
      <c r="J110" s="172" t="s">
        <v>527</v>
      </c>
      <c r="K110" s="148">
        <v>1.5</v>
      </c>
      <c r="L110" s="149" t="s">
        <v>51</v>
      </c>
      <c r="M110" s="149" t="s">
        <v>90</v>
      </c>
      <c r="N110" s="21" t="s">
        <v>48</v>
      </c>
      <c r="O110" s="21" t="s">
        <v>511</v>
      </c>
      <c r="P110" s="21" t="s">
        <v>80</v>
      </c>
      <c r="Q110" s="149" t="s">
        <v>54</v>
      </c>
    </row>
    <row r="111" spans="4:23" ht="31" customHeight="1" x14ac:dyDescent="0.35">
      <c r="D111" s="202">
        <v>110</v>
      </c>
      <c r="E111" s="202" t="s">
        <v>449</v>
      </c>
      <c r="I111" s="172" t="s">
        <v>105</v>
      </c>
      <c r="J111" s="172" t="s">
        <v>527</v>
      </c>
      <c r="K111" s="148">
        <v>1.5</v>
      </c>
      <c r="L111" s="149" t="s">
        <v>51</v>
      </c>
      <c r="M111" s="149" t="s">
        <v>90</v>
      </c>
      <c r="N111" s="38" t="s">
        <v>55</v>
      </c>
      <c r="O111" s="21" t="s">
        <v>116</v>
      </c>
      <c r="P111" s="21" t="s">
        <v>117</v>
      </c>
      <c r="Q111" s="149" t="s">
        <v>54</v>
      </c>
    </row>
    <row r="112" spans="4:23" ht="31" customHeight="1" x14ac:dyDescent="0.35">
      <c r="D112" s="202">
        <v>111</v>
      </c>
      <c r="E112" s="202" t="s">
        <v>469</v>
      </c>
      <c r="I112" s="172" t="s">
        <v>105</v>
      </c>
      <c r="J112" s="172" t="s">
        <v>58</v>
      </c>
      <c r="K112" s="148">
        <v>1.5</v>
      </c>
      <c r="L112" s="149" t="s">
        <v>120</v>
      </c>
      <c r="M112" s="149" t="s">
        <v>42</v>
      </c>
      <c r="N112" s="21" t="s">
        <v>39</v>
      </c>
      <c r="O112" s="31" t="s">
        <v>82</v>
      </c>
      <c r="P112" s="31" t="s">
        <v>118</v>
      </c>
      <c r="Q112" s="149" t="s">
        <v>38</v>
      </c>
    </row>
    <row r="113" spans="4:17" ht="31" customHeight="1" x14ac:dyDescent="0.35">
      <c r="D113" s="202">
        <v>112</v>
      </c>
      <c r="E113" s="202" t="s">
        <v>410</v>
      </c>
      <c r="I113" s="172" t="s">
        <v>105</v>
      </c>
      <c r="J113" s="172" t="s">
        <v>58</v>
      </c>
      <c r="K113" s="148">
        <v>1.5</v>
      </c>
      <c r="L113" s="149" t="s">
        <v>120</v>
      </c>
      <c r="M113" s="149" t="s">
        <v>42</v>
      </c>
      <c r="N113" s="21" t="s">
        <v>55</v>
      </c>
      <c r="O113" s="21" t="s">
        <v>61</v>
      </c>
      <c r="P113" s="31" t="s">
        <v>118</v>
      </c>
      <c r="Q113" s="149" t="s">
        <v>38</v>
      </c>
    </row>
    <row r="114" spans="4:17" ht="31" customHeight="1" x14ac:dyDescent="0.35">
      <c r="D114" s="202">
        <v>113</v>
      </c>
      <c r="E114" s="207" t="s">
        <v>389</v>
      </c>
      <c r="I114" s="172" t="s">
        <v>105</v>
      </c>
      <c r="J114" s="175" t="s">
        <v>58</v>
      </c>
      <c r="K114" s="148">
        <v>1.5</v>
      </c>
      <c r="L114" s="149" t="s">
        <v>120</v>
      </c>
      <c r="M114" s="149" t="s">
        <v>49</v>
      </c>
      <c r="N114" s="21" t="s">
        <v>46</v>
      </c>
      <c r="O114" s="31" t="s">
        <v>82</v>
      </c>
      <c r="P114" s="31" t="s">
        <v>118</v>
      </c>
      <c r="Q114" s="149" t="s">
        <v>38</v>
      </c>
    </row>
    <row r="115" spans="4:17" ht="31" customHeight="1" x14ac:dyDescent="0.35">
      <c r="D115" s="206"/>
      <c r="E115" s="162"/>
      <c r="I115" s="172" t="s">
        <v>105</v>
      </c>
      <c r="J115" s="175" t="s">
        <v>58</v>
      </c>
      <c r="K115" s="148">
        <v>1.5</v>
      </c>
      <c r="L115" s="149" t="s">
        <v>120</v>
      </c>
      <c r="M115" s="149" t="s">
        <v>49</v>
      </c>
      <c r="N115" s="31" t="s">
        <v>55</v>
      </c>
      <c r="O115" s="21" t="s">
        <v>61</v>
      </c>
      <c r="P115" s="31" t="s">
        <v>118</v>
      </c>
      <c r="Q115" s="149" t="s">
        <v>38</v>
      </c>
    </row>
    <row r="116" spans="4:17" ht="15.5" customHeight="1" x14ac:dyDescent="0.35">
      <c r="D116" s="206"/>
      <c r="E116" s="162"/>
      <c r="I116" s="189" t="s">
        <v>479</v>
      </c>
      <c r="J116" s="172" t="s">
        <v>122</v>
      </c>
      <c r="K116" s="148">
        <v>2</v>
      </c>
      <c r="L116" s="149" t="s">
        <v>51</v>
      </c>
      <c r="M116" s="149" t="s">
        <v>45</v>
      </c>
      <c r="N116" s="21" t="s">
        <v>46</v>
      </c>
      <c r="O116" s="21" t="s">
        <v>123</v>
      </c>
      <c r="P116" s="21" t="s">
        <v>124</v>
      </c>
      <c r="Q116" s="149" t="s">
        <v>38</v>
      </c>
    </row>
    <row r="117" spans="4:17" ht="31" customHeight="1" x14ac:dyDescent="0.35">
      <c r="D117" s="206"/>
      <c r="E117" s="162"/>
      <c r="I117" s="189" t="s">
        <v>479</v>
      </c>
      <c r="J117" s="172" t="s">
        <v>122</v>
      </c>
      <c r="K117" s="148">
        <v>2</v>
      </c>
      <c r="L117" s="149" t="s">
        <v>51</v>
      </c>
      <c r="M117" s="149" t="s">
        <v>45</v>
      </c>
      <c r="N117" s="21" t="s">
        <v>55</v>
      </c>
      <c r="O117" s="21" t="s">
        <v>123</v>
      </c>
      <c r="P117" s="21" t="s">
        <v>405</v>
      </c>
      <c r="Q117" s="149" t="s">
        <v>38</v>
      </c>
    </row>
    <row r="118" spans="4:17" ht="31" customHeight="1" x14ac:dyDescent="0.35">
      <c r="I118" s="189" t="s">
        <v>479</v>
      </c>
      <c r="J118" s="172" t="s">
        <v>122</v>
      </c>
      <c r="K118" s="148">
        <v>2</v>
      </c>
      <c r="L118" s="149" t="s">
        <v>75</v>
      </c>
      <c r="M118" s="149" t="s">
        <v>45</v>
      </c>
      <c r="N118" s="21" t="s">
        <v>46</v>
      </c>
      <c r="O118" s="21" t="s">
        <v>56</v>
      </c>
      <c r="P118" s="21" t="s">
        <v>126</v>
      </c>
      <c r="Q118" s="149" t="s">
        <v>54</v>
      </c>
    </row>
    <row r="119" spans="4:17" ht="31" customHeight="1" x14ac:dyDescent="0.35">
      <c r="I119" s="189" t="s">
        <v>479</v>
      </c>
      <c r="J119" s="172" t="s">
        <v>122</v>
      </c>
      <c r="K119" s="148">
        <v>2</v>
      </c>
      <c r="L119" s="149" t="s">
        <v>75</v>
      </c>
      <c r="M119" s="149" t="s">
        <v>45</v>
      </c>
      <c r="N119" s="30" t="s">
        <v>48</v>
      </c>
      <c r="O119" s="30" t="s">
        <v>52</v>
      </c>
      <c r="P119" s="30" t="s">
        <v>124</v>
      </c>
      <c r="Q119" s="149" t="s">
        <v>54</v>
      </c>
    </row>
    <row r="120" spans="4:17" ht="31" customHeight="1" x14ac:dyDescent="0.35">
      <c r="I120" s="189" t="s">
        <v>479</v>
      </c>
      <c r="J120" s="172" t="s">
        <v>127</v>
      </c>
      <c r="K120" s="148">
        <v>1</v>
      </c>
      <c r="L120" s="149" t="s">
        <v>51</v>
      </c>
      <c r="M120" s="149" t="s">
        <v>101</v>
      </c>
      <c r="N120" s="21" t="s">
        <v>39</v>
      </c>
      <c r="O120" s="21" t="s">
        <v>82</v>
      </c>
      <c r="P120" s="21" t="s">
        <v>128</v>
      </c>
      <c r="Q120" s="149" t="s">
        <v>38</v>
      </c>
    </row>
    <row r="121" spans="4:17" ht="31" customHeight="1" x14ac:dyDescent="0.35">
      <c r="I121" s="189" t="s">
        <v>479</v>
      </c>
      <c r="J121" s="172" t="s">
        <v>127</v>
      </c>
      <c r="K121" s="148">
        <v>1</v>
      </c>
      <c r="L121" s="149" t="s">
        <v>51</v>
      </c>
      <c r="M121" s="149" t="s">
        <v>101</v>
      </c>
      <c r="N121" s="47" t="s">
        <v>55</v>
      </c>
      <c r="O121" s="47" t="s">
        <v>52</v>
      </c>
      <c r="P121" s="47" t="s">
        <v>96</v>
      </c>
      <c r="Q121" s="149" t="s">
        <v>38</v>
      </c>
    </row>
    <row r="122" spans="4:17" ht="31" customHeight="1" x14ac:dyDescent="0.35">
      <c r="I122" s="189" t="s">
        <v>479</v>
      </c>
      <c r="J122" s="172" t="s">
        <v>129</v>
      </c>
      <c r="K122" s="148">
        <v>3</v>
      </c>
      <c r="L122" s="149" t="s">
        <v>51</v>
      </c>
      <c r="M122" s="149" t="s">
        <v>45</v>
      </c>
      <c r="N122" s="21" t="s">
        <v>35</v>
      </c>
      <c r="O122" s="21" t="s">
        <v>66</v>
      </c>
      <c r="P122" s="21" t="s">
        <v>405</v>
      </c>
      <c r="Q122" s="149" t="s">
        <v>38</v>
      </c>
    </row>
    <row r="123" spans="4:17" ht="31" customHeight="1" x14ac:dyDescent="0.35">
      <c r="I123" s="189" t="s">
        <v>479</v>
      </c>
      <c r="J123" s="172" t="s">
        <v>129</v>
      </c>
      <c r="K123" s="148">
        <v>3</v>
      </c>
      <c r="L123" s="149" t="s">
        <v>51</v>
      </c>
      <c r="M123" s="149" t="s">
        <v>45</v>
      </c>
      <c r="N123" s="21" t="s">
        <v>48</v>
      </c>
      <c r="O123" s="21" t="s">
        <v>44</v>
      </c>
      <c r="P123" s="21" t="s">
        <v>92</v>
      </c>
      <c r="Q123" s="149" t="s">
        <v>38</v>
      </c>
    </row>
    <row r="124" spans="4:17" ht="31" customHeight="1" x14ac:dyDescent="0.35">
      <c r="I124" s="189" t="s">
        <v>479</v>
      </c>
      <c r="J124" s="172" t="s">
        <v>130</v>
      </c>
      <c r="K124" s="148">
        <v>2</v>
      </c>
      <c r="L124" s="149" t="s">
        <v>51</v>
      </c>
      <c r="M124" s="149" t="s">
        <v>101</v>
      </c>
      <c r="N124" s="21" t="s">
        <v>46</v>
      </c>
      <c r="O124" s="21" t="s">
        <v>131</v>
      </c>
      <c r="P124" s="21" t="s">
        <v>124</v>
      </c>
      <c r="Q124" s="149" t="s">
        <v>54</v>
      </c>
    </row>
    <row r="125" spans="4:17" ht="31" customHeight="1" x14ac:dyDescent="0.35">
      <c r="I125" s="189" t="s">
        <v>479</v>
      </c>
      <c r="J125" s="172" t="s">
        <v>130</v>
      </c>
      <c r="K125" s="148">
        <v>2</v>
      </c>
      <c r="L125" s="149" t="s">
        <v>51</v>
      </c>
      <c r="M125" s="149" t="s">
        <v>101</v>
      </c>
      <c r="N125" s="21" t="s">
        <v>39</v>
      </c>
      <c r="O125" s="21" t="s">
        <v>82</v>
      </c>
      <c r="P125" s="21" t="s">
        <v>132</v>
      </c>
      <c r="Q125" s="149" t="s">
        <v>54</v>
      </c>
    </row>
    <row r="126" spans="4:17" ht="31" customHeight="1" x14ac:dyDescent="0.35">
      <c r="I126" s="189" t="s">
        <v>479</v>
      </c>
      <c r="J126" s="172" t="s">
        <v>130</v>
      </c>
      <c r="K126" s="148">
        <v>2</v>
      </c>
      <c r="L126" s="149" t="s">
        <v>51</v>
      </c>
      <c r="M126" s="149" t="s">
        <v>64</v>
      </c>
      <c r="N126" s="21" t="s">
        <v>35</v>
      </c>
      <c r="O126" s="21" t="s">
        <v>52</v>
      </c>
      <c r="P126" s="21" t="s">
        <v>133</v>
      </c>
      <c r="Q126" s="149" t="s">
        <v>54</v>
      </c>
    </row>
    <row r="127" spans="4:17" ht="31" customHeight="1" x14ac:dyDescent="0.35">
      <c r="I127" s="189" t="s">
        <v>479</v>
      </c>
      <c r="J127" s="172" t="s">
        <v>130</v>
      </c>
      <c r="K127" s="148">
        <v>2</v>
      </c>
      <c r="L127" s="149" t="s">
        <v>51</v>
      </c>
      <c r="M127" s="149" t="s">
        <v>64</v>
      </c>
      <c r="N127" s="21" t="s">
        <v>55</v>
      </c>
      <c r="O127" s="21" t="s">
        <v>52</v>
      </c>
      <c r="P127" s="21" t="s">
        <v>124</v>
      </c>
      <c r="Q127" s="149" t="s">
        <v>54</v>
      </c>
    </row>
    <row r="128" spans="4:17" ht="31" customHeight="1" x14ac:dyDescent="0.35">
      <c r="I128" s="189" t="s">
        <v>479</v>
      </c>
      <c r="J128" s="172" t="s">
        <v>130</v>
      </c>
      <c r="K128" s="148">
        <v>2</v>
      </c>
      <c r="L128" s="149" t="s">
        <v>51</v>
      </c>
      <c r="M128" s="149" t="s">
        <v>103</v>
      </c>
      <c r="N128" s="21" t="s">
        <v>35</v>
      </c>
      <c r="O128" s="21" t="s">
        <v>56</v>
      </c>
      <c r="P128" s="21" t="s">
        <v>405</v>
      </c>
      <c r="Q128" s="149" t="s">
        <v>38</v>
      </c>
    </row>
    <row r="129" spans="9:17" ht="31" customHeight="1" x14ac:dyDescent="0.35">
      <c r="I129" s="189" t="s">
        <v>479</v>
      </c>
      <c r="J129" s="172" t="s">
        <v>130</v>
      </c>
      <c r="K129" s="148">
        <v>2</v>
      </c>
      <c r="L129" s="149" t="s">
        <v>51</v>
      </c>
      <c r="M129" s="149" t="s">
        <v>103</v>
      </c>
      <c r="N129" s="21" t="s">
        <v>55</v>
      </c>
      <c r="O129" s="21" t="s">
        <v>56</v>
      </c>
      <c r="P129" s="21" t="s">
        <v>405</v>
      </c>
      <c r="Q129" s="149" t="s">
        <v>38</v>
      </c>
    </row>
    <row r="130" spans="9:17" ht="31" customHeight="1" x14ac:dyDescent="0.35">
      <c r="I130" s="189" t="s">
        <v>479</v>
      </c>
      <c r="J130" s="47" t="s">
        <v>89</v>
      </c>
      <c r="K130" s="51">
        <v>3</v>
      </c>
      <c r="L130" s="50" t="s">
        <v>51</v>
      </c>
      <c r="M130" s="50" t="s">
        <v>90</v>
      </c>
      <c r="N130" s="21" t="s">
        <v>35</v>
      </c>
      <c r="O130" s="21" t="s">
        <v>91</v>
      </c>
      <c r="P130" s="21" t="s">
        <v>43</v>
      </c>
      <c r="Q130" s="50" t="s">
        <v>93</v>
      </c>
    </row>
    <row r="131" spans="9:17" ht="15.5" customHeight="1" x14ac:dyDescent="0.35">
      <c r="I131" s="190" t="s">
        <v>134</v>
      </c>
      <c r="J131" s="172" t="s">
        <v>135</v>
      </c>
      <c r="K131" s="148">
        <v>3</v>
      </c>
      <c r="L131" s="149" t="s">
        <v>33</v>
      </c>
      <c r="M131" s="149" t="s">
        <v>136</v>
      </c>
      <c r="N131" s="21" t="s">
        <v>46</v>
      </c>
      <c r="O131" s="21" t="s">
        <v>511</v>
      </c>
      <c r="P131" s="21" t="s">
        <v>37</v>
      </c>
      <c r="Q131" s="149" t="s">
        <v>54</v>
      </c>
    </row>
    <row r="132" spans="9:17" ht="46.5" x14ac:dyDescent="0.35">
      <c r="I132" s="190" t="s">
        <v>134</v>
      </c>
      <c r="J132" s="172" t="s">
        <v>135</v>
      </c>
      <c r="K132" s="148">
        <v>3</v>
      </c>
      <c r="L132" s="149" t="s">
        <v>33</v>
      </c>
      <c r="M132" s="149" t="s">
        <v>136</v>
      </c>
      <c r="N132" s="21" t="s">
        <v>48</v>
      </c>
      <c r="O132" s="21" t="s">
        <v>511</v>
      </c>
      <c r="P132" s="21" t="s">
        <v>37</v>
      </c>
      <c r="Q132" s="149" t="s">
        <v>54</v>
      </c>
    </row>
    <row r="133" spans="9:17" ht="15.5" customHeight="1" x14ac:dyDescent="0.35">
      <c r="I133" s="190" t="s">
        <v>134</v>
      </c>
      <c r="J133" s="172" t="s">
        <v>135</v>
      </c>
      <c r="K133" s="148">
        <v>3</v>
      </c>
      <c r="L133" s="149" t="s">
        <v>33</v>
      </c>
      <c r="M133" s="149" t="s">
        <v>76</v>
      </c>
      <c r="N133" s="21" t="s">
        <v>46</v>
      </c>
      <c r="O133" s="21" t="s">
        <v>40</v>
      </c>
      <c r="P133" s="21" t="s">
        <v>37</v>
      </c>
      <c r="Q133" s="149" t="s">
        <v>54</v>
      </c>
    </row>
    <row r="134" spans="9:17" ht="46.5" x14ac:dyDescent="0.35">
      <c r="I134" s="190" t="s">
        <v>134</v>
      </c>
      <c r="J134" s="172" t="s">
        <v>135</v>
      </c>
      <c r="K134" s="148">
        <v>3</v>
      </c>
      <c r="L134" s="149" t="s">
        <v>33</v>
      </c>
      <c r="M134" s="149" t="s">
        <v>76</v>
      </c>
      <c r="N134" s="21" t="s">
        <v>48</v>
      </c>
      <c r="O134" s="21" t="s">
        <v>40</v>
      </c>
      <c r="P134" s="21" t="s">
        <v>37</v>
      </c>
      <c r="Q134" s="149" t="s">
        <v>54</v>
      </c>
    </row>
    <row r="135" spans="9:17" ht="15.5" x14ac:dyDescent="0.35">
      <c r="I135" s="190" t="s">
        <v>134</v>
      </c>
      <c r="J135" s="172" t="s">
        <v>138</v>
      </c>
      <c r="K135" s="148">
        <v>3</v>
      </c>
      <c r="L135" s="149" t="s">
        <v>106</v>
      </c>
      <c r="M135" s="149" t="s">
        <v>101</v>
      </c>
      <c r="N135" s="21" t="s">
        <v>35</v>
      </c>
      <c r="O135" s="21" t="s">
        <v>40</v>
      </c>
      <c r="P135" s="21" t="s">
        <v>139</v>
      </c>
      <c r="Q135" s="149" t="s">
        <v>38</v>
      </c>
    </row>
    <row r="136" spans="9:17" ht="15.5" x14ac:dyDescent="0.35">
      <c r="I136" s="190" t="s">
        <v>134</v>
      </c>
      <c r="J136" s="172" t="s">
        <v>138</v>
      </c>
      <c r="K136" s="148">
        <v>3</v>
      </c>
      <c r="L136" s="149" t="s">
        <v>106</v>
      </c>
      <c r="M136" s="149" t="s">
        <v>101</v>
      </c>
      <c r="N136" s="21" t="s">
        <v>39</v>
      </c>
      <c r="O136" s="21" t="s">
        <v>140</v>
      </c>
      <c r="P136" s="21" t="s">
        <v>128</v>
      </c>
      <c r="Q136" s="149" t="s">
        <v>38</v>
      </c>
    </row>
    <row r="137" spans="9:17" ht="15.5" x14ac:dyDescent="0.35">
      <c r="I137" s="190" t="s">
        <v>134</v>
      </c>
      <c r="J137" s="172" t="s">
        <v>141</v>
      </c>
      <c r="K137" s="148">
        <v>3</v>
      </c>
      <c r="L137" s="149" t="s">
        <v>106</v>
      </c>
      <c r="M137" s="149" t="s">
        <v>136</v>
      </c>
      <c r="N137" s="38" t="s">
        <v>48</v>
      </c>
      <c r="O137" s="38" t="s">
        <v>108</v>
      </c>
      <c r="P137" s="21" t="s">
        <v>98</v>
      </c>
      <c r="Q137" s="149" t="s">
        <v>54</v>
      </c>
    </row>
    <row r="138" spans="9:17" ht="15.5" x14ac:dyDescent="0.35">
      <c r="I138" s="190" t="s">
        <v>134</v>
      </c>
      <c r="J138" s="172" t="s">
        <v>141</v>
      </c>
      <c r="K138" s="148">
        <v>3</v>
      </c>
      <c r="L138" s="149" t="s">
        <v>106</v>
      </c>
      <c r="M138" s="149" t="s">
        <v>136</v>
      </c>
      <c r="N138" s="21" t="s">
        <v>55</v>
      </c>
      <c r="O138" s="21" t="s">
        <v>44</v>
      </c>
      <c r="P138" s="21" t="s">
        <v>98</v>
      </c>
      <c r="Q138" s="149" t="s">
        <v>54</v>
      </c>
    </row>
    <row r="139" spans="9:17" ht="15.5" customHeight="1" x14ac:dyDescent="0.35">
      <c r="I139" s="190" t="s">
        <v>134</v>
      </c>
      <c r="J139" s="172" t="s">
        <v>142</v>
      </c>
      <c r="K139" s="148">
        <v>2</v>
      </c>
      <c r="L139" s="149" t="s">
        <v>106</v>
      </c>
      <c r="M139" s="149" t="s">
        <v>136</v>
      </c>
      <c r="N139" s="21" t="s">
        <v>46</v>
      </c>
      <c r="O139" s="21" t="s">
        <v>52</v>
      </c>
      <c r="P139" s="21" t="s">
        <v>110</v>
      </c>
      <c r="Q139" s="149" t="s">
        <v>38</v>
      </c>
    </row>
    <row r="140" spans="9:17" ht="31" x14ac:dyDescent="0.35">
      <c r="I140" s="190" t="s">
        <v>134</v>
      </c>
      <c r="J140" s="172" t="s">
        <v>142</v>
      </c>
      <c r="K140" s="148">
        <v>2</v>
      </c>
      <c r="L140" s="149" t="s">
        <v>106</v>
      </c>
      <c r="M140" s="149" t="s">
        <v>136</v>
      </c>
      <c r="N140" s="21" t="s">
        <v>55</v>
      </c>
      <c r="O140" s="21" t="s">
        <v>56</v>
      </c>
      <c r="P140" s="21" t="s">
        <v>143</v>
      </c>
      <c r="Q140" s="149" t="s">
        <v>38</v>
      </c>
    </row>
    <row r="141" spans="9:17" ht="15.5" customHeight="1" x14ac:dyDescent="0.35">
      <c r="I141" s="190" t="s">
        <v>134</v>
      </c>
      <c r="J141" s="176" t="s">
        <v>144</v>
      </c>
      <c r="K141" s="152">
        <v>1</v>
      </c>
      <c r="L141" s="149" t="s">
        <v>63</v>
      </c>
      <c r="M141" s="151" t="s">
        <v>34</v>
      </c>
      <c r="N141" s="21" t="s">
        <v>35</v>
      </c>
      <c r="O141" s="21" t="s">
        <v>511</v>
      </c>
      <c r="P141" s="52" t="s">
        <v>65</v>
      </c>
      <c r="Q141" s="149" t="s">
        <v>38</v>
      </c>
    </row>
    <row r="142" spans="9:17" ht="31" x14ac:dyDescent="0.35">
      <c r="I142" s="190" t="s">
        <v>134</v>
      </c>
      <c r="J142" s="176" t="s">
        <v>144</v>
      </c>
      <c r="K142" s="152">
        <v>1</v>
      </c>
      <c r="L142" s="149" t="s">
        <v>68</v>
      </c>
      <c r="M142" s="151" t="s">
        <v>34</v>
      </c>
      <c r="N142" s="21" t="s">
        <v>46</v>
      </c>
      <c r="O142" s="21" t="s">
        <v>511</v>
      </c>
      <c r="P142" s="30" t="s">
        <v>65</v>
      </c>
      <c r="Q142" s="149" t="s">
        <v>38</v>
      </c>
    </row>
    <row r="143" spans="9:17" ht="15.5" customHeight="1" x14ac:dyDescent="0.35">
      <c r="I143" s="190" t="s">
        <v>134</v>
      </c>
      <c r="J143" s="172" t="s">
        <v>145</v>
      </c>
      <c r="K143" s="148">
        <v>1.5</v>
      </c>
      <c r="L143" s="149" t="s">
        <v>68</v>
      </c>
      <c r="M143" s="149" t="s">
        <v>101</v>
      </c>
      <c r="N143" s="21" t="s">
        <v>35</v>
      </c>
      <c r="O143" s="30" t="s">
        <v>146</v>
      </c>
      <c r="P143" s="30" t="s">
        <v>111</v>
      </c>
      <c r="Q143" s="149" t="s">
        <v>54</v>
      </c>
    </row>
    <row r="144" spans="9:17" ht="31" x14ac:dyDescent="0.35">
      <c r="I144" s="190" t="s">
        <v>134</v>
      </c>
      <c r="J144" s="172" t="s">
        <v>145</v>
      </c>
      <c r="K144" s="148">
        <v>1.5</v>
      </c>
      <c r="L144" s="149" t="s">
        <v>68</v>
      </c>
      <c r="M144" s="149" t="s">
        <v>101</v>
      </c>
      <c r="N144" s="21" t="s">
        <v>48</v>
      </c>
      <c r="O144" s="30" t="s">
        <v>146</v>
      </c>
      <c r="P144" s="30" t="s">
        <v>111</v>
      </c>
      <c r="Q144" s="149" t="s">
        <v>54</v>
      </c>
    </row>
    <row r="145" spans="9:17" ht="15.5" customHeight="1" x14ac:dyDescent="0.35">
      <c r="I145" s="191" t="s">
        <v>480</v>
      </c>
      <c r="J145" s="172" t="s">
        <v>148</v>
      </c>
      <c r="K145" s="148">
        <v>3</v>
      </c>
      <c r="L145" s="149" t="s">
        <v>75</v>
      </c>
      <c r="M145" s="149" t="s">
        <v>64</v>
      </c>
      <c r="N145" s="21" t="s">
        <v>35</v>
      </c>
      <c r="O145" s="21" t="s">
        <v>511</v>
      </c>
      <c r="P145" s="21" t="s">
        <v>149</v>
      </c>
      <c r="Q145" s="149" t="s">
        <v>38</v>
      </c>
    </row>
    <row r="146" spans="9:17" ht="31" x14ac:dyDescent="0.35">
      <c r="I146" s="191" t="s">
        <v>480</v>
      </c>
      <c r="J146" s="172" t="s">
        <v>148</v>
      </c>
      <c r="K146" s="148">
        <v>3</v>
      </c>
      <c r="L146" s="149" t="s">
        <v>75</v>
      </c>
      <c r="M146" s="149" t="s">
        <v>64</v>
      </c>
      <c r="N146" s="21" t="s">
        <v>48</v>
      </c>
      <c r="O146" s="21" t="s">
        <v>40</v>
      </c>
      <c r="P146" s="21" t="s">
        <v>150</v>
      </c>
      <c r="Q146" s="149" t="s">
        <v>38</v>
      </c>
    </row>
    <row r="147" spans="9:17" ht="15.5" customHeight="1" x14ac:dyDescent="0.35">
      <c r="I147" s="191" t="s">
        <v>480</v>
      </c>
      <c r="J147" s="172" t="s">
        <v>148</v>
      </c>
      <c r="K147" s="148">
        <v>3</v>
      </c>
      <c r="L147" s="149" t="s">
        <v>75</v>
      </c>
      <c r="M147" s="149" t="s">
        <v>103</v>
      </c>
      <c r="N147" s="21" t="s">
        <v>46</v>
      </c>
      <c r="O147" s="21" t="s">
        <v>44</v>
      </c>
      <c r="P147" s="21" t="s">
        <v>78</v>
      </c>
      <c r="Q147" s="149" t="s">
        <v>38</v>
      </c>
    </row>
    <row r="148" spans="9:17" ht="31" x14ac:dyDescent="0.35">
      <c r="I148" s="191" t="s">
        <v>480</v>
      </c>
      <c r="J148" s="172" t="s">
        <v>148</v>
      </c>
      <c r="K148" s="148">
        <v>3</v>
      </c>
      <c r="L148" s="149" t="s">
        <v>75</v>
      </c>
      <c r="M148" s="149" t="s">
        <v>103</v>
      </c>
      <c r="N148" s="21" t="s">
        <v>55</v>
      </c>
      <c r="O148" s="21" t="s">
        <v>511</v>
      </c>
      <c r="P148" s="21" t="s">
        <v>126</v>
      </c>
      <c r="Q148" s="149" t="s">
        <v>38</v>
      </c>
    </row>
    <row r="149" spans="9:17" ht="15.5" x14ac:dyDescent="0.35">
      <c r="I149" s="191" t="s">
        <v>480</v>
      </c>
      <c r="J149" s="172" t="s">
        <v>151</v>
      </c>
      <c r="K149" s="148">
        <v>2</v>
      </c>
      <c r="L149" s="149" t="s">
        <v>75</v>
      </c>
      <c r="M149" s="149" t="s">
        <v>103</v>
      </c>
      <c r="N149" s="21" t="s">
        <v>35</v>
      </c>
      <c r="O149" s="21" t="s">
        <v>123</v>
      </c>
      <c r="P149" s="21" t="s">
        <v>133</v>
      </c>
      <c r="Q149" s="149" t="s">
        <v>38</v>
      </c>
    </row>
    <row r="150" spans="9:17" ht="15.5" x14ac:dyDescent="0.35">
      <c r="I150" s="191" t="s">
        <v>480</v>
      </c>
      <c r="J150" s="172" t="s">
        <v>151</v>
      </c>
      <c r="K150" s="148">
        <v>2</v>
      </c>
      <c r="L150" s="149" t="s">
        <v>75</v>
      </c>
      <c r="M150" s="149" t="s">
        <v>103</v>
      </c>
      <c r="N150" s="21" t="s">
        <v>55</v>
      </c>
      <c r="O150" s="21" t="s">
        <v>123</v>
      </c>
      <c r="P150" s="21" t="s">
        <v>53</v>
      </c>
      <c r="Q150" s="149" t="s">
        <v>38</v>
      </c>
    </row>
    <row r="151" spans="9:17" ht="15.5" x14ac:dyDescent="0.35">
      <c r="I151" s="191" t="s">
        <v>480</v>
      </c>
      <c r="J151" s="172" t="s">
        <v>151</v>
      </c>
      <c r="K151" s="148">
        <v>2</v>
      </c>
      <c r="L151" s="149" t="s">
        <v>75</v>
      </c>
      <c r="M151" s="149" t="s">
        <v>104</v>
      </c>
      <c r="N151" s="21" t="s">
        <v>39</v>
      </c>
      <c r="O151" s="21" t="s">
        <v>123</v>
      </c>
      <c r="P151" s="21" t="s">
        <v>152</v>
      </c>
      <c r="Q151" s="149" t="s">
        <v>38</v>
      </c>
    </row>
    <row r="152" spans="9:17" ht="15.5" x14ac:dyDescent="0.35">
      <c r="I152" s="191" t="s">
        <v>480</v>
      </c>
      <c r="J152" s="172" t="s">
        <v>151</v>
      </c>
      <c r="K152" s="148">
        <v>2</v>
      </c>
      <c r="L152" s="149" t="s">
        <v>75</v>
      </c>
      <c r="M152" s="149" t="s">
        <v>104</v>
      </c>
      <c r="N152" s="21" t="s">
        <v>55</v>
      </c>
      <c r="O152" s="21" t="s">
        <v>52</v>
      </c>
      <c r="P152" s="21" t="s">
        <v>132</v>
      </c>
      <c r="Q152" s="149" t="s">
        <v>38</v>
      </c>
    </row>
    <row r="153" spans="9:17" ht="15.5" x14ac:dyDescent="0.35">
      <c r="I153" s="191" t="s">
        <v>480</v>
      </c>
      <c r="J153" s="172" t="s">
        <v>151</v>
      </c>
      <c r="K153" s="148">
        <v>2</v>
      </c>
      <c r="L153" s="149" t="s">
        <v>75</v>
      </c>
      <c r="M153" s="150" t="s">
        <v>153</v>
      </c>
      <c r="N153" s="21" t="s">
        <v>35</v>
      </c>
      <c r="O153" s="21" t="s">
        <v>52</v>
      </c>
      <c r="P153" s="21" t="s">
        <v>80</v>
      </c>
      <c r="Q153" s="149" t="s">
        <v>54</v>
      </c>
    </row>
    <row r="154" spans="9:17" ht="15.5" x14ac:dyDescent="0.35">
      <c r="I154" s="191" t="s">
        <v>480</v>
      </c>
      <c r="J154" s="172" t="s">
        <v>151</v>
      </c>
      <c r="K154" s="148">
        <v>2</v>
      </c>
      <c r="L154" s="149" t="s">
        <v>75</v>
      </c>
      <c r="M154" s="150" t="s">
        <v>153</v>
      </c>
      <c r="N154" s="21" t="s">
        <v>55</v>
      </c>
      <c r="O154" s="21" t="s">
        <v>52</v>
      </c>
      <c r="P154" s="21" t="s">
        <v>80</v>
      </c>
      <c r="Q154" s="149" t="s">
        <v>54</v>
      </c>
    </row>
    <row r="155" spans="9:17" ht="31" x14ac:dyDescent="0.35">
      <c r="I155" s="191" t="s">
        <v>480</v>
      </c>
      <c r="J155" s="172" t="s">
        <v>148</v>
      </c>
      <c r="K155" s="148">
        <v>1.5</v>
      </c>
      <c r="L155" s="149" t="s">
        <v>63</v>
      </c>
      <c r="M155" s="150" t="s">
        <v>34</v>
      </c>
      <c r="N155" s="21" t="s">
        <v>35</v>
      </c>
      <c r="O155" s="21" t="s">
        <v>40</v>
      </c>
      <c r="P155" s="21" t="s">
        <v>155</v>
      </c>
      <c r="Q155" s="149" t="s">
        <v>38</v>
      </c>
    </row>
    <row r="156" spans="9:17" ht="31" x14ac:dyDescent="0.35">
      <c r="I156" s="191" t="s">
        <v>480</v>
      </c>
      <c r="J156" s="172" t="s">
        <v>148</v>
      </c>
      <c r="K156" s="148">
        <v>1.5</v>
      </c>
      <c r="L156" s="149" t="s">
        <v>68</v>
      </c>
      <c r="M156" s="150" t="s">
        <v>34</v>
      </c>
      <c r="N156" s="21" t="s">
        <v>46</v>
      </c>
      <c r="O156" s="21" t="s">
        <v>40</v>
      </c>
      <c r="P156" s="21" t="s">
        <v>155</v>
      </c>
      <c r="Q156" s="149" t="s">
        <v>38</v>
      </c>
    </row>
    <row r="157" spans="9:17" ht="15.5" customHeight="1" x14ac:dyDescent="0.35">
      <c r="I157" s="191" t="s">
        <v>480</v>
      </c>
      <c r="J157" s="172" t="s">
        <v>145</v>
      </c>
      <c r="K157" s="148">
        <v>1.5</v>
      </c>
      <c r="L157" s="149" t="s">
        <v>68</v>
      </c>
      <c r="M157" s="150" t="s">
        <v>64</v>
      </c>
      <c r="N157" s="21" t="s">
        <v>35</v>
      </c>
      <c r="O157" s="30" t="s">
        <v>146</v>
      </c>
      <c r="P157" s="30" t="s">
        <v>149</v>
      </c>
      <c r="Q157" s="149" t="s">
        <v>54</v>
      </c>
    </row>
    <row r="158" spans="9:17" ht="31" x14ac:dyDescent="0.35">
      <c r="I158" s="191" t="s">
        <v>480</v>
      </c>
      <c r="J158" s="172" t="s">
        <v>145</v>
      </c>
      <c r="K158" s="148">
        <v>1.5</v>
      </c>
      <c r="L158" s="149" t="s">
        <v>68</v>
      </c>
      <c r="M158" s="150" t="s">
        <v>64</v>
      </c>
      <c r="N158" s="21" t="s">
        <v>48</v>
      </c>
      <c r="O158" s="30" t="s">
        <v>146</v>
      </c>
      <c r="P158" s="30" t="s">
        <v>149</v>
      </c>
      <c r="Q158" s="149" t="s">
        <v>54</v>
      </c>
    </row>
    <row r="159" spans="9:17" ht="15.5" customHeight="1" x14ac:dyDescent="0.35">
      <c r="I159" s="191" t="s">
        <v>480</v>
      </c>
      <c r="J159" s="172" t="s">
        <v>156</v>
      </c>
      <c r="K159" s="148">
        <v>1.5</v>
      </c>
      <c r="L159" s="149" t="s">
        <v>68</v>
      </c>
      <c r="M159" s="150" t="s">
        <v>101</v>
      </c>
      <c r="N159" s="21" t="s">
        <v>46</v>
      </c>
      <c r="O159" s="30" t="s">
        <v>511</v>
      </c>
      <c r="P159" s="30" t="s">
        <v>111</v>
      </c>
      <c r="Q159" s="149" t="s">
        <v>38</v>
      </c>
    </row>
    <row r="160" spans="9:17" ht="46.5" x14ac:dyDescent="0.35">
      <c r="I160" s="191" t="s">
        <v>480</v>
      </c>
      <c r="J160" s="172" t="s">
        <v>156</v>
      </c>
      <c r="K160" s="148">
        <v>1.5</v>
      </c>
      <c r="L160" s="149" t="s">
        <v>68</v>
      </c>
      <c r="M160" s="150" t="s">
        <v>101</v>
      </c>
      <c r="N160" s="21" t="s">
        <v>55</v>
      </c>
      <c r="O160" s="30" t="s">
        <v>511</v>
      </c>
      <c r="P160" s="30" t="s">
        <v>111</v>
      </c>
      <c r="Q160" s="149" t="s">
        <v>38</v>
      </c>
    </row>
    <row r="161" spans="9:17" ht="15.5" x14ac:dyDescent="0.35">
      <c r="I161" s="172" t="s">
        <v>481</v>
      </c>
      <c r="J161" s="177" t="s">
        <v>109</v>
      </c>
      <c r="K161" s="148">
        <v>3</v>
      </c>
      <c r="L161" s="149" t="s">
        <v>158</v>
      </c>
      <c r="M161" s="149" t="s">
        <v>34</v>
      </c>
      <c r="N161" s="21" t="s">
        <v>35</v>
      </c>
      <c r="O161" s="21" t="s">
        <v>40</v>
      </c>
      <c r="P161" s="21" t="s">
        <v>78</v>
      </c>
      <c r="Q161" s="149" t="s">
        <v>54</v>
      </c>
    </row>
    <row r="162" spans="9:17" ht="15.5" x14ac:dyDescent="0.35">
      <c r="I162" s="172" t="s">
        <v>481</v>
      </c>
      <c r="J162" s="177" t="s">
        <v>109</v>
      </c>
      <c r="K162" s="148">
        <v>3</v>
      </c>
      <c r="L162" s="149" t="s">
        <v>158</v>
      </c>
      <c r="M162" s="149" t="s">
        <v>34</v>
      </c>
      <c r="N162" s="21" t="s">
        <v>48</v>
      </c>
      <c r="O162" s="21" t="s">
        <v>44</v>
      </c>
      <c r="P162" s="21" t="s">
        <v>152</v>
      </c>
      <c r="Q162" s="149" t="s">
        <v>54</v>
      </c>
    </row>
    <row r="163" spans="9:17" ht="15.5" x14ac:dyDescent="0.35">
      <c r="I163" s="172" t="s">
        <v>481</v>
      </c>
      <c r="J163" s="177" t="s">
        <v>109</v>
      </c>
      <c r="K163" s="148">
        <v>3</v>
      </c>
      <c r="L163" s="149" t="s">
        <v>75</v>
      </c>
      <c r="M163" s="149" t="s">
        <v>42</v>
      </c>
      <c r="N163" s="21" t="s">
        <v>46</v>
      </c>
      <c r="O163" s="21" t="s">
        <v>511</v>
      </c>
      <c r="P163" s="21" t="s">
        <v>159</v>
      </c>
      <c r="Q163" s="149" t="s">
        <v>54</v>
      </c>
    </row>
    <row r="164" spans="9:17" ht="15.5" x14ac:dyDescent="0.35">
      <c r="I164" s="172" t="s">
        <v>481</v>
      </c>
      <c r="J164" s="177" t="s">
        <v>109</v>
      </c>
      <c r="K164" s="148">
        <v>3</v>
      </c>
      <c r="L164" s="149" t="s">
        <v>75</v>
      </c>
      <c r="M164" s="149" t="s">
        <v>42</v>
      </c>
      <c r="N164" s="21" t="s">
        <v>55</v>
      </c>
      <c r="O164" s="21" t="s">
        <v>44</v>
      </c>
      <c r="P164" s="21" t="s">
        <v>152</v>
      </c>
      <c r="Q164" s="149" t="s">
        <v>54</v>
      </c>
    </row>
    <row r="165" spans="9:17" ht="15.5" x14ac:dyDescent="0.35">
      <c r="I165" s="172" t="s">
        <v>481</v>
      </c>
      <c r="J165" s="177" t="s">
        <v>109</v>
      </c>
      <c r="K165" s="148">
        <v>3</v>
      </c>
      <c r="L165" s="149" t="s">
        <v>75</v>
      </c>
      <c r="M165" s="149" t="s">
        <v>34</v>
      </c>
      <c r="N165" s="21" t="s">
        <v>35</v>
      </c>
      <c r="O165" s="21" t="s">
        <v>44</v>
      </c>
      <c r="P165" s="21" t="s">
        <v>78</v>
      </c>
      <c r="Q165" s="149" t="s">
        <v>54</v>
      </c>
    </row>
    <row r="166" spans="9:17" ht="15.5" x14ac:dyDescent="0.35">
      <c r="I166" s="172" t="s">
        <v>481</v>
      </c>
      <c r="J166" s="177" t="s">
        <v>109</v>
      </c>
      <c r="K166" s="148">
        <v>3</v>
      </c>
      <c r="L166" s="149" t="s">
        <v>75</v>
      </c>
      <c r="M166" s="149" t="s">
        <v>34</v>
      </c>
      <c r="N166" s="38" t="s">
        <v>48</v>
      </c>
      <c r="O166" s="21" t="s">
        <v>40</v>
      </c>
      <c r="P166" s="57" t="s">
        <v>160</v>
      </c>
      <c r="Q166" s="149" t="s">
        <v>54</v>
      </c>
    </row>
    <row r="167" spans="9:17" ht="15.5" x14ac:dyDescent="0.35">
      <c r="I167" s="172" t="s">
        <v>481</v>
      </c>
      <c r="J167" s="177" t="s">
        <v>161</v>
      </c>
      <c r="K167" s="148">
        <v>2</v>
      </c>
      <c r="L167" s="149" t="s">
        <v>75</v>
      </c>
      <c r="M167" s="149" t="s">
        <v>162</v>
      </c>
      <c r="N167" s="21" t="s">
        <v>46</v>
      </c>
      <c r="O167" s="21" t="s">
        <v>52</v>
      </c>
      <c r="P167" s="21" t="s">
        <v>163</v>
      </c>
      <c r="Q167" s="149" t="s">
        <v>54</v>
      </c>
    </row>
    <row r="168" spans="9:17" ht="15.5" x14ac:dyDescent="0.35">
      <c r="I168" s="172" t="s">
        <v>481</v>
      </c>
      <c r="J168" s="177" t="s">
        <v>161</v>
      </c>
      <c r="K168" s="148">
        <v>2</v>
      </c>
      <c r="L168" s="149" t="s">
        <v>75</v>
      </c>
      <c r="M168" s="149" t="s">
        <v>162</v>
      </c>
      <c r="N168" s="21" t="s">
        <v>39</v>
      </c>
      <c r="O168" s="21" t="s">
        <v>59</v>
      </c>
      <c r="P168" s="21" t="s">
        <v>163</v>
      </c>
      <c r="Q168" s="149" t="s">
        <v>54</v>
      </c>
    </row>
    <row r="169" spans="9:17" ht="15.5" x14ac:dyDescent="0.35">
      <c r="I169" s="172" t="s">
        <v>481</v>
      </c>
      <c r="J169" s="177" t="s">
        <v>161</v>
      </c>
      <c r="K169" s="148">
        <v>2</v>
      </c>
      <c r="L169" s="149" t="s">
        <v>75</v>
      </c>
      <c r="M169" s="149" t="s">
        <v>164</v>
      </c>
      <c r="N169" s="21" t="s">
        <v>35</v>
      </c>
      <c r="O169" s="21" t="s">
        <v>56</v>
      </c>
      <c r="P169" s="21" t="s">
        <v>165</v>
      </c>
      <c r="Q169" s="149" t="s">
        <v>54</v>
      </c>
    </row>
    <row r="170" spans="9:17" ht="15.5" x14ac:dyDescent="0.35">
      <c r="I170" s="172" t="s">
        <v>481</v>
      </c>
      <c r="J170" s="177" t="s">
        <v>161</v>
      </c>
      <c r="K170" s="148">
        <v>2</v>
      </c>
      <c r="L170" s="149" t="s">
        <v>75</v>
      </c>
      <c r="M170" s="149" t="s">
        <v>164</v>
      </c>
      <c r="N170" s="21" t="s">
        <v>55</v>
      </c>
      <c r="O170" s="21" t="s">
        <v>52</v>
      </c>
      <c r="P170" s="21" t="s">
        <v>163</v>
      </c>
      <c r="Q170" s="149" t="s">
        <v>54</v>
      </c>
    </row>
    <row r="171" spans="9:17" ht="15.5" customHeight="1" x14ac:dyDescent="0.35">
      <c r="I171" s="172" t="s">
        <v>481</v>
      </c>
      <c r="J171" s="176" t="s">
        <v>166</v>
      </c>
      <c r="K171" s="152">
        <v>1.5</v>
      </c>
      <c r="L171" s="149" t="s">
        <v>63</v>
      </c>
      <c r="M171" s="151" t="s">
        <v>64</v>
      </c>
      <c r="N171" s="50" t="s">
        <v>48</v>
      </c>
      <c r="O171" s="50" t="s">
        <v>511</v>
      </c>
      <c r="P171" s="50" t="s">
        <v>78</v>
      </c>
      <c r="Q171" s="149" t="s">
        <v>54</v>
      </c>
    </row>
    <row r="172" spans="9:17" ht="46.5" x14ac:dyDescent="0.35">
      <c r="I172" s="172" t="s">
        <v>481</v>
      </c>
      <c r="J172" s="176" t="s">
        <v>166</v>
      </c>
      <c r="K172" s="152">
        <v>1.5</v>
      </c>
      <c r="L172" s="149" t="s">
        <v>68</v>
      </c>
      <c r="M172" s="151" t="s">
        <v>64</v>
      </c>
      <c r="N172" s="21" t="s">
        <v>55</v>
      </c>
      <c r="O172" s="50" t="s">
        <v>511</v>
      </c>
      <c r="P172" s="21" t="s">
        <v>65</v>
      </c>
      <c r="Q172" s="149" t="s">
        <v>54</v>
      </c>
    </row>
    <row r="173" spans="9:17" ht="15.5" customHeight="1" x14ac:dyDescent="0.35">
      <c r="I173" s="172" t="s">
        <v>482</v>
      </c>
      <c r="J173" s="176" t="s">
        <v>168</v>
      </c>
      <c r="K173" s="148">
        <v>1.5</v>
      </c>
      <c r="L173" s="149" t="s">
        <v>75</v>
      </c>
      <c r="M173" s="149" t="s">
        <v>136</v>
      </c>
      <c r="N173" s="21" t="s">
        <v>46</v>
      </c>
      <c r="O173" s="21" t="s">
        <v>91</v>
      </c>
      <c r="P173" s="21" t="s">
        <v>65</v>
      </c>
      <c r="Q173" s="149" t="s">
        <v>54</v>
      </c>
    </row>
    <row r="174" spans="9:17" ht="31" customHeight="1" x14ac:dyDescent="0.35">
      <c r="I174" s="172" t="s">
        <v>482</v>
      </c>
      <c r="J174" s="176" t="s">
        <v>168</v>
      </c>
      <c r="K174" s="148">
        <v>1.5</v>
      </c>
      <c r="L174" s="149" t="s">
        <v>75</v>
      </c>
      <c r="M174" s="149" t="s">
        <v>136</v>
      </c>
      <c r="N174" s="21" t="s">
        <v>55</v>
      </c>
      <c r="O174" s="21" t="s">
        <v>511</v>
      </c>
      <c r="P174" s="21" t="s">
        <v>152</v>
      </c>
      <c r="Q174" s="149" t="s">
        <v>54</v>
      </c>
    </row>
    <row r="175" spans="9:17" ht="31" customHeight="1" x14ac:dyDescent="0.35">
      <c r="I175" s="172" t="s">
        <v>482</v>
      </c>
      <c r="J175" s="172" t="s">
        <v>168</v>
      </c>
      <c r="K175" s="148">
        <v>1.5</v>
      </c>
      <c r="L175" s="149" t="s">
        <v>75</v>
      </c>
      <c r="M175" s="149" t="s">
        <v>76</v>
      </c>
      <c r="N175" s="21" t="s">
        <v>39</v>
      </c>
      <c r="O175" s="21" t="s">
        <v>66</v>
      </c>
      <c r="P175" s="21" t="s">
        <v>132</v>
      </c>
      <c r="Q175" s="149" t="s">
        <v>54</v>
      </c>
    </row>
    <row r="176" spans="9:17" ht="31" customHeight="1" x14ac:dyDescent="0.35">
      <c r="I176" s="172" t="s">
        <v>482</v>
      </c>
      <c r="J176" s="172" t="s">
        <v>168</v>
      </c>
      <c r="K176" s="148">
        <v>1.5</v>
      </c>
      <c r="L176" s="149" t="s">
        <v>75</v>
      </c>
      <c r="M176" s="149" t="s">
        <v>76</v>
      </c>
      <c r="N176" s="21" t="s">
        <v>48</v>
      </c>
      <c r="O176" s="21" t="s">
        <v>40</v>
      </c>
      <c r="P176" s="21" t="s">
        <v>169</v>
      </c>
      <c r="Q176" s="149" t="s">
        <v>54</v>
      </c>
    </row>
    <row r="177" spans="9:17" ht="31" customHeight="1" x14ac:dyDescent="0.35">
      <c r="I177" s="172" t="s">
        <v>482</v>
      </c>
      <c r="J177" s="172" t="s">
        <v>168</v>
      </c>
      <c r="K177" s="148">
        <v>1.5</v>
      </c>
      <c r="L177" s="149" t="s">
        <v>75</v>
      </c>
      <c r="M177" s="149" t="s">
        <v>79</v>
      </c>
      <c r="N177" s="21" t="s">
        <v>46</v>
      </c>
      <c r="O177" s="21" t="s">
        <v>511</v>
      </c>
      <c r="P177" s="21" t="s">
        <v>170</v>
      </c>
      <c r="Q177" s="149" t="s">
        <v>54</v>
      </c>
    </row>
    <row r="178" spans="9:17" ht="31" customHeight="1" x14ac:dyDescent="0.35">
      <c r="I178" s="172" t="s">
        <v>482</v>
      </c>
      <c r="J178" s="172" t="s">
        <v>168</v>
      </c>
      <c r="K178" s="148">
        <v>1.5</v>
      </c>
      <c r="L178" s="149" t="s">
        <v>75</v>
      </c>
      <c r="M178" s="149" t="s">
        <v>79</v>
      </c>
      <c r="N178" s="21" t="s">
        <v>55</v>
      </c>
      <c r="O178" s="21" t="s">
        <v>44</v>
      </c>
      <c r="P178" s="21" t="s">
        <v>169</v>
      </c>
      <c r="Q178" s="149" t="s">
        <v>54</v>
      </c>
    </row>
    <row r="179" spans="9:17" ht="31" customHeight="1" x14ac:dyDescent="0.35">
      <c r="I179" s="172" t="s">
        <v>482</v>
      </c>
      <c r="J179" s="172" t="s">
        <v>171</v>
      </c>
      <c r="K179" s="148">
        <v>1</v>
      </c>
      <c r="L179" s="149" t="s">
        <v>75</v>
      </c>
      <c r="M179" s="149" t="s">
        <v>90</v>
      </c>
      <c r="N179" s="21" t="s">
        <v>35</v>
      </c>
      <c r="O179" s="21" t="s">
        <v>82</v>
      </c>
      <c r="P179" s="35" t="s">
        <v>149</v>
      </c>
      <c r="Q179" s="149" t="s">
        <v>38</v>
      </c>
    </row>
    <row r="180" spans="9:17" ht="31" customHeight="1" x14ac:dyDescent="0.35">
      <c r="I180" s="172" t="s">
        <v>482</v>
      </c>
      <c r="J180" s="172" t="s">
        <v>171</v>
      </c>
      <c r="K180" s="148">
        <v>1</v>
      </c>
      <c r="L180" s="149" t="s">
        <v>75</v>
      </c>
      <c r="M180" s="149" t="s">
        <v>90</v>
      </c>
      <c r="N180" s="38" t="s">
        <v>48</v>
      </c>
      <c r="O180" s="38" t="s">
        <v>56</v>
      </c>
      <c r="P180" s="57" t="s">
        <v>172</v>
      </c>
      <c r="Q180" s="149" t="s">
        <v>38</v>
      </c>
    </row>
    <row r="181" spans="9:17" ht="28" x14ac:dyDescent="0.35">
      <c r="I181" s="181" t="s">
        <v>184</v>
      </c>
      <c r="J181" s="178" t="s">
        <v>185</v>
      </c>
      <c r="K181" s="139">
        <v>3</v>
      </c>
      <c r="L181" s="140" t="s">
        <v>75</v>
      </c>
      <c r="M181" s="140" t="s">
        <v>153</v>
      </c>
      <c r="N181" s="74" t="s">
        <v>35</v>
      </c>
      <c r="O181" s="74" t="s">
        <v>40</v>
      </c>
      <c r="P181" s="74" t="s">
        <v>160</v>
      </c>
      <c r="Q181" s="140" t="s">
        <v>38</v>
      </c>
    </row>
    <row r="182" spans="9:17" ht="28" x14ac:dyDescent="0.35">
      <c r="I182" s="181" t="s">
        <v>184</v>
      </c>
      <c r="J182" s="178" t="s">
        <v>185</v>
      </c>
      <c r="K182" s="139">
        <v>3</v>
      </c>
      <c r="L182" s="140" t="s">
        <v>75</v>
      </c>
      <c r="M182" s="140" t="s">
        <v>153</v>
      </c>
      <c r="N182" s="74" t="s">
        <v>55</v>
      </c>
      <c r="O182" s="74" t="s">
        <v>511</v>
      </c>
      <c r="P182" s="74" t="s">
        <v>169</v>
      </c>
      <c r="Q182" s="140" t="s">
        <v>38</v>
      </c>
    </row>
    <row r="183" spans="9:17" ht="28" x14ac:dyDescent="0.35">
      <c r="I183" s="181" t="s">
        <v>184</v>
      </c>
      <c r="J183" s="178" t="s">
        <v>186</v>
      </c>
      <c r="K183" s="139">
        <v>3</v>
      </c>
      <c r="L183" s="140" t="s">
        <v>158</v>
      </c>
      <c r="M183" s="140" t="s">
        <v>136</v>
      </c>
      <c r="N183" s="74" t="s">
        <v>46</v>
      </c>
      <c r="O183" s="74" t="s">
        <v>40</v>
      </c>
      <c r="P183" s="74" t="s">
        <v>78</v>
      </c>
      <c r="Q183" s="140" t="s">
        <v>54</v>
      </c>
    </row>
    <row r="184" spans="9:17" ht="28" customHeight="1" x14ac:dyDescent="0.35">
      <c r="I184" s="181" t="s">
        <v>184</v>
      </c>
      <c r="J184" s="178" t="s">
        <v>186</v>
      </c>
      <c r="K184" s="139">
        <v>3</v>
      </c>
      <c r="L184" s="140" t="s">
        <v>158</v>
      </c>
      <c r="M184" s="140" t="s">
        <v>136</v>
      </c>
      <c r="N184" s="74" t="s">
        <v>48</v>
      </c>
      <c r="O184" s="74" t="s">
        <v>108</v>
      </c>
      <c r="P184" s="74" t="s">
        <v>155</v>
      </c>
      <c r="Q184" s="140" t="s">
        <v>54</v>
      </c>
    </row>
    <row r="185" spans="9:17" ht="28" customHeight="1" x14ac:dyDescent="0.35">
      <c r="I185" s="181" t="s">
        <v>184</v>
      </c>
      <c r="J185" s="178" t="s">
        <v>187</v>
      </c>
      <c r="K185" s="139">
        <v>3</v>
      </c>
      <c r="L185" s="140" t="s">
        <v>75</v>
      </c>
      <c r="M185" s="140" t="s">
        <v>136</v>
      </c>
      <c r="N185" s="74" t="s">
        <v>35</v>
      </c>
      <c r="O185" s="74" t="s">
        <v>511</v>
      </c>
      <c r="P185" s="74" t="s">
        <v>155</v>
      </c>
      <c r="Q185" s="140" t="s">
        <v>54</v>
      </c>
    </row>
    <row r="186" spans="9:17" ht="28" customHeight="1" x14ac:dyDescent="0.35">
      <c r="I186" s="181" t="s">
        <v>184</v>
      </c>
      <c r="J186" s="178" t="s">
        <v>187</v>
      </c>
      <c r="K186" s="139">
        <v>3</v>
      </c>
      <c r="L186" s="140" t="s">
        <v>75</v>
      </c>
      <c r="M186" s="140" t="s">
        <v>136</v>
      </c>
      <c r="N186" s="74" t="s">
        <v>48</v>
      </c>
      <c r="O186" s="74" t="s">
        <v>511</v>
      </c>
      <c r="P186" s="74" t="s">
        <v>169</v>
      </c>
      <c r="Q186" s="140" t="s">
        <v>54</v>
      </c>
    </row>
    <row r="187" spans="9:17" ht="28" customHeight="1" x14ac:dyDescent="0.35">
      <c r="I187" s="181" t="s">
        <v>184</v>
      </c>
      <c r="J187" s="178" t="s">
        <v>188</v>
      </c>
      <c r="K187" s="139">
        <v>2</v>
      </c>
      <c r="L187" s="140" t="s">
        <v>33</v>
      </c>
      <c r="M187" s="140" t="s">
        <v>34</v>
      </c>
      <c r="N187" s="74" t="s">
        <v>35</v>
      </c>
      <c r="O187" s="74" t="s">
        <v>56</v>
      </c>
      <c r="P187" s="74" t="s">
        <v>77</v>
      </c>
      <c r="Q187" s="140" t="s">
        <v>38</v>
      </c>
    </row>
    <row r="188" spans="9:17" ht="28" customHeight="1" x14ac:dyDescent="0.35">
      <c r="I188" s="181" t="s">
        <v>184</v>
      </c>
      <c r="J188" s="178" t="s">
        <v>188</v>
      </c>
      <c r="K188" s="139">
        <v>2</v>
      </c>
      <c r="L188" s="140" t="s">
        <v>33</v>
      </c>
      <c r="M188" s="140" t="s">
        <v>34</v>
      </c>
      <c r="N188" s="74" t="s">
        <v>39</v>
      </c>
      <c r="O188" s="74" t="s">
        <v>123</v>
      </c>
      <c r="P188" s="74" t="s">
        <v>77</v>
      </c>
      <c r="Q188" s="140" t="s">
        <v>38</v>
      </c>
    </row>
    <row r="189" spans="9:17" ht="28" customHeight="1" x14ac:dyDescent="0.35">
      <c r="I189" s="181" t="s">
        <v>184</v>
      </c>
      <c r="J189" s="178" t="s">
        <v>161</v>
      </c>
      <c r="K189" s="139">
        <v>2</v>
      </c>
      <c r="L189" s="140" t="s">
        <v>75</v>
      </c>
      <c r="M189" s="140" t="s">
        <v>189</v>
      </c>
      <c r="N189" s="74" t="s">
        <v>35</v>
      </c>
      <c r="O189" s="74" t="s">
        <v>123</v>
      </c>
      <c r="P189" s="74" t="s">
        <v>190</v>
      </c>
      <c r="Q189" s="140" t="s">
        <v>54</v>
      </c>
    </row>
    <row r="190" spans="9:17" ht="28" customHeight="1" x14ac:dyDescent="0.35">
      <c r="I190" s="181" t="s">
        <v>184</v>
      </c>
      <c r="J190" s="178" t="s">
        <v>161</v>
      </c>
      <c r="K190" s="139">
        <v>2</v>
      </c>
      <c r="L190" s="140" t="s">
        <v>75</v>
      </c>
      <c r="M190" s="140" t="s">
        <v>189</v>
      </c>
      <c r="N190" s="74" t="s">
        <v>48</v>
      </c>
      <c r="O190" s="74" t="s">
        <v>52</v>
      </c>
      <c r="P190" s="74" t="s">
        <v>190</v>
      </c>
      <c r="Q190" s="140" t="s">
        <v>54</v>
      </c>
    </row>
    <row r="191" spans="9:17" ht="28" customHeight="1" x14ac:dyDescent="0.35">
      <c r="I191" s="181" t="s">
        <v>184</v>
      </c>
      <c r="J191" s="192" t="s">
        <v>191</v>
      </c>
      <c r="K191" s="81">
        <v>3</v>
      </c>
      <c r="L191" s="74" t="s">
        <v>75</v>
      </c>
      <c r="M191" s="74" t="s">
        <v>192</v>
      </c>
      <c r="N191" s="74" t="s">
        <v>55</v>
      </c>
      <c r="O191" s="74" t="s">
        <v>82</v>
      </c>
      <c r="P191" s="74" t="s">
        <v>114</v>
      </c>
      <c r="Q191" s="74" t="s">
        <v>93</v>
      </c>
    </row>
    <row r="192" spans="9:17" x14ac:dyDescent="0.35">
      <c r="I192" s="181" t="s">
        <v>193</v>
      </c>
      <c r="J192" s="178" t="s">
        <v>194</v>
      </c>
      <c r="K192" s="139">
        <v>3</v>
      </c>
      <c r="L192" s="140" t="s">
        <v>51</v>
      </c>
      <c r="M192" s="140" t="s">
        <v>136</v>
      </c>
      <c r="N192" s="74" t="s">
        <v>46</v>
      </c>
      <c r="O192" s="74" t="s">
        <v>44</v>
      </c>
      <c r="P192" s="74" t="s">
        <v>132</v>
      </c>
      <c r="Q192" s="140" t="s">
        <v>54</v>
      </c>
    </row>
    <row r="193" spans="9:17" x14ac:dyDescent="0.35">
      <c r="I193" s="181" t="s">
        <v>193</v>
      </c>
      <c r="J193" s="178" t="s">
        <v>194</v>
      </c>
      <c r="K193" s="139">
        <v>3</v>
      </c>
      <c r="L193" s="140" t="s">
        <v>51</v>
      </c>
      <c r="M193" s="140" t="s">
        <v>136</v>
      </c>
      <c r="N193" s="74" t="s">
        <v>48</v>
      </c>
      <c r="O193" s="74" t="s">
        <v>511</v>
      </c>
      <c r="P193" s="74" t="s">
        <v>133</v>
      </c>
      <c r="Q193" s="140" t="s">
        <v>54</v>
      </c>
    </row>
    <row r="194" spans="9:17" x14ac:dyDescent="0.35">
      <c r="I194" s="181" t="s">
        <v>193</v>
      </c>
      <c r="J194" s="178" t="s">
        <v>194</v>
      </c>
      <c r="K194" s="139">
        <v>3</v>
      </c>
      <c r="L194" s="140" t="s">
        <v>51</v>
      </c>
      <c r="M194" s="140" t="s">
        <v>76</v>
      </c>
      <c r="N194" s="74" t="s">
        <v>46</v>
      </c>
      <c r="O194" s="74" t="s">
        <v>511</v>
      </c>
      <c r="P194" s="74" t="s">
        <v>133</v>
      </c>
      <c r="Q194" s="140" t="s">
        <v>54</v>
      </c>
    </row>
    <row r="195" spans="9:17" x14ac:dyDescent="0.35">
      <c r="I195" s="181" t="s">
        <v>193</v>
      </c>
      <c r="J195" s="178" t="s">
        <v>194</v>
      </c>
      <c r="K195" s="139">
        <v>3</v>
      </c>
      <c r="L195" s="140" t="s">
        <v>51</v>
      </c>
      <c r="M195" s="140" t="s">
        <v>76</v>
      </c>
      <c r="N195" s="74" t="s">
        <v>48</v>
      </c>
      <c r="O195" s="74" t="s">
        <v>40</v>
      </c>
      <c r="P195" s="74" t="s">
        <v>65</v>
      </c>
      <c r="Q195" s="140" t="s">
        <v>54</v>
      </c>
    </row>
    <row r="196" spans="9:17" x14ac:dyDescent="0.35">
      <c r="I196" s="181" t="s">
        <v>193</v>
      </c>
      <c r="J196" s="178" t="s">
        <v>526</v>
      </c>
      <c r="K196" s="139">
        <v>3</v>
      </c>
      <c r="L196" s="140" t="s">
        <v>51</v>
      </c>
      <c r="M196" s="140" t="s">
        <v>90</v>
      </c>
      <c r="N196" s="74" t="s">
        <v>35</v>
      </c>
      <c r="O196" s="74" t="s">
        <v>40</v>
      </c>
      <c r="P196" s="74" t="s">
        <v>143</v>
      </c>
      <c r="Q196" s="140" t="s">
        <v>38</v>
      </c>
    </row>
    <row r="197" spans="9:17" x14ac:dyDescent="0.35">
      <c r="I197" s="181" t="s">
        <v>193</v>
      </c>
      <c r="J197" s="178" t="s">
        <v>526</v>
      </c>
      <c r="K197" s="139">
        <v>3</v>
      </c>
      <c r="L197" s="140" t="s">
        <v>51</v>
      </c>
      <c r="M197" s="140" t="s">
        <v>90</v>
      </c>
      <c r="N197" s="74" t="s">
        <v>55</v>
      </c>
      <c r="O197" s="74" t="s">
        <v>511</v>
      </c>
      <c r="P197" s="74" t="s">
        <v>196</v>
      </c>
      <c r="Q197" s="140" t="s">
        <v>38</v>
      </c>
    </row>
    <row r="198" spans="9:17" x14ac:dyDescent="0.35">
      <c r="I198" s="181" t="s">
        <v>193</v>
      </c>
      <c r="J198" s="178" t="s">
        <v>526</v>
      </c>
      <c r="K198" s="139">
        <v>3</v>
      </c>
      <c r="L198" s="140" t="s">
        <v>51</v>
      </c>
      <c r="M198" s="140" t="s">
        <v>173</v>
      </c>
      <c r="N198" s="74" t="s">
        <v>35</v>
      </c>
      <c r="O198" s="74" t="s">
        <v>44</v>
      </c>
      <c r="P198" s="74" t="s">
        <v>78</v>
      </c>
      <c r="Q198" s="140" t="s">
        <v>38</v>
      </c>
    </row>
    <row r="199" spans="9:17" x14ac:dyDescent="0.35">
      <c r="I199" s="181" t="s">
        <v>193</v>
      </c>
      <c r="J199" s="178" t="s">
        <v>526</v>
      </c>
      <c r="K199" s="139">
        <v>3</v>
      </c>
      <c r="L199" s="140" t="s">
        <v>51</v>
      </c>
      <c r="M199" s="140" t="s">
        <v>173</v>
      </c>
      <c r="N199" s="74" t="s">
        <v>39</v>
      </c>
      <c r="O199" s="74" t="s">
        <v>44</v>
      </c>
      <c r="P199" s="74" t="s">
        <v>80</v>
      </c>
      <c r="Q199" s="140" t="s">
        <v>38</v>
      </c>
    </row>
    <row r="200" spans="9:17" x14ac:dyDescent="0.35">
      <c r="I200" s="181" t="s">
        <v>193</v>
      </c>
      <c r="J200" s="178" t="s">
        <v>188</v>
      </c>
      <c r="K200" s="139">
        <v>2</v>
      </c>
      <c r="L200" s="140" t="s">
        <v>33</v>
      </c>
      <c r="M200" s="140" t="s">
        <v>49</v>
      </c>
      <c r="N200" s="74" t="s">
        <v>46</v>
      </c>
      <c r="O200" s="74" t="s">
        <v>131</v>
      </c>
      <c r="P200" s="74" t="s">
        <v>197</v>
      </c>
      <c r="Q200" s="140" t="s">
        <v>38</v>
      </c>
    </row>
    <row r="201" spans="9:17" x14ac:dyDescent="0.35">
      <c r="I201" s="181" t="s">
        <v>193</v>
      </c>
      <c r="J201" s="178" t="s">
        <v>188</v>
      </c>
      <c r="K201" s="139">
        <v>2</v>
      </c>
      <c r="L201" s="140" t="s">
        <v>33</v>
      </c>
      <c r="M201" s="140" t="s">
        <v>49</v>
      </c>
      <c r="N201" s="74" t="s">
        <v>48</v>
      </c>
      <c r="O201" s="74" t="s">
        <v>131</v>
      </c>
      <c r="P201" s="74" t="s">
        <v>77</v>
      </c>
      <c r="Q201" s="140" t="s">
        <v>38</v>
      </c>
    </row>
    <row r="202" spans="9:17" ht="28" x14ac:dyDescent="0.35">
      <c r="I202" s="178" t="s">
        <v>483</v>
      </c>
      <c r="J202" s="178" t="s">
        <v>199</v>
      </c>
      <c r="K202" s="139">
        <v>3</v>
      </c>
      <c r="L202" s="140" t="s">
        <v>33</v>
      </c>
      <c r="M202" s="140" t="s">
        <v>101</v>
      </c>
      <c r="N202" s="74" t="s">
        <v>35</v>
      </c>
      <c r="O202" s="74" t="s">
        <v>40</v>
      </c>
      <c r="P202" s="74" t="s">
        <v>77</v>
      </c>
      <c r="Q202" s="140" t="s">
        <v>54</v>
      </c>
    </row>
    <row r="203" spans="9:17" ht="28" customHeight="1" x14ac:dyDescent="0.35">
      <c r="I203" s="178" t="s">
        <v>483</v>
      </c>
      <c r="J203" s="178" t="s">
        <v>199</v>
      </c>
      <c r="K203" s="139">
        <v>3</v>
      </c>
      <c r="L203" s="140" t="s">
        <v>33</v>
      </c>
      <c r="M203" s="140" t="s">
        <v>101</v>
      </c>
      <c r="N203" s="74" t="s">
        <v>39</v>
      </c>
      <c r="O203" s="74" t="s">
        <v>40</v>
      </c>
      <c r="P203" s="74" t="s">
        <v>77</v>
      </c>
      <c r="Q203" s="140" t="s">
        <v>54</v>
      </c>
    </row>
    <row r="204" spans="9:17" ht="28" x14ac:dyDescent="0.35">
      <c r="I204" s="178" t="s">
        <v>483</v>
      </c>
      <c r="J204" s="178" t="s">
        <v>199</v>
      </c>
      <c r="K204" s="139">
        <v>3</v>
      </c>
      <c r="L204" s="140" t="s">
        <v>33</v>
      </c>
      <c r="M204" s="140" t="s">
        <v>64</v>
      </c>
      <c r="N204" s="74" t="s">
        <v>46</v>
      </c>
      <c r="O204" s="74" t="s">
        <v>511</v>
      </c>
      <c r="P204" s="74" t="s">
        <v>77</v>
      </c>
      <c r="Q204" s="140" t="s">
        <v>54</v>
      </c>
    </row>
    <row r="205" spans="9:17" ht="28" customHeight="1" x14ac:dyDescent="0.35">
      <c r="I205" s="178" t="s">
        <v>483</v>
      </c>
      <c r="J205" s="178" t="s">
        <v>199</v>
      </c>
      <c r="K205" s="139">
        <v>3</v>
      </c>
      <c r="L205" s="140" t="s">
        <v>33</v>
      </c>
      <c r="M205" s="140" t="s">
        <v>64</v>
      </c>
      <c r="N205" s="74" t="s">
        <v>48</v>
      </c>
      <c r="O205" s="74" t="s">
        <v>40</v>
      </c>
      <c r="P205" s="74" t="s">
        <v>77</v>
      </c>
      <c r="Q205" s="140" t="s">
        <v>54</v>
      </c>
    </row>
    <row r="206" spans="9:17" ht="28" x14ac:dyDescent="0.35">
      <c r="I206" s="178" t="s">
        <v>483</v>
      </c>
      <c r="J206" s="178" t="s">
        <v>199</v>
      </c>
      <c r="K206" s="139">
        <v>3</v>
      </c>
      <c r="L206" s="140" t="s">
        <v>33</v>
      </c>
      <c r="M206" s="140" t="s">
        <v>103</v>
      </c>
      <c r="N206" s="74" t="s">
        <v>46</v>
      </c>
      <c r="O206" s="74" t="s">
        <v>40</v>
      </c>
      <c r="P206" s="74" t="s">
        <v>77</v>
      </c>
      <c r="Q206" s="140" t="s">
        <v>54</v>
      </c>
    </row>
    <row r="207" spans="9:17" ht="28" customHeight="1" x14ac:dyDescent="0.35">
      <c r="I207" s="178" t="s">
        <v>483</v>
      </c>
      <c r="J207" s="178" t="s">
        <v>199</v>
      </c>
      <c r="K207" s="139">
        <v>3</v>
      </c>
      <c r="L207" s="140" t="s">
        <v>33</v>
      </c>
      <c r="M207" s="140" t="s">
        <v>103</v>
      </c>
      <c r="N207" s="74" t="s">
        <v>48</v>
      </c>
      <c r="O207" s="74" t="s">
        <v>108</v>
      </c>
      <c r="P207" s="74" t="s">
        <v>77</v>
      </c>
      <c r="Q207" s="140" t="s">
        <v>54</v>
      </c>
    </row>
    <row r="208" spans="9:17" ht="28" x14ac:dyDescent="0.35">
      <c r="I208" s="178" t="s">
        <v>483</v>
      </c>
      <c r="J208" s="178" t="s">
        <v>199</v>
      </c>
      <c r="K208" s="139">
        <v>3</v>
      </c>
      <c r="L208" s="140" t="s">
        <v>33</v>
      </c>
      <c r="M208" s="140" t="s">
        <v>104</v>
      </c>
      <c r="N208" s="74" t="s">
        <v>46</v>
      </c>
      <c r="O208" s="74" t="s">
        <v>108</v>
      </c>
      <c r="P208" s="74" t="s">
        <v>43</v>
      </c>
      <c r="Q208" s="140" t="s">
        <v>54</v>
      </c>
    </row>
    <row r="209" spans="9:17" ht="28" customHeight="1" x14ac:dyDescent="0.35">
      <c r="I209" s="178" t="s">
        <v>483</v>
      </c>
      <c r="J209" s="178" t="s">
        <v>199</v>
      </c>
      <c r="K209" s="139">
        <v>3</v>
      </c>
      <c r="L209" s="140" t="s">
        <v>33</v>
      </c>
      <c r="M209" s="140" t="s">
        <v>104</v>
      </c>
      <c r="N209" s="74" t="s">
        <v>55</v>
      </c>
      <c r="O209" s="74" t="s">
        <v>511</v>
      </c>
      <c r="P209" s="74" t="s">
        <v>43</v>
      </c>
      <c r="Q209" s="140" t="s">
        <v>54</v>
      </c>
    </row>
    <row r="210" spans="9:17" ht="28" customHeight="1" x14ac:dyDescent="0.35">
      <c r="I210" s="178" t="s">
        <v>483</v>
      </c>
      <c r="J210" s="178" t="s">
        <v>201</v>
      </c>
      <c r="K210" s="139">
        <v>3</v>
      </c>
      <c r="L210" s="140" t="s">
        <v>33</v>
      </c>
      <c r="M210" s="140" t="s">
        <v>64</v>
      </c>
      <c r="N210" s="82" t="s">
        <v>39</v>
      </c>
      <c r="O210" s="74" t="s">
        <v>44</v>
      </c>
      <c r="P210" s="83" t="s">
        <v>92</v>
      </c>
      <c r="Q210" s="140" t="s">
        <v>38</v>
      </c>
    </row>
    <row r="211" spans="9:17" ht="28" customHeight="1" x14ac:dyDescent="0.35">
      <c r="I211" s="178" t="s">
        <v>483</v>
      </c>
      <c r="J211" s="178" t="s">
        <v>201</v>
      </c>
      <c r="K211" s="139">
        <v>3</v>
      </c>
      <c r="L211" s="140" t="s">
        <v>33</v>
      </c>
      <c r="M211" s="140" t="s">
        <v>64</v>
      </c>
      <c r="N211" s="82" t="s">
        <v>55</v>
      </c>
      <c r="O211" s="74" t="s">
        <v>511</v>
      </c>
      <c r="P211" s="83" t="s">
        <v>92</v>
      </c>
      <c r="Q211" s="140" t="s">
        <v>38</v>
      </c>
    </row>
    <row r="212" spans="9:17" ht="28" customHeight="1" x14ac:dyDescent="0.35">
      <c r="I212" s="178" t="s">
        <v>483</v>
      </c>
      <c r="J212" s="178" t="s">
        <v>202</v>
      </c>
      <c r="K212" s="139">
        <v>1.5</v>
      </c>
      <c r="L212" s="140" t="s">
        <v>33</v>
      </c>
      <c r="M212" s="140" t="s">
        <v>79</v>
      </c>
      <c r="N212" s="74" t="s">
        <v>35</v>
      </c>
      <c r="O212" s="74" t="s">
        <v>40</v>
      </c>
      <c r="P212" s="74" t="s">
        <v>98</v>
      </c>
      <c r="Q212" s="140" t="s">
        <v>38</v>
      </c>
    </row>
    <row r="213" spans="9:17" ht="28" customHeight="1" x14ac:dyDescent="0.35">
      <c r="I213" s="178" t="s">
        <v>483</v>
      </c>
      <c r="J213" s="178" t="s">
        <v>202</v>
      </c>
      <c r="K213" s="139">
        <v>1.5</v>
      </c>
      <c r="L213" s="140" t="s">
        <v>33</v>
      </c>
      <c r="M213" s="140" t="s">
        <v>79</v>
      </c>
      <c r="N213" s="74" t="s">
        <v>48</v>
      </c>
      <c r="O213" s="74" t="s">
        <v>511</v>
      </c>
      <c r="P213" s="74" t="s">
        <v>128</v>
      </c>
      <c r="Q213" s="140" t="s">
        <v>38</v>
      </c>
    </row>
    <row r="214" spans="9:17" ht="28" x14ac:dyDescent="0.35">
      <c r="I214" s="178" t="s">
        <v>203</v>
      </c>
      <c r="J214" s="178" t="s">
        <v>204</v>
      </c>
      <c r="K214" s="139">
        <v>3</v>
      </c>
      <c r="L214" s="140" t="s">
        <v>33</v>
      </c>
      <c r="M214" s="145" t="s">
        <v>136</v>
      </c>
      <c r="N214" s="84" t="s">
        <v>39</v>
      </c>
      <c r="O214" s="74" t="s">
        <v>511</v>
      </c>
      <c r="P214" s="74" t="s">
        <v>96</v>
      </c>
      <c r="Q214" s="140" t="s">
        <v>54</v>
      </c>
    </row>
    <row r="215" spans="9:17" ht="28" customHeight="1" x14ac:dyDescent="0.35">
      <c r="I215" s="178" t="s">
        <v>203</v>
      </c>
      <c r="J215" s="178" t="s">
        <v>204</v>
      </c>
      <c r="K215" s="139">
        <v>3</v>
      </c>
      <c r="L215" s="140" t="s">
        <v>33</v>
      </c>
      <c r="M215" s="145" t="s">
        <v>136</v>
      </c>
      <c r="N215" s="74" t="s">
        <v>55</v>
      </c>
      <c r="O215" s="74" t="s">
        <v>511</v>
      </c>
      <c r="P215" s="74" t="s">
        <v>96</v>
      </c>
      <c r="Q215" s="140" t="s">
        <v>54</v>
      </c>
    </row>
    <row r="216" spans="9:17" ht="28" x14ac:dyDescent="0.35">
      <c r="I216" s="178" t="s">
        <v>203</v>
      </c>
      <c r="J216" s="178" t="s">
        <v>204</v>
      </c>
      <c r="K216" s="139">
        <v>3</v>
      </c>
      <c r="L216" s="140" t="s">
        <v>33</v>
      </c>
      <c r="M216" s="140" t="s">
        <v>76</v>
      </c>
      <c r="N216" s="74" t="s">
        <v>35</v>
      </c>
      <c r="O216" s="74" t="s">
        <v>511</v>
      </c>
      <c r="P216" s="74" t="s">
        <v>96</v>
      </c>
      <c r="Q216" s="140" t="s">
        <v>54</v>
      </c>
    </row>
    <row r="217" spans="9:17" ht="28" customHeight="1" x14ac:dyDescent="0.35">
      <c r="I217" s="178" t="s">
        <v>203</v>
      </c>
      <c r="J217" s="178" t="s">
        <v>204</v>
      </c>
      <c r="K217" s="139">
        <v>3</v>
      </c>
      <c r="L217" s="140" t="s">
        <v>33</v>
      </c>
      <c r="M217" s="140" t="s">
        <v>76</v>
      </c>
      <c r="N217" s="85" t="s">
        <v>39</v>
      </c>
      <c r="O217" s="85" t="s">
        <v>40</v>
      </c>
      <c r="P217" s="74" t="s">
        <v>96</v>
      </c>
      <c r="Q217" s="140" t="s">
        <v>54</v>
      </c>
    </row>
    <row r="218" spans="9:17" ht="28" x14ac:dyDescent="0.35">
      <c r="I218" s="178" t="s">
        <v>203</v>
      </c>
      <c r="J218" s="178" t="s">
        <v>204</v>
      </c>
      <c r="K218" s="139">
        <v>3</v>
      </c>
      <c r="L218" s="140" t="s">
        <v>33</v>
      </c>
      <c r="M218" s="140" t="s">
        <v>79</v>
      </c>
      <c r="N218" s="74" t="s">
        <v>46</v>
      </c>
      <c r="O218" s="74" t="s">
        <v>511</v>
      </c>
      <c r="P218" s="74" t="s">
        <v>98</v>
      </c>
      <c r="Q218" s="140" t="s">
        <v>54</v>
      </c>
    </row>
    <row r="219" spans="9:17" ht="28" customHeight="1" x14ac:dyDescent="0.35">
      <c r="I219" s="178" t="s">
        <v>203</v>
      </c>
      <c r="J219" s="178" t="s">
        <v>204</v>
      </c>
      <c r="K219" s="139">
        <v>3</v>
      </c>
      <c r="L219" s="140" t="s">
        <v>33</v>
      </c>
      <c r="M219" s="140" t="s">
        <v>79</v>
      </c>
      <c r="N219" s="74" t="s">
        <v>48</v>
      </c>
      <c r="O219" s="74" t="s">
        <v>511</v>
      </c>
      <c r="P219" s="74" t="s">
        <v>98</v>
      </c>
      <c r="Q219" s="140" t="s">
        <v>54</v>
      </c>
    </row>
    <row r="220" spans="9:17" ht="28" x14ac:dyDescent="0.35">
      <c r="I220" s="178" t="s">
        <v>203</v>
      </c>
      <c r="J220" s="178" t="s">
        <v>204</v>
      </c>
      <c r="K220" s="139">
        <v>3</v>
      </c>
      <c r="L220" s="140" t="s">
        <v>33</v>
      </c>
      <c r="M220" s="140" t="s">
        <v>97</v>
      </c>
      <c r="N220" s="74" t="s">
        <v>35</v>
      </c>
      <c r="O220" s="85" t="s">
        <v>40</v>
      </c>
      <c r="P220" s="74" t="s">
        <v>128</v>
      </c>
      <c r="Q220" s="140" t="s">
        <v>54</v>
      </c>
    </row>
    <row r="221" spans="9:17" ht="28" customHeight="1" x14ac:dyDescent="0.35">
      <c r="I221" s="178" t="s">
        <v>203</v>
      </c>
      <c r="J221" s="178" t="s">
        <v>204</v>
      </c>
      <c r="K221" s="139">
        <v>3</v>
      </c>
      <c r="L221" s="140" t="s">
        <v>33</v>
      </c>
      <c r="M221" s="140" t="s">
        <v>97</v>
      </c>
      <c r="N221" s="74" t="s">
        <v>39</v>
      </c>
      <c r="O221" s="74" t="s">
        <v>108</v>
      </c>
      <c r="P221" s="74" t="s">
        <v>128</v>
      </c>
      <c r="Q221" s="140" t="s">
        <v>54</v>
      </c>
    </row>
    <row r="222" spans="9:17" ht="28" customHeight="1" x14ac:dyDescent="0.35">
      <c r="I222" s="178" t="s">
        <v>203</v>
      </c>
      <c r="J222" s="178" t="s">
        <v>202</v>
      </c>
      <c r="K222" s="139">
        <v>1.5</v>
      </c>
      <c r="L222" s="140" t="s">
        <v>33</v>
      </c>
      <c r="M222" s="140" t="s">
        <v>79</v>
      </c>
      <c r="N222" s="74" t="s">
        <v>35</v>
      </c>
      <c r="O222" s="74" t="s">
        <v>40</v>
      </c>
      <c r="P222" s="74" t="s">
        <v>98</v>
      </c>
      <c r="Q222" s="140" t="s">
        <v>38</v>
      </c>
    </row>
    <row r="223" spans="9:17" ht="28" customHeight="1" x14ac:dyDescent="0.35">
      <c r="I223" s="178" t="s">
        <v>203</v>
      </c>
      <c r="J223" s="178" t="s">
        <v>202</v>
      </c>
      <c r="K223" s="139">
        <v>1.5</v>
      </c>
      <c r="L223" s="140" t="s">
        <v>33</v>
      </c>
      <c r="M223" s="140" t="s">
        <v>79</v>
      </c>
      <c r="N223" s="74" t="s">
        <v>48</v>
      </c>
      <c r="O223" s="74" t="s">
        <v>511</v>
      </c>
      <c r="P223" s="74" t="s">
        <v>128</v>
      </c>
      <c r="Q223" s="140" t="s">
        <v>38</v>
      </c>
    </row>
    <row r="224" spans="9:17" ht="28" customHeight="1" x14ac:dyDescent="0.35">
      <c r="I224" s="178" t="s">
        <v>203</v>
      </c>
      <c r="J224" s="178" t="s">
        <v>202</v>
      </c>
      <c r="K224" s="139">
        <v>3</v>
      </c>
      <c r="L224" s="140" t="s">
        <v>33</v>
      </c>
      <c r="M224" s="140" t="s">
        <v>97</v>
      </c>
      <c r="N224" s="74" t="s">
        <v>39</v>
      </c>
      <c r="O224" s="74" t="s">
        <v>511</v>
      </c>
      <c r="P224" s="74" t="s">
        <v>128</v>
      </c>
      <c r="Q224" s="140" t="s">
        <v>38</v>
      </c>
    </row>
    <row r="225" spans="9:17" ht="28" customHeight="1" x14ac:dyDescent="0.35">
      <c r="I225" s="178" t="s">
        <v>203</v>
      </c>
      <c r="J225" s="178" t="s">
        <v>202</v>
      </c>
      <c r="K225" s="139">
        <v>3</v>
      </c>
      <c r="L225" s="140" t="s">
        <v>33</v>
      </c>
      <c r="M225" s="140" t="s">
        <v>97</v>
      </c>
      <c r="N225" s="74" t="s">
        <v>48</v>
      </c>
      <c r="O225" s="74" t="s">
        <v>44</v>
      </c>
      <c r="P225" s="74" t="s">
        <v>128</v>
      </c>
      <c r="Q225" s="140" t="s">
        <v>38</v>
      </c>
    </row>
    <row r="226" spans="9:17" ht="28" x14ac:dyDescent="0.35">
      <c r="I226" s="181" t="s">
        <v>205</v>
      </c>
      <c r="J226" s="178" t="s">
        <v>186</v>
      </c>
      <c r="K226" s="139">
        <v>3</v>
      </c>
      <c r="L226" s="140" t="s">
        <v>75</v>
      </c>
      <c r="M226" s="140" t="s">
        <v>136</v>
      </c>
      <c r="N226" s="74" t="s">
        <v>35</v>
      </c>
      <c r="O226" s="74" t="s">
        <v>40</v>
      </c>
      <c r="P226" s="74" t="s">
        <v>98</v>
      </c>
      <c r="Q226" s="140" t="s">
        <v>54</v>
      </c>
    </row>
    <row r="227" spans="9:17" ht="28" x14ac:dyDescent="0.35">
      <c r="I227" s="181" t="s">
        <v>205</v>
      </c>
      <c r="J227" s="178" t="s">
        <v>186</v>
      </c>
      <c r="K227" s="139">
        <v>3</v>
      </c>
      <c r="L227" s="140" t="s">
        <v>75</v>
      </c>
      <c r="M227" s="140" t="s">
        <v>136</v>
      </c>
      <c r="N227" s="74" t="s">
        <v>48</v>
      </c>
      <c r="O227" s="74" t="s">
        <v>108</v>
      </c>
      <c r="P227" s="74" t="s">
        <v>206</v>
      </c>
      <c r="Q227" s="140" t="s">
        <v>54</v>
      </c>
    </row>
    <row r="228" spans="9:17" ht="28" x14ac:dyDescent="0.35">
      <c r="I228" s="181" t="s">
        <v>205</v>
      </c>
      <c r="J228" s="178" t="s">
        <v>186</v>
      </c>
      <c r="K228" s="139">
        <v>3</v>
      </c>
      <c r="L228" s="140" t="s">
        <v>75</v>
      </c>
      <c r="M228" s="140" t="s">
        <v>76</v>
      </c>
      <c r="N228" s="74" t="s">
        <v>46</v>
      </c>
      <c r="O228" s="74" t="s">
        <v>108</v>
      </c>
      <c r="P228" s="74" t="s">
        <v>96</v>
      </c>
      <c r="Q228" s="140" t="s">
        <v>54</v>
      </c>
    </row>
    <row r="229" spans="9:17" ht="28" x14ac:dyDescent="0.35">
      <c r="I229" s="181" t="s">
        <v>205</v>
      </c>
      <c r="J229" s="178" t="s">
        <v>186</v>
      </c>
      <c r="K229" s="139">
        <v>3</v>
      </c>
      <c r="L229" s="140" t="s">
        <v>75</v>
      </c>
      <c r="M229" s="140" t="s">
        <v>76</v>
      </c>
      <c r="N229" s="74" t="s">
        <v>55</v>
      </c>
      <c r="O229" s="74" t="s">
        <v>511</v>
      </c>
      <c r="P229" s="74" t="s">
        <v>71</v>
      </c>
      <c r="Q229" s="140" t="s">
        <v>54</v>
      </c>
    </row>
    <row r="230" spans="9:17" ht="42" x14ac:dyDescent="0.35">
      <c r="I230" s="181" t="s">
        <v>205</v>
      </c>
      <c r="J230" s="178" t="s">
        <v>207</v>
      </c>
      <c r="K230" s="139">
        <v>2</v>
      </c>
      <c r="L230" s="140" t="s">
        <v>75</v>
      </c>
      <c r="M230" s="140" t="s">
        <v>97</v>
      </c>
      <c r="N230" s="85" t="s">
        <v>39</v>
      </c>
      <c r="O230" s="74" t="s">
        <v>123</v>
      </c>
      <c r="P230" s="74" t="s">
        <v>208</v>
      </c>
      <c r="Q230" s="140" t="s">
        <v>38</v>
      </c>
    </row>
    <row r="231" spans="9:17" ht="42" x14ac:dyDescent="0.35">
      <c r="I231" s="181" t="s">
        <v>205</v>
      </c>
      <c r="J231" s="178" t="s">
        <v>207</v>
      </c>
      <c r="K231" s="139">
        <v>2</v>
      </c>
      <c r="L231" s="140" t="s">
        <v>75</v>
      </c>
      <c r="M231" s="140" t="s">
        <v>97</v>
      </c>
      <c r="N231" s="85" t="s">
        <v>55</v>
      </c>
      <c r="O231" s="74" t="s">
        <v>511</v>
      </c>
      <c r="P231" s="74" t="s">
        <v>65</v>
      </c>
      <c r="Q231" s="140" t="s">
        <v>38</v>
      </c>
    </row>
    <row r="232" spans="9:17" ht="42" x14ac:dyDescent="0.35">
      <c r="I232" s="181" t="s">
        <v>205</v>
      </c>
      <c r="J232" s="178" t="s">
        <v>207</v>
      </c>
      <c r="K232" s="139">
        <v>2</v>
      </c>
      <c r="L232" s="140" t="s">
        <v>158</v>
      </c>
      <c r="M232" s="140" t="s">
        <v>136</v>
      </c>
      <c r="N232" s="74" t="s">
        <v>35</v>
      </c>
      <c r="O232" s="74" t="s">
        <v>56</v>
      </c>
      <c r="P232" s="74" t="s">
        <v>53</v>
      </c>
      <c r="Q232" s="140" t="s">
        <v>38</v>
      </c>
    </row>
    <row r="233" spans="9:17" ht="42" x14ac:dyDescent="0.35">
      <c r="I233" s="181" t="s">
        <v>205</v>
      </c>
      <c r="J233" s="178" t="s">
        <v>207</v>
      </c>
      <c r="K233" s="139">
        <v>2</v>
      </c>
      <c r="L233" s="140" t="s">
        <v>158</v>
      </c>
      <c r="M233" s="140" t="s">
        <v>136</v>
      </c>
      <c r="N233" s="74" t="s">
        <v>55</v>
      </c>
      <c r="O233" s="74" t="s">
        <v>179</v>
      </c>
      <c r="P233" s="74" t="s">
        <v>149</v>
      </c>
      <c r="Q233" s="140" t="s">
        <v>38</v>
      </c>
    </row>
    <row r="234" spans="9:17" x14ac:dyDescent="0.35">
      <c r="I234" s="181" t="s">
        <v>205</v>
      </c>
      <c r="J234" s="178" t="s">
        <v>161</v>
      </c>
      <c r="K234" s="139">
        <v>2</v>
      </c>
      <c r="L234" s="140" t="s">
        <v>75</v>
      </c>
      <c r="M234" s="140" t="s">
        <v>209</v>
      </c>
      <c r="N234" s="74" t="s">
        <v>46</v>
      </c>
      <c r="O234" s="74" t="s">
        <v>52</v>
      </c>
      <c r="P234" s="74" t="s">
        <v>190</v>
      </c>
      <c r="Q234" s="140" t="s">
        <v>54</v>
      </c>
    </row>
    <row r="235" spans="9:17" x14ac:dyDescent="0.35">
      <c r="I235" s="181" t="s">
        <v>205</v>
      </c>
      <c r="J235" s="178" t="s">
        <v>161</v>
      </c>
      <c r="K235" s="139">
        <v>2</v>
      </c>
      <c r="L235" s="140" t="s">
        <v>75</v>
      </c>
      <c r="M235" s="140" t="s">
        <v>209</v>
      </c>
      <c r="N235" s="74" t="s">
        <v>48</v>
      </c>
      <c r="O235" s="74" t="s">
        <v>56</v>
      </c>
      <c r="P235" s="74" t="s">
        <v>163</v>
      </c>
      <c r="Q235" s="140" t="s">
        <v>54</v>
      </c>
    </row>
    <row r="236" spans="9:17" x14ac:dyDescent="0.35">
      <c r="I236" s="181" t="s">
        <v>205</v>
      </c>
      <c r="J236" s="178" t="s">
        <v>161</v>
      </c>
      <c r="K236" s="139">
        <v>2</v>
      </c>
      <c r="L236" s="140" t="s">
        <v>75</v>
      </c>
      <c r="M236" s="140" t="s">
        <v>209</v>
      </c>
      <c r="N236" s="74" t="s">
        <v>46</v>
      </c>
      <c r="O236" s="74" t="s">
        <v>56</v>
      </c>
      <c r="P236" s="74" t="s">
        <v>163</v>
      </c>
      <c r="Q236" s="140" t="s">
        <v>54</v>
      </c>
    </row>
    <row r="237" spans="9:17" x14ac:dyDescent="0.35">
      <c r="I237" s="181" t="s">
        <v>205</v>
      </c>
      <c r="J237" s="178" t="s">
        <v>161</v>
      </c>
      <c r="K237" s="139">
        <v>2</v>
      </c>
      <c r="L237" s="140" t="s">
        <v>75</v>
      </c>
      <c r="M237" s="140" t="s">
        <v>209</v>
      </c>
      <c r="N237" s="74" t="s">
        <v>48</v>
      </c>
      <c r="O237" s="74" t="s">
        <v>52</v>
      </c>
      <c r="P237" s="74" t="s">
        <v>163</v>
      </c>
      <c r="Q237" s="140" t="s">
        <v>54</v>
      </c>
    </row>
    <row r="238" spans="9:17" x14ac:dyDescent="0.35">
      <c r="I238" s="181" t="s">
        <v>205</v>
      </c>
      <c r="J238" s="192" t="s">
        <v>191</v>
      </c>
      <c r="K238" s="81">
        <v>3</v>
      </c>
      <c r="L238" s="140" t="s">
        <v>75</v>
      </c>
      <c r="M238" s="74" t="s">
        <v>211</v>
      </c>
      <c r="N238" s="74" t="s">
        <v>55</v>
      </c>
      <c r="O238" s="74" t="s">
        <v>82</v>
      </c>
      <c r="P238" s="74" t="s">
        <v>53</v>
      </c>
      <c r="Q238" s="74" t="s">
        <v>93</v>
      </c>
    </row>
    <row r="239" spans="9:17" ht="28" x14ac:dyDescent="0.35">
      <c r="I239" s="181" t="s">
        <v>484</v>
      </c>
      <c r="J239" s="178" t="s">
        <v>148</v>
      </c>
      <c r="K239" s="139">
        <v>3</v>
      </c>
      <c r="L239" s="140" t="s">
        <v>75</v>
      </c>
      <c r="M239" s="140" t="s">
        <v>101</v>
      </c>
      <c r="N239" s="74" t="s">
        <v>35</v>
      </c>
      <c r="O239" s="74" t="s">
        <v>511</v>
      </c>
      <c r="P239" s="74" t="s">
        <v>206</v>
      </c>
      <c r="Q239" s="140" t="s">
        <v>38</v>
      </c>
    </row>
    <row r="240" spans="9:17" ht="28" customHeight="1" x14ac:dyDescent="0.35">
      <c r="I240" s="181" t="s">
        <v>484</v>
      </c>
      <c r="J240" s="178" t="s">
        <v>148</v>
      </c>
      <c r="K240" s="139">
        <v>3</v>
      </c>
      <c r="L240" s="140" t="s">
        <v>75</v>
      </c>
      <c r="M240" s="140" t="s">
        <v>101</v>
      </c>
      <c r="N240" s="74" t="s">
        <v>55</v>
      </c>
      <c r="O240" s="74" t="s">
        <v>511</v>
      </c>
      <c r="P240" s="74" t="s">
        <v>53</v>
      </c>
      <c r="Q240" s="140" t="s">
        <v>38</v>
      </c>
    </row>
    <row r="241" spans="9:17" ht="28" x14ac:dyDescent="0.35">
      <c r="I241" s="181" t="s">
        <v>484</v>
      </c>
      <c r="J241" s="178" t="s">
        <v>148</v>
      </c>
      <c r="K241" s="139">
        <v>3</v>
      </c>
      <c r="L241" s="140" t="s">
        <v>158</v>
      </c>
      <c r="M241" s="140" t="s">
        <v>101</v>
      </c>
      <c r="N241" s="74" t="s">
        <v>35</v>
      </c>
      <c r="O241" s="74" t="s">
        <v>511</v>
      </c>
      <c r="P241" s="74" t="s">
        <v>71</v>
      </c>
      <c r="Q241" s="140" t="s">
        <v>38</v>
      </c>
    </row>
    <row r="242" spans="9:17" ht="28" customHeight="1" x14ac:dyDescent="0.35">
      <c r="I242" s="181" t="s">
        <v>484</v>
      </c>
      <c r="J242" s="178" t="s">
        <v>148</v>
      </c>
      <c r="K242" s="139">
        <v>3</v>
      </c>
      <c r="L242" s="140" t="s">
        <v>158</v>
      </c>
      <c r="M242" s="140" t="s">
        <v>101</v>
      </c>
      <c r="N242" s="74" t="s">
        <v>55</v>
      </c>
      <c r="O242" s="74" t="s">
        <v>44</v>
      </c>
      <c r="P242" s="74" t="s">
        <v>208</v>
      </c>
      <c r="Q242" s="140" t="s">
        <v>38</v>
      </c>
    </row>
    <row r="243" spans="9:17" ht="28" customHeight="1" x14ac:dyDescent="0.35">
      <c r="I243" s="181" t="s">
        <v>484</v>
      </c>
      <c r="J243" s="178" t="s">
        <v>213</v>
      </c>
      <c r="K243" s="139">
        <v>1</v>
      </c>
      <c r="L243" s="140" t="s">
        <v>63</v>
      </c>
      <c r="M243" s="140" t="s">
        <v>34</v>
      </c>
      <c r="N243" s="74" t="s">
        <v>35</v>
      </c>
      <c r="O243" s="74" t="s">
        <v>108</v>
      </c>
      <c r="P243" s="74" t="s">
        <v>65</v>
      </c>
      <c r="Q243" s="140" t="s">
        <v>54</v>
      </c>
    </row>
    <row r="244" spans="9:17" ht="28" customHeight="1" x14ac:dyDescent="0.35">
      <c r="I244" s="181" t="s">
        <v>484</v>
      </c>
      <c r="J244" s="178" t="s">
        <v>213</v>
      </c>
      <c r="K244" s="139">
        <v>1</v>
      </c>
      <c r="L244" s="140" t="s">
        <v>68</v>
      </c>
      <c r="M244" s="140" t="s">
        <v>34</v>
      </c>
      <c r="N244" s="74" t="s">
        <v>46</v>
      </c>
      <c r="O244" s="74" t="s">
        <v>108</v>
      </c>
      <c r="P244" s="74" t="s">
        <v>65</v>
      </c>
      <c r="Q244" s="140" t="s">
        <v>54</v>
      </c>
    </row>
    <row r="245" spans="9:17" ht="28" customHeight="1" x14ac:dyDescent="0.35">
      <c r="I245" s="181" t="s">
        <v>484</v>
      </c>
      <c r="J245" s="178" t="s">
        <v>67</v>
      </c>
      <c r="K245" s="139">
        <v>2</v>
      </c>
      <c r="L245" s="140" t="s">
        <v>68</v>
      </c>
      <c r="M245" s="140" t="s">
        <v>101</v>
      </c>
      <c r="N245" s="93" t="s">
        <v>35</v>
      </c>
      <c r="O245" s="76" t="s">
        <v>70</v>
      </c>
      <c r="P245" s="76" t="s">
        <v>111</v>
      </c>
      <c r="Q245" s="140" t="s">
        <v>54</v>
      </c>
    </row>
    <row r="246" spans="9:17" ht="28" customHeight="1" x14ac:dyDescent="0.35">
      <c r="I246" s="181" t="s">
        <v>484</v>
      </c>
      <c r="J246" s="178" t="s">
        <v>67</v>
      </c>
      <c r="K246" s="139">
        <v>2</v>
      </c>
      <c r="L246" s="140" t="s">
        <v>68</v>
      </c>
      <c r="M246" s="140" t="s">
        <v>101</v>
      </c>
      <c r="N246" s="93" t="s">
        <v>48</v>
      </c>
      <c r="O246" s="76" t="s">
        <v>70</v>
      </c>
      <c r="P246" s="76" t="s">
        <v>111</v>
      </c>
      <c r="Q246" s="140" t="s">
        <v>54</v>
      </c>
    </row>
    <row r="247" spans="9:17" ht="14.5" customHeight="1" x14ac:dyDescent="0.35">
      <c r="I247" s="181" t="s">
        <v>214</v>
      </c>
      <c r="J247" s="178" t="s">
        <v>32</v>
      </c>
      <c r="K247" s="139">
        <v>3</v>
      </c>
      <c r="L247" s="140" t="s">
        <v>106</v>
      </c>
      <c r="M247" s="140" t="s">
        <v>34</v>
      </c>
      <c r="N247" s="74" t="s">
        <v>46</v>
      </c>
      <c r="O247" s="74" t="s">
        <v>59</v>
      </c>
      <c r="P247" s="74" t="s">
        <v>197</v>
      </c>
      <c r="Q247" s="140" t="s">
        <v>38</v>
      </c>
    </row>
    <row r="248" spans="9:17" ht="28" customHeight="1" x14ac:dyDescent="0.35">
      <c r="I248" s="181" t="s">
        <v>214</v>
      </c>
      <c r="J248" s="178" t="s">
        <v>32</v>
      </c>
      <c r="K248" s="139">
        <v>3</v>
      </c>
      <c r="L248" s="140" t="s">
        <v>106</v>
      </c>
      <c r="M248" s="140" t="s">
        <v>34</v>
      </c>
      <c r="N248" s="74" t="s">
        <v>39</v>
      </c>
      <c r="O248" s="74" t="s">
        <v>511</v>
      </c>
      <c r="P248" s="74" t="s">
        <v>143</v>
      </c>
      <c r="Q248" s="140" t="s">
        <v>38</v>
      </c>
    </row>
    <row r="249" spans="9:17" ht="28" customHeight="1" x14ac:dyDescent="0.35">
      <c r="I249" s="181" t="s">
        <v>214</v>
      </c>
      <c r="J249" s="178" t="s">
        <v>32</v>
      </c>
      <c r="K249" s="139">
        <v>1.5</v>
      </c>
      <c r="L249" s="140" t="s">
        <v>106</v>
      </c>
      <c r="M249" s="140" t="s">
        <v>45</v>
      </c>
      <c r="N249" s="74" t="s">
        <v>35</v>
      </c>
      <c r="O249" s="74" t="s">
        <v>44</v>
      </c>
      <c r="P249" s="74" t="s">
        <v>107</v>
      </c>
      <c r="Q249" s="140" t="s">
        <v>54</v>
      </c>
    </row>
    <row r="250" spans="9:17" ht="28" customHeight="1" x14ac:dyDescent="0.35">
      <c r="I250" s="181" t="s">
        <v>214</v>
      </c>
      <c r="J250" s="178" t="s">
        <v>32</v>
      </c>
      <c r="K250" s="139">
        <v>1.5</v>
      </c>
      <c r="L250" s="140" t="s">
        <v>106</v>
      </c>
      <c r="M250" s="140" t="s">
        <v>45</v>
      </c>
      <c r="N250" s="74" t="s">
        <v>48</v>
      </c>
      <c r="O250" s="74" t="s">
        <v>108</v>
      </c>
      <c r="P250" s="74" t="s">
        <v>107</v>
      </c>
      <c r="Q250" s="140" t="s">
        <v>54</v>
      </c>
    </row>
    <row r="251" spans="9:17" ht="28" customHeight="1" x14ac:dyDescent="0.35">
      <c r="I251" s="181" t="s">
        <v>214</v>
      </c>
      <c r="J251" s="178" t="s">
        <v>138</v>
      </c>
      <c r="K251" s="139">
        <v>3</v>
      </c>
      <c r="L251" s="140" t="s">
        <v>106</v>
      </c>
      <c r="M251" s="140" t="s">
        <v>64</v>
      </c>
      <c r="N251" s="74" t="s">
        <v>35</v>
      </c>
      <c r="O251" s="74" t="s">
        <v>91</v>
      </c>
      <c r="P251" s="74" t="s">
        <v>128</v>
      </c>
      <c r="Q251" s="140" t="s">
        <v>54</v>
      </c>
    </row>
    <row r="252" spans="9:17" ht="28" customHeight="1" x14ac:dyDescent="0.35">
      <c r="I252" s="181" t="s">
        <v>214</v>
      </c>
      <c r="J252" s="178" t="s">
        <v>138</v>
      </c>
      <c r="K252" s="139">
        <v>3</v>
      </c>
      <c r="L252" s="140" t="s">
        <v>106</v>
      </c>
      <c r="M252" s="140" t="s">
        <v>64</v>
      </c>
      <c r="N252" s="74" t="s">
        <v>39</v>
      </c>
      <c r="O252" s="74" t="s">
        <v>108</v>
      </c>
      <c r="P252" s="74" t="s">
        <v>197</v>
      </c>
      <c r="Q252" s="140" t="s">
        <v>54</v>
      </c>
    </row>
    <row r="253" spans="9:17" ht="28" customHeight="1" x14ac:dyDescent="0.35">
      <c r="I253" s="181" t="s">
        <v>214</v>
      </c>
      <c r="J253" s="178" t="s">
        <v>216</v>
      </c>
      <c r="K253" s="139">
        <v>2</v>
      </c>
      <c r="L253" s="140" t="s">
        <v>106</v>
      </c>
      <c r="M253" s="140" t="s">
        <v>136</v>
      </c>
      <c r="N253" s="74" t="s">
        <v>46</v>
      </c>
      <c r="O253" s="74" t="s">
        <v>123</v>
      </c>
      <c r="P253" s="74" t="s">
        <v>197</v>
      </c>
      <c r="Q253" s="140" t="s">
        <v>54</v>
      </c>
    </row>
    <row r="254" spans="9:17" ht="28" customHeight="1" x14ac:dyDescent="0.35">
      <c r="I254" s="181" t="s">
        <v>214</v>
      </c>
      <c r="J254" s="178" t="s">
        <v>216</v>
      </c>
      <c r="K254" s="139">
        <v>2</v>
      </c>
      <c r="L254" s="140" t="s">
        <v>106</v>
      </c>
      <c r="M254" s="140" t="s">
        <v>136</v>
      </c>
      <c r="N254" s="74" t="s">
        <v>48</v>
      </c>
      <c r="O254" s="74" t="s">
        <v>61</v>
      </c>
      <c r="P254" s="74" t="s">
        <v>107</v>
      </c>
      <c r="Q254" s="140" t="s">
        <v>54</v>
      </c>
    </row>
    <row r="255" spans="9:17" ht="28" x14ac:dyDescent="0.35">
      <c r="I255" s="181" t="s">
        <v>214</v>
      </c>
      <c r="J255" s="178" t="s">
        <v>217</v>
      </c>
      <c r="K255" s="139">
        <v>2</v>
      </c>
      <c r="L255" s="140" t="s">
        <v>106</v>
      </c>
      <c r="M255" s="140" t="s">
        <v>136</v>
      </c>
      <c r="N255" s="74" t="s">
        <v>46</v>
      </c>
      <c r="O255" s="74" t="s">
        <v>56</v>
      </c>
      <c r="P255" s="74" t="s">
        <v>208</v>
      </c>
      <c r="Q255" s="140" t="s">
        <v>38</v>
      </c>
    </row>
    <row r="256" spans="9:17" ht="28" customHeight="1" x14ac:dyDescent="0.35">
      <c r="I256" s="181" t="s">
        <v>214</v>
      </c>
      <c r="J256" s="178" t="s">
        <v>217</v>
      </c>
      <c r="K256" s="139">
        <v>2</v>
      </c>
      <c r="L256" s="140" t="s">
        <v>106</v>
      </c>
      <c r="M256" s="140" t="s">
        <v>136</v>
      </c>
      <c r="N256" s="74" t="s">
        <v>55</v>
      </c>
      <c r="O256" s="74" t="s">
        <v>52</v>
      </c>
      <c r="P256" s="74" t="s">
        <v>143</v>
      </c>
      <c r="Q256" s="140" t="s">
        <v>38</v>
      </c>
    </row>
    <row r="257" spans="9:17" x14ac:dyDescent="0.35">
      <c r="I257" s="181" t="s">
        <v>218</v>
      </c>
      <c r="J257" s="178" t="s">
        <v>50</v>
      </c>
      <c r="K257" s="139">
        <v>1.5</v>
      </c>
      <c r="L257" s="140" t="s">
        <v>106</v>
      </c>
      <c r="M257" s="140" t="s">
        <v>34</v>
      </c>
      <c r="N257" s="74" t="s">
        <v>35</v>
      </c>
      <c r="O257" s="74" t="s">
        <v>56</v>
      </c>
      <c r="P257" s="74" t="s">
        <v>197</v>
      </c>
      <c r="Q257" s="140" t="s">
        <v>54</v>
      </c>
    </row>
    <row r="258" spans="9:17" x14ac:dyDescent="0.35">
      <c r="I258" s="181" t="s">
        <v>218</v>
      </c>
      <c r="J258" s="178" t="s">
        <v>50</v>
      </c>
      <c r="K258" s="139">
        <v>1.5</v>
      </c>
      <c r="L258" s="140" t="s">
        <v>106</v>
      </c>
      <c r="M258" s="140" t="s">
        <v>34</v>
      </c>
      <c r="N258" s="74" t="s">
        <v>39</v>
      </c>
      <c r="O258" s="74" t="s">
        <v>131</v>
      </c>
      <c r="P258" s="74" t="s">
        <v>143</v>
      </c>
      <c r="Q258" s="140" t="s">
        <v>54</v>
      </c>
    </row>
    <row r="259" spans="9:17" x14ac:dyDescent="0.35">
      <c r="I259" s="181" t="s">
        <v>218</v>
      </c>
      <c r="J259" s="178" t="s">
        <v>122</v>
      </c>
      <c r="K259" s="139">
        <v>2</v>
      </c>
      <c r="L259" s="140" t="s">
        <v>51</v>
      </c>
      <c r="M259" s="140" t="s">
        <v>34</v>
      </c>
      <c r="N259" s="74" t="s">
        <v>46</v>
      </c>
      <c r="O259" s="74" t="s">
        <v>56</v>
      </c>
      <c r="P259" s="74" t="s">
        <v>197</v>
      </c>
      <c r="Q259" s="140" t="s">
        <v>54</v>
      </c>
    </row>
    <row r="260" spans="9:17" x14ac:dyDescent="0.35">
      <c r="I260" s="181" t="s">
        <v>218</v>
      </c>
      <c r="J260" s="178" t="s">
        <v>122</v>
      </c>
      <c r="K260" s="139">
        <v>2</v>
      </c>
      <c r="L260" s="140" t="s">
        <v>51</v>
      </c>
      <c r="M260" s="140" t="s">
        <v>34</v>
      </c>
      <c r="N260" s="74" t="s">
        <v>48</v>
      </c>
      <c r="O260" s="74" t="s">
        <v>219</v>
      </c>
      <c r="P260" s="74" t="s">
        <v>114</v>
      </c>
      <c r="Q260" s="140" t="s">
        <v>54</v>
      </c>
    </row>
    <row r="261" spans="9:17" x14ac:dyDescent="0.35">
      <c r="I261" s="181" t="s">
        <v>218</v>
      </c>
      <c r="J261" s="178" t="s">
        <v>122</v>
      </c>
      <c r="K261" s="139">
        <v>2</v>
      </c>
      <c r="L261" s="140" t="s">
        <v>106</v>
      </c>
      <c r="M261" s="140" t="s">
        <v>42</v>
      </c>
      <c r="N261" s="74" t="s">
        <v>35</v>
      </c>
      <c r="O261" s="74" t="s">
        <v>59</v>
      </c>
      <c r="P261" s="74" t="s">
        <v>143</v>
      </c>
      <c r="Q261" s="140" t="s">
        <v>54</v>
      </c>
    </row>
    <row r="262" spans="9:17" x14ac:dyDescent="0.35">
      <c r="I262" s="181" t="s">
        <v>218</v>
      </c>
      <c r="J262" s="178" t="s">
        <v>122</v>
      </c>
      <c r="K262" s="139">
        <v>2</v>
      </c>
      <c r="L262" s="140" t="s">
        <v>106</v>
      </c>
      <c r="M262" s="140" t="s">
        <v>42</v>
      </c>
      <c r="N262" s="74" t="s">
        <v>39</v>
      </c>
      <c r="O262" s="74" t="s">
        <v>56</v>
      </c>
      <c r="P262" s="74" t="s">
        <v>143</v>
      </c>
      <c r="Q262" s="140" t="s">
        <v>54</v>
      </c>
    </row>
    <row r="263" spans="9:17" x14ac:dyDescent="0.35">
      <c r="I263" s="181" t="s">
        <v>218</v>
      </c>
      <c r="J263" s="178" t="s">
        <v>109</v>
      </c>
      <c r="K263" s="139">
        <v>3</v>
      </c>
      <c r="L263" s="140" t="s">
        <v>106</v>
      </c>
      <c r="M263" s="140" t="s">
        <v>34</v>
      </c>
      <c r="N263" s="74" t="s">
        <v>35</v>
      </c>
      <c r="O263" s="74" t="s">
        <v>44</v>
      </c>
      <c r="P263" s="74" t="s">
        <v>107</v>
      </c>
      <c r="Q263" s="140" t="s">
        <v>38</v>
      </c>
    </row>
    <row r="264" spans="9:17" x14ac:dyDescent="0.35">
      <c r="I264" s="181" t="s">
        <v>218</v>
      </c>
      <c r="J264" s="178" t="s">
        <v>109</v>
      </c>
      <c r="K264" s="139">
        <v>3</v>
      </c>
      <c r="L264" s="140" t="s">
        <v>106</v>
      </c>
      <c r="M264" s="140" t="s">
        <v>34</v>
      </c>
      <c r="N264" s="74" t="s">
        <v>39</v>
      </c>
      <c r="O264" s="74" t="s">
        <v>44</v>
      </c>
      <c r="P264" s="74" t="s">
        <v>197</v>
      </c>
      <c r="Q264" s="140" t="s">
        <v>38</v>
      </c>
    </row>
    <row r="265" spans="9:17" x14ac:dyDescent="0.35">
      <c r="I265" s="181" t="s">
        <v>218</v>
      </c>
      <c r="J265" s="178" t="s">
        <v>109</v>
      </c>
      <c r="K265" s="139">
        <v>1.5</v>
      </c>
      <c r="L265" s="140" t="s">
        <v>51</v>
      </c>
      <c r="M265" s="140" t="s">
        <v>34</v>
      </c>
      <c r="N265" s="74" t="s">
        <v>46</v>
      </c>
      <c r="O265" s="74" t="s">
        <v>511</v>
      </c>
      <c r="P265" s="74" t="s">
        <v>110</v>
      </c>
      <c r="Q265" s="140" t="s">
        <v>38</v>
      </c>
    </row>
    <row r="266" spans="9:17" x14ac:dyDescent="0.35">
      <c r="I266" s="181" t="s">
        <v>218</v>
      </c>
      <c r="J266" s="178" t="s">
        <v>109</v>
      </c>
      <c r="K266" s="139">
        <v>1.5</v>
      </c>
      <c r="L266" s="140" t="s">
        <v>51</v>
      </c>
      <c r="M266" s="140" t="s">
        <v>34</v>
      </c>
      <c r="N266" s="74" t="s">
        <v>55</v>
      </c>
      <c r="O266" s="74" t="s">
        <v>511</v>
      </c>
      <c r="P266" s="74" t="s">
        <v>111</v>
      </c>
      <c r="Q266" s="140" t="s">
        <v>38</v>
      </c>
    </row>
    <row r="267" spans="9:17" x14ac:dyDescent="0.35">
      <c r="I267" s="181" t="s">
        <v>218</v>
      </c>
      <c r="J267" s="178" t="s">
        <v>201</v>
      </c>
      <c r="K267" s="139">
        <v>1.5</v>
      </c>
      <c r="L267" s="140" t="s">
        <v>51</v>
      </c>
      <c r="M267" s="140" t="s">
        <v>101</v>
      </c>
      <c r="N267" s="74" t="s">
        <v>35</v>
      </c>
      <c r="O267" s="74" t="s">
        <v>511</v>
      </c>
      <c r="P267" s="74" t="s">
        <v>538</v>
      </c>
      <c r="Q267" s="140" t="s">
        <v>38</v>
      </c>
    </row>
    <row r="268" spans="9:17" x14ac:dyDescent="0.35">
      <c r="I268" s="181" t="s">
        <v>218</v>
      </c>
      <c r="J268" s="178" t="s">
        <v>201</v>
      </c>
      <c r="K268" s="139">
        <v>1.5</v>
      </c>
      <c r="L268" s="140" t="s">
        <v>51</v>
      </c>
      <c r="M268" s="140" t="s">
        <v>101</v>
      </c>
      <c r="N268" s="74" t="s">
        <v>55</v>
      </c>
      <c r="O268" s="74" t="s">
        <v>44</v>
      </c>
      <c r="P268" s="74" t="s">
        <v>221</v>
      </c>
      <c r="Q268" s="140" t="s">
        <v>38</v>
      </c>
    </row>
    <row r="269" spans="9:17" x14ac:dyDescent="0.35">
      <c r="I269" s="181" t="s">
        <v>218</v>
      </c>
      <c r="J269" s="178" t="s">
        <v>222</v>
      </c>
      <c r="K269" s="139">
        <v>3</v>
      </c>
      <c r="L269" s="140" t="s">
        <v>51</v>
      </c>
      <c r="M269" s="140" t="s">
        <v>90</v>
      </c>
      <c r="N269" s="74" t="s">
        <v>46</v>
      </c>
      <c r="O269" s="74" t="s">
        <v>40</v>
      </c>
      <c r="P269" s="74" t="s">
        <v>114</v>
      </c>
      <c r="Q269" s="140" t="s">
        <v>38</v>
      </c>
    </row>
    <row r="270" spans="9:17" x14ac:dyDescent="0.35">
      <c r="I270" s="181" t="s">
        <v>218</v>
      </c>
      <c r="J270" s="178" t="s">
        <v>222</v>
      </c>
      <c r="K270" s="139">
        <v>3</v>
      </c>
      <c r="L270" s="140" t="s">
        <v>51</v>
      </c>
      <c r="M270" s="140" t="s">
        <v>90</v>
      </c>
      <c r="N270" s="74" t="s">
        <v>48</v>
      </c>
      <c r="O270" s="74" t="s">
        <v>40</v>
      </c>
      <c r="P270" s="74" t="s">
        <v>78</v>
      </c>
      <c r="Q270" s="140" t="s">
        <v>38</v>
      </c>
    </row>
    <row r="271" spans="9:17" x14ac:dyDescent="0.35">
      <c r="I271" s="181" t="s">
        <v>218</v>
      </c>
      <c r="J271" s="183" t="s">
        <v>89</v>
      </c>
      <c r="K271" s="139">
        <v>3</v>
      </c>
      <c r="L271" s="140" t="s">
        <v>51</v>
      </c>
      <c r="M271" s="85" t="s">
        <v>173</v>
      </c>
      <c r="N271" s="74" t="s">
        <v>35</v>
      </c>
      <c r="O271" s="74" t="s">
        <v>91</v>
      </c>
      <c r="P271" s="74" t="s">
        <v>143</v>
      </c>
      <c r="Q271" s="85" t="s">
        <v>93</v>
      </c>
    </row>
    <row r="272" spans="9:17" x14ac:dyDescent="0.35">
      <c r="I272" s="178" t="s">
        <v>485</v>
      </c>
      <c r="J272" s="178" t="s">
        <v>224</v>
      </c>
      <c r="K272" s="139">
        <v>3</v>
      </c>
      <c r="L272" s="140" t="s">
        <v>51</v>
      </c>
      <c r="M272" s="140" t="s">
        <v>101</v>
      </c>
      <c r="N272" s="74" t="s">
        <v>35</v>
      </c>
      <c r="O272" s="74" t="s">
        <v>511</v>
      </c>
      <c r="P272" s="74" t="s">
        <v>150</v>
      </c>
      <c r="Q272" s="140" t="s">
        <v>54</v>
      </c>
    </row>
    <row r="273" spans="9:17" x14ac:dyDescent="0.35">
      <c r="I273" s="178" t="s">
        <v>485</v>
      </c>
      <c r="J273" s="178" t="s">
        <v>224</v>
      </c>
      <c r="K273" s="139">
        <v>3</v>
      </c>
      <c r="L273" s="140" t="s">
        <v>51</v>
      </c>
      <c r="M273" s="140" t="s">
        <v>101</v>
      </c>
      <c r="N273" s="74" t="s">
        <v>48</v>
      </c>
      <c r="O273" s="74" t="s">
        <v>44</v>
      </c>
      <c r="P273" s="74" t="s">
        <v>78</v>
      </c>
      <c r="Q273" s="140" t="s">
        <v>54</v>
      </c>
    </row>
    <row r="274" spans="9:17" x14ac:dyDescent="0.35">
      <c r="I274" s="178" t="s">
        <v>485</v>
      </c>
      <c r="J274" s="178" t="s">
        <v>224</v>
      </c>
      <c r="K274" s="139">
        <v>1.5</v>
      </c>
      <c r="L274" s="140" t="s">
        <v>51</v>
      </c>
      <c r="M274" s="140" t="s">
        <v>64</v>
      </c>
      <c r="N274" s="74" t="s">
        <v>46</v>
      </c>
      <c r="O274" s="74" t="s">
        <v>44</v>
      </c>
      <c r="P274" s="74" t="s">
        <v>133</v>
      </c>
      <c r="Q274" s="140" t="s">
        <v>54</v>
      </c>
    </row>
    <row r="275" spans="9:17" x14ac:dyDescent="0.35">
      <c r="I275" s="178" t="s">
        <v>485</v>
      </c>
      <c r="J275" s="178" t="s">
        <v>224</v>
      </c>
      <c r="K275" s="139">
        <v>1.5</v>
      </c>
      <c r="L275" s="140" t="s">
        <v>51</v>
      </c>
      <c r="M275" s="140" t="s">
        <v>64</v>
      </c>
      <c r="N275" s="74" t="s">
        <v>55</v>
      </c>
      <c r="O275" s="74" t="s">
        <v>511</v>
      </c>
      <c r="P275" s="74" t="s">
        <v>133</v>
      </c>
      <c r="Q275" s="140" t="s">
        <v>54</v>
      </c>
    </row>
    <row r="276" spans="9:17" x14ac:dyDescent="0.35">
      <c r="I276" s="178" t="s">
        <v>485</v>
      </c>
      <c r="J276" s="178" t="s">
        <v>224</v>
      </c>
      <c r="K276" s="139">
        <v>3</v>
      </c>
      <c r="L276" s="140" t="s">
        <v>51</v>
      </c>
      <c r="M276" s="140" t="s">
        <v>103</v>
      </c>
      <c r="N276" s="74" t="s">
        <v>39</v>
      </c>
      <c r="O276" s="74" t="s">
        <v>44</v>
      </c>
      <c r="P276" s="74" t="s">
        <v>208</v>
      </c>
      <c r="Q276" s="140" t="s">
        <v>38</v>
      </c>
    </row>
    <row r="277" spans="9:17" x14ac:dyDescent="0.35">
      <c r="I277" s="178" t="s">
        <v>485</v>
      </c>
      <c r="J277" s="178" t="s">
        <v>224</v>
      </c>
      <c r="K277" s="139">
        <v>3</v>
      </c>
      <c r="L277" s="140" t="s">
        <v>51</v>
      </c>
      <c r="M277" s="140" t="s">
        <v>103</v>
      </c>
      <c r="N277" s="74" t="s">
        <v>55</v>
      </c>
      <c r="O277" s="74" t="s">
        <v>66</v>
      </c>
      <c r="P277" s="74" t="s">
        <v>405</v>
      </c>
      <c r="Q277" s="140" t="s">
        <v>38</v>
      </c>
    </row>
    <row r="278" spans="9:17" x14ac:dyDescent="0.35">
      <c r="I278" s="178" t="s">
        <v>485</v>
      </c>
      <c r="J278" s="178" t="s">
        <v>225</v>
      </c>
      <c r="K278" s="139">
        <v>1.5</v>
      </c>
      <c r="L278" s="140" t="s">
        <v>51</v>
      </c>
      <c r="M278" s="140" t="s">
        <v>76</v>
      </c>
      <c r="N278" s="74" t="s">
        <v>46</v>
      </c>
      <c r="O278" s="74" t="s">
        <v>40</v>
      </c>
      <c r="P278" s="74" t="s">
        <v>405</v>
      </c>
      <c r="Q278" s="140" t="s">
        <v>38</v>
      </c>
    </row>
    <row r="279" spans="9:17" x14ac:dyDescent="0.35">
      <c r="I279" s="178" t="s">
        <v>485</v>
      </c>
      <c r="J279" s="178" t="s">
        <v>225</v>
      </c>
      <c r="K279" s="139">
        <v>1.5</v>
      </c>
      <c r="L279" s="140" t="s">
        <v>51</v>
      </c>
      <c r="M279" s="140" t="s">
        <v>76</v>
      </c>
      <c r="N279" s="74" t="s">
        <v>48</v>
      </c>
      <c r="O279" s="74" t="s">
        <v>40</v>
      </c>
      <c r="P279" s="74" t="s">
        <v>126</v>
      </c>
      <c r="Q279" s="140" t="s">
        <v>38</v>
      </c>
    </row>
    <row r="280" spans="9:17" x14ac:dyDescent="0.35">
      <c r="I280" s="178" t="s">
        <v>485</v>
      </c>
      <c r="J280" s="178" t="s">
        <v>225</v>
      </c>
      <c r="K280" s="139">
        <v>1.5</v>
      </c>
      <c r="L280" s="140" t="s">
        <v>51</v>
      </c>
      <c r="M280" s="140" t="s">
        <v>79</v>
      </c>
      <c r="N280" s="74" t="s">
        <v>35</v>
      </c>
      <c r="O280" s="74" t="s">
        <v>44</v>
      </c>
      <c r="P280" s="74" t="s">
        <v>124</v>
      </c>
      <c r="Q280" s="140" t="s">
        <v>54</v>
      </c>
    </row>
    <row r="281" spans="9:17" x14ac:dyDescent="0.35">
      <c r="I281" s="178" t="s">
        <v>485</v>
      </c>
      <c r="J281" s="178" t="s">
        <v>225</v>
      </c>
      <c r="K281" s="139">
        <v>1.5</v>
      </c>
      <c r="L281" s="140" t="s">
        <v>51</v>
      </c>
      <c r="M281" s="140" t="s">
        <v>79</v>
      </c>
      <c r="N281" s="74" t="s">
        <v>48</v>
      </c>
      <c r="O281" s="74" t="s">
        <v>40</v>
      </c>
      <c r="P281" s="74" t="s">
        <v>126</v>
      </c>
      <c r="Q281" s="140" t="s">
        <v>54</v>
      </c>
    </row>
    <row r="282" spans="9:17" ht="28" x14ac:dyDescent="0.35">
      <c r="I282" s="178" t="s">
        <v>485</v>
      </c>
      <c r="J282" s="178" t="s">
        <v>531</v>
      </c>
      <c r="K282" s="139">
        <v>3</v>
      </c>
      <c r="L282" s="140" t="s">
        <v>51</v>
      </c>
      <c r="M282" s="140" t="s">
        <v>90</v>
      </c>
      <c r="N282" s="74" t="s">
        <v>35</v>
      </c>
      <c r="O282" s="74" t="s">
        <v>66</v>
      </c>
      <c r="P282" s="74" t="s">
        <v>174</v>
      </c>
      <c r="Q282" s="140" t="s">
        <v>54</v>
      </c>
    </row>
    <row r="283" spans="9:17" ht="28" x14ac:dyDescent="0.35">
      <c r="I283" s="178" t="s">
        <v>485</v>
      </c>
      <c r="J283" s="178" t="s">
        <v>531</v>
      </c>
      <c r="K283" s="139">
        <v>3</v>
      </c>
      <c r="L283" s="140" t="s">
        <v>51</v>
      </c>
      <c r="M283" s="140" t="s">
        <v>90</v>
      </c>
      <c r="N283" s="74" t="s">
        <v>46</v>
      </c>
      <c r="O283" s="74" t="s">
        <v>511</v>
      </c>
      <c r="P283" s="74" t="s">
        <v>160</v>
      </c>
      <c r="Q283" s="140" t="s">
        <v>54</v>
      </c>
    </row>
    <row r="284" spans="9:17" x14ac:dyDescent="0.35">
      <c r="I284" s="178" t="s">
        <v>485</v>
      </c>
      <c r="J284" s="183" t="s">
        <v>89</v>
      </c>
      <c r="K284" s="139">
        <v>3</v>
      </c>
      <c r="L284" s="140" t="s">
        <v>51</v>
      </c>
      <c r="M284" s="85" t="s">
        <v>175</v>
      </c>
      <c r="N284" s="74" t="s">
        <v>35</v>
      </c>
      <c r="O284" s="74" t="s">
        <v>91</v>
      </c>
      <c r="P284" s="74" t="s">
        <v>208</v>
      </c>
      <c r="Q284" s="85" t="s">
        <v>93</v>
      </c>
    </row>
    <row r="285" spans="9:17" ht="14.5" customHeight="1" x14ac:dyDescent="0.35">
      <c r="I285" s="178" t="s">
        <v>486</v>
      </c>
      <c r="J285" s="178" t="s">
        <v>228</v>
      </c>
      <c r="K285" s="139">
        <v>3</v>
      </c>
      <c r="L285" s="140" t="s">
        <v>75</v>
      </c>
      <c r="M285" s="140" t="s">
        <v>153</v>
      </c>
      <c r="N285" s="74" t="s">
        <v>46</v>
      </c>
      <c r="O285" s="74" t="s">
        <v>66</v>
      </c>
      <c r="P285" s="74" t="s">
        <v>53</v>
      </c>
      <c r="Q285" s="140" t="s">
        <v>54</v>
      </c>
    </row>
    <row r="286" spans="9:17" ht="28" customHeight="1" x14ac:dyDescent="0.35">
      <c r="I286" s="178" t="s">
        <v>486</v>
      </c>
      <c r="J286" s="178" t="s">
        <v>228</v>
      </c>
      <c r="K286" s="139">
        <v>3</v>
      </c>
      <c r="L286" s="140" t="s">
        <v>75</v>
      </c>
      <c r="M286" s="140" t="s">
        <v>153</v>
      </c>
      <c r="N286" s="74" t="s">
        <v>55</v>
      </c>
      <c r="O286" s="74" t="s">
        <v>511</v>
      </c>
      <c r="P286" s="74" t="s">
        <v>152</v>
      </c>
      <c r="Q286" s="140" t="s">
        <v>54</v>
      </c>
    </row>
    <row r="287" spans="9:17" ht="28" customHeight="1" x14ac:dyDescent="0.35">
      <c r="I287" s="178" t="s">
        <v>486</v>
      </c>
      <c r="J287" s="178" t="s">
        <v>74</v>
      </c>
      <c r="K287" s="139">
        <v>3</v>
      </c>
      <c r="L287" s="140" t="s">
        <v>75</v>
      </c>
      <c r="M287" s="140" t="s">
        <v>136</v>
      </c>
      <c r="N287" s="74" t="s">
        <v>46</v>
      </c>
      <c r="O287" s="74" t="s">
        <v>66</v>
      </c>
      <c r="P287" s="74" t="s">
        <v>53</v>
      </c>
      <c r="Q287" s="140" t="s">
        <v>38</v>
      </c>
    </row>
    <row r="288" spans="9:17" ht="28" customHeight="1" x14ac:dyDescent="0.35">
      <c r="I288" s="178" t="s">
        <v>486</v>
      </c>
      <c r="J288" s="178" t="s">
        <v>74</v>
      </c>
      <c r="K288" s="139">
        <v>3</v>
      </c>
      <c r="L288" s="140" t="s">
        <v>75</v>
      </c>
      <c r="M288" s="140" t="s">
        <v>136</v>
      </c>
      <c r="N288" s="84" t="s">
        <v>55</v>
      </c>
      <c r="O288" s="84" t="s">
        <v>511</v>
      </c>
      <c r="P288" s="84" t="s">
        <v>152</v>
      </c>
      <c r="Q288" s="140" t="s">
        <v>38</v>
      </c>
    </row>
    <row r="289" spans="9:17" ht="28" customHeight="1" x14ac:dyDescent="0.35">
      <c r="I289" s="178" t="s">
        <v>486</v>
      </c>
      <c r="J289" s="178" t="s">
        <v>74</v>
      </c>
      <c r="K289" s="139">
        <v>3</v>
      </c>
      <c r="L289" s="140" t="s">
        <v>158</v>
      </c>
      <c r="M289" s="140" t="s">
        <v>136</v>
      </c>
      <c r="N289" s="74" t="s">
        <v>35</v>
      </c>
      <c r="O289" s="74" t="s">
        <v>40</v>
      </c>
      <c r="P289" s="74" t="s">
        <v>169</v>
      </c>
      <c r="Q289" s="140" t="s">
        <v>38</v>
      </c>
    </row>
    <row r="290" spans="9:17" ht="28" customHeight="1" x14ac:dyDescent="0.35">
      <c r="I290" s="178" t="s">
        <v>486</v>
      </c>
      <c r="J290" s="178" t="s">
        <v>74</v>
      </c>
      <c r="K290" s="139">
        <v>3</v>
      </c>
      <c r="L290" s="140" t="s">
        <v>158</v>
      </c>
      <c r="M290" s="140" t="s">
        <v>136</v>
      </c>
      <c r="N290" s="74" t="s">
        <v>48</v>
      </c>
      <c r="O290" s="74" t="s">
        <v>511</v>
      </c>
      <c r="P290" s="74" t="s">
        <v>65</v>
      </c>
      <c r="Q290" s="140" t="s">
        <v>38</v>
      </c>
    </row>
    <row r="291" spans="9:17" ht="28" x14ac:dyDescent="0.35">
      <c r="I291" s="178" t="s">
        <v>486</v>
      </c>
      <c r="J291" s="178" t="s">
        <v>229</v>
      </c>
      <c r="K291" s="139">
        <v>1</v>
      </c>
      <c r="L291" s="140" t="s">
        <v>63</v>
      </c>
      <c r="M291" s="140" t="s">
        <v>101</v>
      </c>
      <c r="N291" s="74" t="s">
        <v>35</v>
      </c>
      <c r="O291" s="74" t="s">
        <v>56</v>
      </c>
      <c r="P291" s="75" t="s">
        <v>169</v>
      </c>
      <c r="Q291" s="140" t="s">
        <v>38</v>
      </c>
    </row>
    <row r="292" spans="9:17" ht="28" customHeight="1" x14ac:dyDescent="0.35">
      <c r="I292" s="178" t="s">
        <v>486</v>
      </c>
      <c r="J292" s="178" t="s">
        <v>229</v>
      </c>
      <c r="K292" s="139">
        <v>1</v>
      </c>
      <c r="L292" s="140" t="s">
        <v>63</v>
      </c>
      <c r="M292" s="140" t="s">
        <v>101</v>
      </c>
      <c r="N292" s="74" t="s">
        <v>46</v>
      </c>
      <c r="O292" s="74" t="s">
        <v>56</v>
      </c>
      <c r="P292" s="75" t="s">
        <v>169</v>
      </c>
      <c r="Q292" s="140" t="s">
        <v>38</v>
      </c>
    </row>
    <row r="293" spans="9:17" ht="28" customHeight="1" x14ac:dyDescent="0.35">
      <c r="I293" s="178" t="s">
        <v>486</v>
      </c>
      <c r="J293" s="178" t="s">
        <v>181</v>
      </c>
      <c r="K293" s="139">
        <v>1</v>
      </c>
      <c r="L293" s="140" t="s">
        <v>63</v>
      </c>
      <c r="M293" s="140" t="s">
        <v>64</v>
      </c>
      <c r="N293" s="74" t="s">
        <v>48</v>
      </c>
      <c r="O293" s="74" t="s">
        <v>230</v>
      </c>
      <c r="P293" s="75" t="s">
        <v>152</v>
      </c>
      <c r="Q293" s="140" t="s">
        <v>54</v>
      </c>
    </row>
    <row r="294" spans="9:17" ht="28" customHeight="1" x14ac:dyDescent="0.35">
      <c r="I294" s="178" t="s">
        <v>486</v>
      </c>
      <c r="J294" s="178" t="s">
        <v>181</v>
      </c>
      <c r="K294" s="139">
        <v>1</v>
      </c>
      <c r="L294" s="140" t="s">
        <v>63</v>
      </c>
      <c r="M294" s="140" t="s">
        <v>64</v>
      </c>
      <c r="N294" s="74" t="s">
        <v>55</v>
      </c>
      <c r="O294" s="74" t="s">
        <v>230</v>
      </c>
      <c r="P294" s="75" t="s">
        <v>126</v>
      </c>
      <c r="Q294" s="140" t="s">
        <v>54</v>
      </c>
    </row>
    <row r="295" spans="9:17" ht="28" customHeight="1" x14ac:dyDescent="0.35">
      <c r="I295" s="178" t="s">
        <v>486</v>
      </c>
      <c r="J295" s="178" t="s">
        <v>183</v>
      </c>
      <c r="K295" s="139">
        <v>1.5</v>
      </c>
      <c r="L295" s="140" t="s">
        <v>68</v>
      </c>
      <c r="M295" s="140" t="s">
        <v>34</v>
      </c>
      <c r="N295" s="74" t="s">
        <v>35</v>
      </c>
      <c r="O295" s="76" t="s">
        <v>44</v>
      </c>
      <c r="P295" s="77" t="s">
        <v>53</v>
      </c>
      <c r="Q295" s="140" t="s">
        <v>38</v>
      </c>
    </row>
    <row r="296" spans="9:17" ht="28" customHeight="1" x14ac:dyDescent="0.35">
      <c r="I296" s="178" t="s">
        <v>486</v>
      </c>
      <c r="J296" s="178" t="s">
        <v>183</v>
      </c>
      <c r="K296" s="139">
        <v>1.5</v>
      </c>
      <c r="L296" s="140" t="s">
        <v>68</v>
      </c>
      <c r="M296" s="140" t="s">
        <v>34</v>
      </c>
      <c r="N296" s="74" t="s">
        <v>48</v>
      </c>
      <c r="O296" s="98" t="s">
        <v>44</v>
      </c>
      <c r="P296" s="99" t="s">
        <v>53</v>
      </c>
      <c r="Q296" s="140" t="s">
        <v>38</v>
      </c>
    </row>
    <row r="297" spans="9:17" ht="28" x14ac:dyDescent="0.35">
      <c r="I297" s="178" t="s">
        <v>486</v>
      </c>
      <c r="J297" s="178" t="s">
        <v>231</v>
      </c>
      <c r="K297" s="139">
        <v>1.5</v>
      </c>
      <c r="L297" s="140" t="s">
        <v>68</v>
      </c>
      <c r="M297" s="140" t="s">
        <v>64</v>
      </c>
      <c r="N297" s="74" t="s">
        <v>35</v>
      </c>
      <c r="O297" s="74" t="s">
        <v>232</v>
      </c>
      <c r="P297" s="77" t="s">
        <v>149</v>
      </c>
      <c r="Q297" s="140" t="s">
        <v>54</v>
      </c>
    </row>
    <row r="298" spans="9:17" ht="28" customHeight="1" x14ac:dyDescent="0.35">
      <c r="I298" s="178" t="s">
        <v>486</v>
      </c>
      <c r="J298" s="178" t="s">
        <v>231</v>
      </c>
      <c r="K298" s="139">
        <v>1.5</v>
      </c>
      <c r="L298" s="140" t="s">
        <v>68</v>
      </c>
      <c r="M298" s="140" t="s">
        <v>64</v>
      </c>
      <c r="N298" s="74" t="s">
        <v>48</v>
      </c>
      <c r="O298" s="76" t="s">
        <v>232</v>
      </c>
      <c r="P298" s="77" t="s">
        <v>149</v>
      </c>
      <c r="Q298" s="140" t="s">
        <v>54</v>
      </c>
    </row>
    <row r="299" spans="9:17" ht="28" customHeight="1" x14ac:dyDescent="0.35">
      <c r="I299" s="178" t="s">
        <v>486</v>
      </c>
      <c r="J299" s="178" t="s">
        <v>233</v>
      </c>
      <c r="K299" s="139">
        <v>1.5</v>
      </c>
      <c r="L299" s="140" t="s">
        <v>68</v>
      </c>
      <c r="M299" s="140" t="s">
        <v>69</v>
      </c>
      <c r="N299" s="74" t="s">
        <v>46</v>
      </c>
      <c r="O299" s="76" t="s">
        <v>44</v>
      </c>
      <c r="P299" s="75" t="s">
        <v>71</v>
      </c>
      <c r="Q299" s="140" t="s">
        <v>38</v>
      </c>
    </row>
    <row r="300" spans="9:17" ht="28" customHeight="1" x14ac:dyDescent="0.35">
      <c r="I300" s="178" t="s">
        <v>486</v>
      </c>
      <c r="J300" s="178" t="s">
        <v>233</v>
      </c>
      <c r="K300" s="139">
        <v>1.5</v>
      </c>
      <c r="L300" s="140" t="s">
        <v>68</v>
      </c>
      <c r="M300" s="140" t="s">
        <v>69</v>
      </c>
      <c r="N300" s="74" t="s">
        <v>55</v>
      </c>
      <c r="O300" s="76" t="s">
        <v>44</v>
      </c>
      <c r="P300" s="77" t="s">
        <v>71</v>
      </c>
      <c r="Q300" s="140" t="s">
        <v>38</v>
      </c>
    </row>
    <row r="301" spans="9:17" ht="28" customHeight="1" x14ac:dyDescent="0.35">
      <c r="I301" s="178" t="s">
        <v>486</v>
      </c>
      <c r="J301" s="183" t="s">
        <v>191</v>
      </c>
      <c r="K301" s="81">
        <v>3</v>
      </c>
      <c r="L301" s="74" t="s">
        <v>75</v>
      </c>
      <c r="M301" s="74" t="s">
        <v>234</v>
      </c>
      <c r="N301" s="74" t="s">
        <v>55</v>
      </c>
      <c r="O301" s="74" t="s">
        <v>82</v>
      </c>
      <c r="P301" s="74" t="s">
        <v>208</v>
      </c>
      <c r="Q301" s="74" t="s">
        <v>93</v>
      </c>
    </row>
    <row r="302" spans="9:17" ht="14.5" customHeight="1" x14ac:dyDescent="0.35">
      <c r="I302" s="178" t="s">
        <v>487</v>
      </c>
      <c r="J302" s="178" t="s">
        <v>238</v>
      </c>
      <c r="K302" s="139">
        <v>2</v>
      </c>
      <c r="L302" s="140" t="s">
        <v>75</v>
      </c>
      <c r="M302" s="140" t="s">
        <v>136</v>
      </c>
      <c r="N302" s="74" t="s">
        <v>55</v>
      </c>
      <c r="O302" s="74" t="s">
        <v>56</v>
      </c>
      <c r="P302" s="74" t="s">
        <v>53</v>
      </c>
      <c r="Q302" s="140" t="s">
        <v>54</v>
      </c>
    </row>
    <row r="303" spans="9:17" ht="28" customHeight="1" x14ac:dyDescent="0.35">
      <c r="I303" s="178" t="s">
        <v>487</v>
      </c>
      <c r="J303" s="178" t="s">
        <v>238</v>
      </c>
      <c r="K303" s="139">
        <v>2</v>
      </c>
      <c r="L303" s="140" t="s">
        <v>75</v>
      </c>
      <c r="M303" s="140" t="s">
        <v>136</v>
      </c>
      <c r="N303" s="74" t="s">
        <v>55</v>
      </c>
      <c r="O303" s="74" t="s">
        <v>52</v>
      </c>
      <c r="P303" s="74" t="s">
        <v>152</v>
      </c>
      <c r="Q303" s="140" t="s">
        <v>54</v>
      </c>
    </row>
    <row r="304" spans="9:17" ht="28" customHeight="1" x14ac:dyDescent="0.35">
      <c r="I304" s="178" t="s">
        <v>487</v>
      </c>
      <c r="J304" s="178" t="s">
        <v>238</v>
      </c>
      <c r="K304" s="139">
        <v>2</v>
      </c>
      <c r="L304" s="140" t="s">
        <v>75</v>
      </c>
      <c r="M304" s="140" t="s">
        <v>76</v>
      </c>
      <c r="N304" s="74" t="s">
        <v>46</v>
      </c>
      <c r="O304" s="74" t="s">
        <v>52</v>
      </c>
      <c r="P304" s="74" t="s">
        <v>71</v>
      </c>
      <c r="Q304" s="140" t="s">
        <v>54</v>
      </c>
    </row>
    <row r="305" spans="9:17" ht="28" customHeight="1" x14ac:dyDescent="0.35">
      <c r="I305" s="178" t="s">
        <v>487</v>
      </c>
      <c r="J305" s="178" t="s">
        <v>238</v>
      </c>
      <c r="K305" s="139">
        <v>2</v>
      </c>
      <c r="L305" s="140" t="s">
        <v>75</v>
      </c>
      <c r="M305" s="140" t="s">
        <v>76</v>
      </c>
      <c r="N305" s="74" t="s">
        <v>48</v>
      </c>
      <c r="O305" s="74" t="s">
        <v>56</v>
      </c>
      <c r="P305" s="74" t="s">
        <v>152</v>
      </c>
      <c r="Q305" s="140" t="s">
        <v>54</v>
      </c>
    </row>
    <row r="306" spans="9:17" ht="28" customHeight="1" x14ac:dyDescent="0.35">
      <c r="I306" s="178" t="s">
        <v>487</v>
      </c>
      <c r="J306" s="178" t="s">
        <v>238</v>
      </c>
      <c r="K306" s="139">
        <v>2</v>
      </c>
      <c r="L306" s="140" t="s">
        <v>158</v>
      </c>
      <c r="M306" s="140" t="s">
        <v>136</v>
      </c>
      <c r="N306" s="74" t="s">
        <v>35</v>
      </c>
      <c r="O306" s="74" t="s">
        <v>56</v>
      </c>
      <c r="P306" s="74" t="s">
        <v>172</v>
      </c>
      <c r="Q306" s="140" t="s">
        <v>54</v>
      </c>
    </row>
    <row r="307" spans="9:17" ht="28" customHeight="1" x14ac:dyDescent="0.35">
      <c r="I307" s="178" t="s">
        <v>487</v>
      </c>
      <c r="J307" s="178" t="s">
        <v>238</v>
      </c>
      <c r="K307" s="139">
        <v>2</v>
      </c>
      <c r="L307" s="140" t="s">
        <v>158</v>
      </c>
      <c r="M307" s="140" t="s">
        <v>136</v>
      </c>
      <c r="N307" s="84" t="s">
        <v>55</v>
      </c>
      <c r="O307" s="84" t="s">
        <v>56</v>
      </c>
      <c r="P307" s="84" t="s">
        <v>169</v>
      </c>
      <c r="Q307" s="140" t="s">
        <v>54</v>
      </c>
    </row>
    <row r="308" spans="9:17" ht="28" x14ac:dyDescent="0.35">
      <c r="I308" s="178" t="s">
        <v>487</v>
      </c>
      <c r="J308" s="178" t="s">
        <v>532</v>
      </c>
      <c r="K308" s="139">
        <v>3</v>
      </c>
      <c r="L308" s="140" t="s">
        <v>158</v>
      </c>
      <c r="M308" s="140" t="s">
        <v>136</v>
      </c>
      <c r="N308" s="74" t="s">
        <v>35</v>
      </c>
      <c r="O308" s="74" t="s">
        <v>44</v>
      </c>
      <c r="P308" s="74" t="s">
        <v>71</v>
      </c>
      <c r="Q308" s="140" t="s">
        <v>38</v>
      </c>
    </row>
    <row r="309" spans="9:17" ht="28" customHeight="1" x14ac:dyDescent="0.35">
      <c r="I309" s="178" t="s">
        <v>487</v>
      </c>
      <c r="J309" s="178" t="s">
        <v>532</v>
      </c>
      <c r="K309" s="139">
        <v>3</v>
      </c>
      <c r="L309" s="140" t="s">
        <v>158</v>
      </c>
      <c r="M309" s="140" t="s">
        <v>136</v>
      </c>
      <c r="N309" s="74" t="s">
        <v>55</v>
      </c>
      <c r="O309" s="74" t="s">
        <v>511</v>
      </c>
      <c r="P309" s="74" t="s">
        <v>206</v>
      </c>
      <c r="Q309" s="140" t="s">
        <v>38</v>
      </c>
    </row>
    <row r="310" spans="9:17" ht="28" x14ac:dyDescent="0.35">
      <c r="I310" s="178" t="s">
        <v>487</v>
      </c>
      <c r="J310" s="178" t="s">
        <v>229</v>
      </c>
      <c r="K310" s="139">
        <v>1</v>
      </c>
      <c r="L310" s="140" t="s">
        <v>63</v>
      </c>
      <c r="M310" s="140" t="s">
        <v>101</v>
      </c>
      <c r="N310" s="74" t="s">
        <v>35</v>
      </c>
      <c r="O310" s="74" t="s">
        <v>56</v>
      </c>
      <c r="P310" s="75" t="s">
        <v>169</v>
      </c>
      <c r="Q310" s="140" t="s">
        <v>38</v>
      </c>
    </row>
    <row r="311" spans="9:17" ht="28" customHeight="1" x14ac:dyDescent="0.35">
      <c r="I311" s="178" t="s">
        <v>487</v>
      </c>
      <c r="J311" s="178" t="s">
        <v>229</v>
      </c>
      <c r="K311" s="139">
        <v>1</v>
      </c>
      <c r="L311" s="140" t="s">
        <v>63</v>
      </c>
      <c r="M311" s="140" t="s">
        <v>101</v>
      </c>
      <c r="N311" s="74" t="s">
        <v>46</v>
      </c>
      <c r="O311" s="74" t="s">
        <v>56</v>
      </c>
      <c r="P311" s="75" t="s">
        <v>169</v>
      </c>
      <c r="Q311" s="140" t="s">
        <v>38</v>
      </c>
    </row>
    <row r="312" spans="9:17" ht="28" customHeight="1" x14ac:dyDescent="0.35">
      <c r="I312" s="178" t="s">
        <v>487</v>
      </c>
      <c r="J312" s="178" t="s">
        <v>181</v>
      </c>
      <c r="K312" s="139">
        <v>1</v>
      </c>
      <c r="L312" s="140" t="s">
        <v>63</v>
      </c>
      <c r="M312" s="140" t="s">
        <v>64</v>
      </c>
      <c r="N312" s="74" t="s">
        <v>48</v>
      </c>
      <c r="O312" s="74" t="s">
        <v>230</v>
      </c>
      <c r="P312" s="75" t="s">
        <v>152</v>
      </c>
      <c r="Q312" s="140" t="s">
        <v>54</v>
      </c>
    </row>
    <row r="313" spans="9:17" ht="28" customHeight="1" x14ac:dyDescent="0.35">
      <c r="I313" s="178" t="s">
        <v>487</v>
      </c>
      <c r="J313" s="178" t="s">
        <v>181</v>
      </c>
      <c r="K313" s="139">
        <v>1</v>
      </c>
      <c r="L313" s="140" t="s">
        <v>63</v>
      </c>
      <c r="M313" s="140" t="s">
        <v>64</v>
      </c>
      <c r="N313" s="74" t="s">
        <v>55</v>
      </c>
      <c r="O313" s="74" t="s">
        <v>230</v>
      </c>
      <c r="P313" s="75" t="s">
        <v>126</v>
      </c>
      <c r="Q313" s="140" t="s">
        <v>54</v>
      </c>
    </row>
    <row r="314" spans="9:17" ht="28" x14ac:dyDescent="0.35">
      <c r="I314" s="178" t="s">
        <v>487</v>
      </c>
      <c r="J314" s="178" t="s">
        <v>278</v>
      </c>
      <c r="K314" s="139">
        <v>1.5</v>
      </c>
      <c r="L314" s="140" t="s">
        <v>68</v>
      </c>
      <c r="M314" s="140" t="s">
        <v>42</v>
      </c>
      <c r="N314" s="74" t="s">
        <v>35</v>
      </c>
      <c r="O314" s="76" t="s">
        <v>40</v>
      </c>
      <c r="P314" s="76" t="s">
        <v>110</v>
      </c>
      <c r="Q314" s="140" t="s">
        <v>54</v>
      </c>
    </row>
    <row r="315" spans="9:17" ht="28" customHeight="1" x14ac:dyDescent="0.35">
      <c r="I315" s="178" t="s">
        <v>487</v>
      </c>
      <c r="J315" s="178" t="s">
        <v>278</v>
      </c>
      <c r="K315" s="139">
        <v>1.5</v>
      </c>
      <c r="L315" s="140" t="s">
        <v>68</v>
      </c>
      <c r="M315" s="140" t="s">
        <v>42</v>
      </c>
      <c r="N315" s="74" t="s">
        <v>48</v>
      </c>
      <c r="O315" s="76" t="s">
        <v>40</v>
      </c>
      <c r="P315" s="76" t="s">
        <v>110</v>
      </c>
      <c r="Q315" s="140" t="s">
        <v>54</v>
      </c>
    </row>
    <row r="316" spans="9:17" ht="28" customHeight="1" x14ac:dyDescent="0.35">
      <c r="I316" s="178" t="s">
        <v>487</v>
      </c>
      <c r="J316" s="178" t="s">
        <v>233</v>
      </c>
      <c r="K316" s="139">
        <v>1.5</v>
      </c>
      <c r="L316" s="140" t="s">
        <v>68</v>
      </c>
      <c r="M316" s="140" t="s">
        <v>101</v>
      </c>
      <c r="N316" s="74" t="s">
        <v>46</v>
      </c>
      <c r="O316" s="76" t="s">
        <v>44</v>
      </c>
      <c r="P316" s="76" t="s">
        <v>111</v>
      </c>
      <c r="Q316" s="140" t="s">
        <v>38</v>
      </c>
    </row>
    <row r="317" spans="9:17" ht="28" customHeight="1" x14ac:dyDescent="0.35">
      <c r="I317" s="178" t="s">
        <v>487</v>
      </c>
      <c r="J317" s="178" t="s">
        <v>233</v>
      </c>
      <c r="K317" s="139">
        <v>1.5</v>
      </c>
      <c r="L317" s="140" t="s">
        <v>68</v>
      </c>
      <c r="M317" s="140" t="s">
        <v>101</v>
      </c>
      <c r="N317" s="74" t="s">
        <v>48</v>
      </c>
      <c r="O317" s="76" t="s">
        <v>44</v>
      </c>
      <c r="P317" s="74" t="s">
        <v>111</v>
      </c>
      <c r="Q317" s="140" t="s">
        <v>38</v>
      </c>
    </row>
    <row r="318" spans="9:17" ht="28" x14ac:dyDescent="0.35">
      <c r="I318" s="178" t="s">
        <v>487</v>
      </c>
      <c r="J318" s="178" t="s">
        <v>534</v>
      </c>
      <c r="K318" s="139">
        <v>1.5</v>
      </c>
      <c r="L318" s="140" t="s">
        <v>68</v>
      </c>
      <c r="M318" s="140" t="s">
        <v>69</v>
      </c>
      <c r="N318" s="74" t="s">
        <v>35</v>
      </c>
      <c r="O318" s="76" t="s">
        <v>146</v>
      </c>
      <c r="P318" s="74" t="s">
        <v>71</v>
      </c>
      <c r="Q318" s="140" t="s">
        <v>54</v>
      </c>
    </row>
    <row r="319" spans="9:17" ht="28" customHeight="1" x14ac:dyDescent="0.35">
      <c r="I319" s="178" t="s">
        <v>487</v>
      </c>
      <c r="J319" s="178" t="s">
        <v>534</v>
      </c>
      <c r="K319" s="139">
        <v>1.5</v>
      </c>
      <c r="L319" s="140" t="s">
        <v>68</v>
      </c>
      <c r="M319" s="140" t="s">
        <v>69</v>
      </c>
      <c r="N319" s="74" t="s">
        <v>48</v>
      </c>
      <c r="O319" s="76" t="s">
        <v>146</v>
      </c>
      <c r="P319" s="76" t="s">
        <v>71</v>
      </c>
      <c r="Q319" s="140" t="s">
        <v>54</v>
      </c>
    </row>
    <row r="320" spans="9:17" ht="28" customHeight="1" x14ac:dyDescent="0.35">
      <c r="I320" s="178" t="s">
        <v>487</v>
      </c>
      <c r="J320" s="183" t="s">
        <v>191</v>
      </c>
      <c r="K320" s="81">
        <v>3</v>
      </c>
      <c r="L320" s="74" t="s">
        <v>75</v>
      </c>
      <c r="M320" s="74" t="s">
        <v>241</v>
      </c>
      <c r="N320" s="74" t="s">
        <v>55</v>
      </c>
      <c r="O320" s="74" t="s">
        <v>82</v>
      </c>
      <c r="P320" s="74" t="s">
        <v>110</v>
      </c>
      <c r="Q320" s="74" t="s">
        <v>93</v>
      </c>
    </row>
    <row r="321" spans="9:17" x14ac:dyDescent="0.35">
      <c r="I321" s="181" t="s">
        <v>488</v>
      </c>
      <c r="J321" s="178" t="s">
        <v>374</v>
      </c>
      <c r="K321" s="139">
        <v>2</v>
      </c>
      <c r="L321" s="140" t="s">
        <v>75</v>
      </c>
      <c r="M321" s="140" t="s">
        <v>90</v>
      </c>
      <c r="N321" s="74" t="s">
        <v>46</v>
      </c>
      <c r="O321" s="74" t="s">
        <v>56</v>
      </c>
      <c r="P321" s="74" t="s">
        <v>65</v>
      </c>
      <c r="Q321" s="140" t="s">
        <v>54</v>
      </c>
    </row>
    <row r="322" spans="9:17" x14ac:dyDescent="0.35">
      <c r="I322" s="181" t="s">
        <v>488</v>
      </c>
      <c r="J322" s="178" t="s">
        <v>374</v>
      </c>
      <c r="K322" s="139">
        <v>2</v>
      </c>
      <c r="L322" s="140" t="s">
        <v>75</v>
      </c>
      <c r="M322" s="140" t="s">
        <v>90</v>
      </c>
      <c r="N322" s="74" t="s">
        <v>48</v>
      </c>
      <c r="O322" s="74" t="s">
        <v>56</v>
      </c>
      <c r="P322" s="74" t="s">
        <v>65</v>
      </c>
      <c r="Q322" s="140" t="s">
        <v>54</v>
      </c>
    </row>
    <row r="323" spans="9:17" x14ac:dyDescent="0.35">
      <c r="I323" s="181" t="s">
        <v>488</v>
      </c>
      <c r="J323" s="178" t="s">
        <v>374</v>
      </c>
      <c r="K323" s="139">
        <v>2</v>
      </c>
      <c r="L323" s="140" t="s">
        <v>75</v>
      </c>
      <c r="M323" s="140" t="s">
        <v>173</v>
      </c>
      <c r="N323" s="74" t="s">
        <v>35</v>
      </c>
      <c r="O323" s="74" t="s">
        <v>123</v>
      </c>
      <c r="P323" s="74" t="s">
        <v>126</v>
      </c>
      <c r="Q323" s="140" t="s">
        <v>54</v>
      </c>
    </row>
    <row r="324" spans="9:17" x14ac:dyDescent="0.35">
      <c r="I324" s="181" t="s">
        <v>488</v>
      </c>
      <c r="J324" s="178" t="s">
        <v>374</v>
      </c>
      <c r="K324" s="139">
        <v>2</v>
      </c>
      <c r="L324" s="140" t="s">
        <v>75</v>
      </c>
      <c r="M324" s="140" t="s">
        <v>173</v>
      </c>
      <c r="N324" s="74" t="s">
        <v>55</v>
      </c>
      <c r="O324" s="74" t="s">
        <v>56</v>
      </c>
      <c r="P324" s="74" t="s">
        <v>126</v>
      </c>
      <c r="Q324" s="140" t="s">
        <v>54</v>
      </c>
    </row>
    <row r="325" spans="9:17" x14ac:dyDescent="0.35">
      <c r="I325" s="181" t="s">
        <v>488</v>
      </c>
      <c r="J325" s="178" t="s">
        <v>374</v>
      </c>
      <c r="K325" s="139">
        <v>2</v>
      </c>
      <c r="L325" s="140" t="s">
        <v>75</v>
      </c>
      <c r="M325" s="140" t="s">
        <v>175</v>
      </c>
      <c r="N325" s="74" t="s">
        <v>46</v>
      </c>
      <c r="O325" s="74" t="s">
        <v>131</v>
      </c>
      <c r="P325" s="74" t="s">
        <v>111</v>
      </c>
      <c r="Q325" s="140" t="s">
        <v>54</v>
      </c>
    </row>
    <row r="326" spans="9:17" x14ac:dyDescent="0.35">
      <c r="I326" s="181" t="s">
        <v>488</v>
      </c>
      <c r="J326" s="178" t="s">
        <v>374</v>
      </c>
      <c r="K326" s="139">
        <v>2</v>
      </c>
      <c r="L326" s="140" t="s">
        <v>75</v>
      </c>
      <c r="M326" s="140" t="s">
        <v>175</v>
      </c>
      <c r="N326" s="74" t="s">
        <v>48</v>
      </c>
      <c r="O326" s="74" t="s">
        <v>123</v>
      </c>
      <c r="P326" s="74" t="s">
        <v>208</v>
      </c>
      <c r="Q326" s="140" t="s">
        <v>54</v>
      </c>
    </row>
    <row r="327" spans="9:17" ht="28" x14ac:dyDescent="0.35">
      <c r="I327" s="181" t="s">
        <v>488</v>
      </c>
      <c r="J327" s="178" t="s">
        <v>532</v>
      </c>
      <c r="K327" s="139">
        <v>3</v>
      </c>
      <c r="L327" s="140" t="s">
        <v>75</v>
      </c>
      <c r="M327" s="140" t="s">
        <v>136</v>
      </c>
      <c r="N327" s="74" t="s">
        <v>35</v>
      </c>
      <c r="O327" s="74" t="s">
        <v>40</v>
      </c>
      <c r="P327" s="74" t="s">
        <v>111</v>
      </c>
      <c r="Q327" s="140" t="s">
        <v>38</v>
      </c>
    </row>
    <row r="328" spans="9:17" ht="28" x14ac:dyDescent="0.35">
      <c r="I328" s="181" t="s">
        <v>488</v>
      </c>
      <c r="J328" s="178" t="s">
        <v>532</v>
      </c>
      <c r="K328" s="139">
        <v>3</v>
      </c>
      <c r="L328" s="140" t="s">
        <v>75</v>
      </c>
      <c r="M328" s="140" t="s">
        <v>136</v>
      </c>
      <c r="N328" s="74" t="s">
        <v>48</v>
      </c>
      <c r="O328" s="74" t="s">
        <v>66</v>
      </c>
      <c r="P328" s="74" t="s">
        <v>80</v>
      </c>
      <c r="Q328" s="140" t="s">
        <v>38</v>
      </c>
    </row>
    <row r="329" spans="9:17" ht="28" x14ac:dyDescent="0.35">
      <c r="I329" s="181" t="s">
        <v>488</v>
      </c>
      <c r="J329" s="178" t="s">
        <v>245</v>
      </c>
      <c r="K329" s="139">
        <v>1.5</v>
      </c>
      <c r="L329" s="140" t="s">
        <v>63</v>
      </c>
      <c r="M329" s="140" t="s">
        <v>34</v>
      </c>
      <c r="N329" s="74" t="s">
        <v>35</v>
      </c>
      <c r="O329" s="74" t="s">
        <v>66</v>
      </c>
      <c r="P329" s="74" t="s">
        <v>152</v>
      </c>
      <c r="Q329" s="140" t="s">
        <v>54</v>
      </c>
    </row>
    <row r="330" spans="9:17" ht="28" x14ac:dyDescent="0.35">
      <c r="I330" s="181" t="s">
        <v>488</v>
      </c>
      <c r="J330" s="178" t="s">
        <v>245</v>
      </c>
      <c r="K330" s="139">
        <v>1.5</v>
      </c>
      <c r="L330" s="140" t="s">
        <v>63</v>
      </c>
      <c r="M330" s="140" t="s">
        <v>34</v>
      </c>
      <c r="N330" s="74" t="s">
        <v>46</v>
      </c>
      <c r="O330" s="74" t="s">
        <v>66</v>
      </c>
      <c r="P330" s="74" t="s">
        <v>152</v>
      </c>
      <c r="Q330" s="140" t="s">
        <v>54</v>
      </c>
    </row>
    <row r="331" spans="9:17" ht="14.5" customHeight="1" x14ac:dyDescent="0.35">
      <c r="I331" s="181" t="s">
        <v>488</v>
      </c>
      <c r="J331" s="178" t="s">
        <v>278</v>
      </c>
      <c r="K331" s="139">
        <v>1.5</v>
      </c>
      <c r="L331" s="140" t="s">
        <v>68</v>
      </c>
      <c r="M331" s="140" t="s">
        <v>42</v>
      </c>
      <c r="N331" s="74" t="s">
        <v>35</v>
      </c>
      <c r="O331" s="76" t="s">
        <v>40</v>
      </c>
      <c r="P331" s="76" t="s">
        <v>110</v>
      </c>
      <c r="Q331" s="140" t="s">
        <v>54</v>
      </c>
    </row>
    <row r="332" spans="9:17" ht="28" x14ac:dyDescent="0.35">
      <c r="I332" s="181" t="s">
        <v>488</v>
      </c>
      <c r="J332" s="178" t="s">
        <v>278</v>
      </c>
      <c r="K332" s="139">
        <v>1.5</v>
      </c>
      <c r="L332" s="140" t="s">
        <v>68</v>
      </c>
      <c r="M332" s="140" t="s">
        <v>42</v>
      </c>
      <c r="N332" s="74" t="s">
        <v>48</v>
      </c>
      <c r="O332" s="76" t="s">
        <v>40</v>
      </c>
      <c r="P332" s="76" t="s">
        <v>110</v>
      </c>
      <c r="Q332" s="140" t="s">
        <v>54</v>
      </c>
    </row>
    <row r="333" spans="9:17" ht="14.5" customHeight="1" x14ac:dyDescent="0.35">
      <c r="I333" s="181" t="s">
        <v>488</v>
      </c>
      <c r="J333" s="178" t="s">
        <v>233</v>
      </c>
      <c r="K333" s="139">
        <v>1.5</v>
      </c>
      <c r="L333" s="140" t="s">
        <v>68</v>
      </c>
      <c r="M333" s="140" t="s">
        <v>101</v>
      </c>
      <c r="N333" s="74" t="s">
        <v>46</v>
      </c>
      <c r="O333" s="76" t="s">
        <v>44</v>
      </c>
      <c r="P333" s="76" t="s">
        <v>111</v>
      </c>
      <c r="Q333" s="140" t="s">
        <v>38</v>
      </c>
    </row>
    <row r="334" spans="9:17" ht="42" x14ac:dyDescent="0.35">
      <c r="I334" s="181" t="s">
        <v>488</v>
      </c>
      <c r="J334" s="178" t="s">
        <v>233</v>
      </c>
      <c r="K334" s="139">
        <v>1.5</v>
      </c>
      <c r="L334" s="140" t="s">
        <v>68</v>
      </c>
      <c r="M334" s="140" t="s">
        <v>101</v>
      </c>
      <c r="N334" s="74" t="s">
        <v>48</v>
      </c>
      <c r="O334" s="76" t="s">
        <v>44</v>
      </c>
      <c r="P334" s="74" t="s">
        <v>111</v>
      </c>
      <c r="Q334" s="140" t="s">
        <v>38</v>
      </c>
    </row>
    <row r="335" spans="9:17" ht="14.5" customHeight="1" x14ac:dyDescent="0.35">
      <c r="I335" s="178" t="s">
        <v>246</v>
      </c>
      <c r="J335" s="178" t="s">
        <v>168</v>
      </c>
      <c r="K335" s="139">
        <v>3</v>
      </c>
      <c r="L335" s="140" t="s">
        <v>75</v>
      </c>
      <c r="M335" s="140" t="s">
        <v>247</v>
      </c>
      <c r="N335" s="74" t="s">
        <v>35</v>
      </c>
      <c r="O335" s="76" t="s">
        <v>44</v>
      </c>
      <c r="P335" s="74" t="s">
        <v>206</v>
      </c>
      <c r="Q335" s="140" t="s">
        <v>38</v>
      </c>
    </row>
    <row r="336" spans="9:17" ht="42" x14ac:dyDescent="0.35">
      <c r="I336" s="178" t="s">
        <v>246</v>
      </c>
      <c r="J336" s="178" t="s">
        <v>168</v>
      </c>
      <c r="K336" s="139">
        <v>3</v>
      </c>
      <c r="L336" s="140" t="s">
        <v>75</v>
      </c>
      <c r="M336" s="140" t="s">
        <v>247</v>
      </c>
      <c r="N336" s="74" t="s">
        <v>55</v>
      </c>
      <c r="O336" s="74" t="s">
        <v>66</v>
      </c>
      <c r="P336" s="74" t="s">
        <v>155</v>
      </c>
      <c r="Q336" s="140" t="s">
        <v>38</v>
      </c>
    </row>
    <row r="337" spans="9:17" ht="14.5" customHeight="1" x14ac:dyDescent="0.35">
      <c r="I337" s="178" t="s">
        <v>246</v>
      </c>
      <c r="J337" s="178" t="s">
        <v>248</v>
      </c>
      <c r="K337" s="139">
        <v>2</v>
      </c>
      <c r="L337" s="140" t="s">
        <v>75</v>
      </c>
      <c r="M337" s="140" t="s">
        <v>175</v>
      </c>
      <c r="N337" s="74" t="s">
        <v>46</v>
      </c>
      <c r="O337" s="74" t="s">
        <v>59</v>
      </c>
      <c r="P337" s="74" t="s">
        <v>107</v>
      </c>
      <c r="Q337" s="140" t="s">
        <v>38</v>
      </c>
    </row>
    <row r="338" spans="9:17" ht="28" x14ac:dyDescent="0.35">
      <c r="I338" s="178" t="s">
        <v>246</v>
      </c>
      <c r="J338" s="178" t="s">
        <v>248</v>
      </c>
      <c r="K338" s="139">
        <v>2</v>
      </c>
      <c r="L338" s="140" t="s">
        <v>75</v>
      </c>
      <c r="M338" s="140" t="s">
        <v>175</v>
      </c>
      <c r="N338" s="74" t="s">
        <v>48</v>
      </c>
      <c r="O338" s="74" t="s">
        <v>123</v>
      </c>
      <c r="P338" s="74" t="s">
        <v>405</v>
      </c>
      <c r="Q338" s="140" t="s">
        <v>38</v>
      </c>
    </row>
    <row r="339" spans="9:17" ht="14.5" customHeight="1" x14ac:dyDescent="0.35">
      <c r="I339" s="178" t="s">
        <v>246</v>
      </c>
      <c r="J339" s="178" t="s">
        <v>248</v>
      </c>
      <c r="K339" s="139">
        <v>2</v>
      </c>
      <c r="L339" s="140" t="s">
        <v>75</v>
      </c>
      <c r="M339" s="140" t="s">
        <v>177</v>
      </c>
      <c r="N339" s="74" t="s">
        <v>46</v>
      </c>
      <c r="O339" s="74" t="s">
        <v>123</v>
      </c>
      <c r="P339" s="74" t="s">
        <v>114</v>
      </c>
      <c r="Q339" s="140" t="s">
        <v>38</v>
      </c>
    </row>
    <row r="340" spans="9:17" ht="28" x14ac:dyDescent="0.35">
      <c r="I340" s="178" t="s">
        <v>246</v>
      </c>
      <c r="J340" s="178" t="s">
        <v>248</v>
      </c>
      <c r="K340" s="139">
        <v>2</v>
      </c>
      <c r="L340" s="140" t="s">
        <v>75</v>
      </c>
      <c r="M340" s="140" t="s">
        <v>177</v>
      </c>
      <c r="N340" s="74" t="s">
        <v>55</v>
      </c>
      <c r="O340" s="74" t="s">
        <v>56</v>
      </c>
      <c r="P340" s="74" t="s">
        <v>249</v>
      </c>
      <c r="Q340" s="140" t="s">
        <v>38</v>
      </c>
    </row>
    <row r="341" spans="9:17" x14ac:dyDescent="0.35">
      <c r="I341" s="178" t="s">
        <v>246</v>
      </c>
      <c r="J341" s="178" t="s">
        <v>50</v>
      </c>
      <c r="K341" s="139">
        <v>1.5</v>
      </c>
      <c r="L341" s="140" t="s">
        <v>250</v>
      </c>
      <c r="M341" s="140" t="s">
        <v>34</v>
      </c>
      <c r="N341" s="74" t="s">
        <v>35</v>
      </c>
      <c r="O341" s="74" t="s">
        <v>61</v>
      </c>
      <c r="P341" s="74" t="s">
        <v>251</v>
      </c>
      <c r="Q341" s="140" t="s">
        <v>54</v>
      </c>
    </row>
    <row r="342" spans="9:17" x14ac:dyDescent="0.35">
      <c r="I342" s="178" t="s">
        <v>246</v>
      </c>
      <c r="J342" s="178" t="s">
        <v>50</v>
      </c>
      <c r="K342" s="139">
        <v>1.5</v>
      </c>
      <c r="L342" s="140" t="s">
        <v>250</v>
      </c>
      <c r="M342" s="140" t="s">
        <v>34</v>
      </c>
      <c r="N342" s="74" t="s">
        <v>39</v>
      </c>
      <c r="O342" s="74" t="s">
        <v>131</v>
      </c>
      <c r="P342" s="74" t="s">
        <v>251</v>
      </c>
      <c r="Q342" s="140" t="s">
        <v>54</v>
      </c>
    </row>
    <row r="343" spans="9:17" x14ac:dyDescent="0.35">
      <c r="I343" s="178" t="s">
        <v>246</v>
      </c>
      <c r="J343" s="178" t="s">
        <v>58</v>
      </c>
      <c r="K343" s="139">
        <v>1.5</v>
      </c>
      <c r="L343" s="140" t="s">
        <v>250</v>
      </c>
      <c r="M343" s="140" t="s">
        <v>42</v>
      </c>
      <c r="N343" s="67" t="s">
        <v>35</v>
      </c>
      <c r="O343" s="74" t="s">
        <v>56</v>
      </c>
      <c r="P343" s="74" t="s">
        <v>252</v>
      </c>
      <c r="Q343" s="140" t="s">
        <v>54</v>
      </c>
    </row>
    <row r="344" spans="9:17" x14ac:dyDescent="0.35">
      <c r="I344" s="178" t="s">
        <v>246</v>
      </c>
      <c r="J344" s="178" t="s">
        <v>58</v>
      </c>
      <c r="K344" s="139">
        <v>1.5</v>
      </c>
      <c r="L344" s="140" t="s">
        <v>250</v>
      </c>
      <c r="M344" s="140" t="s">
        <v>42</v>
      </c>
      <c r="N344" s="74" t="s">
        <v>39</v>
      </c>
      <c r="O344" s="74" t="s">
        <v>56</v>
      </c>
      <c r="P344" s="74" t="s">
        <v>252</v>
      </c>
      <c r="Q344" s="140" t="s">
        <v>54</v>
      </c>
    </row>
    <row r="345" spans="9:17" x14ac:dyDescent="0.35">
      <c r="I345" s="178" t="s">
        <v>246</v>
      </c>
      <c r="J345" s="178" t="s">
        <v>50</v>
      </c>
      <c r="K345" s="139">
        <v>1.5</v>
      </c>
      <c r="L345" s="140" t="s">
        <v>33</v>
      </c>
      <c r="M345" s="140" t="s">
        <v>49</v>
      </c>
      <c r="N345" s="74" t="s">
        <v>39</v>
      </c>
      <c r="O345" s="74" t="s">
        <v>61</v>
      </c>
      <c r="P345" s="74" t="s">
        <v>57</v>
      </c>
      <c r="Q345" s="140" t="s">
        <v>54</v>
      </c>
    </row>
    <row r="346" spans="9:17" x14ac:dyDescent="0.35">
      <c r="I346" s="178" t="s">
        <v>246</v>
      </c>
      <c r="J346" s="178" t="s">
        <v>50</v>
      </c>
      <c r="K346" s="139">
        <v>1.5</v>
      </c>
      <c r="L346" s="140" t="s">
        <v>33</v>
      </c>
      <c r="M346" s="140" t="s">
        <v>49</v>
      </c>
      <c r="N346" s="85" t="s">
        <v>55</v>
      </c>
      <c r="O346" s="74" t="s">
        <v>61</v>
      </c>
      <c r="P346" s="74" t="s">
        <v>197</v>
      </c>
      <c r="Q346" s="140" t="s">
        <v>54</v>
      </c>
    </row>
    <row r="347" spans="9:17" x14ac:dyDescent="0.35">
      <c r="I347" s="178" t="s">
        <v>246</v>
      </c>
      <c r="J347" s="178" t="s">
        <v>58</v>
      </c>
      <c r="K347" s="139">
        <v>1.5</v>
      </c>
      <c r="L347" s="140" t="s">
        <v>33</v>
      </c>
      <c r="M347" s="140" t="s">
        <v>45</v>
      </c>
      <c r="N347" s="101" t="s">
        <v>35</v>
      </c>
      <c r="O347" s="74" t="s">
        <v>61</v>
      </c>
      <c r="P347" s="74" t="s">
        <v>60</v>
      </c>
      <c r="Q347" s="140" t="s">
        <v>54</v>
      </c>
    </row>
    <row r="348" spans="9:17" x14ac:dyDescent="0.35">
      <c r="I348" s="178" t="s">
        <v>246</v>
      </c>
      <c r="J348" s="178" t="s">
        <v>58</v>
      </c>
      <c r="K348" s="139">
        <v>1.5</v>
      </c>
      <c r="L348" s="140" t="s">
        <v>33</v>
      </c>
      <c r="M348" s="140" t="s">
        <v>45</v>
      </c>
      <c r="N348" s="101" t="s">
        <v>48</v>
      </c>
      <c r="O348" s="74" t="s">
        <v>52</v>
      </c>
      <c r="P348" s="74" t="s">
        <v>60</v>
      </c>
      <c r="Q348" s="140" t="s">
        <v>54</v>
      </c>
    </row>
    <row r="349" spans="9:17" x14ac:dyDescent="0.35">
      <c r="I349" s="178" t="s">
        <v>246</v>
      </c>
      <c r="J349" s="183" t="s">
        <v>191</v>
      </c>
      <c r="K349" s="81">
        <v>3</v>
      </c>
      <c r="L349" s="74" t="s">
        <v>75</v>
      </c>
      <c r="M349" s="74" t="s">
        <v>253</v>
      </c>
      <c r="N349" s="74" t="s">
        <v>55</v>
      </c>
      <c r="O349" s="74" t="s">
        <v>82</v>
      </c>
      <c r="P349" s="74" t="s">
        <v>111</v>
      </c>
      <c r="Q349" s="74" t="s">
        <v>93</v>
      </c>
    </row>
    <row r="350" spans="9:17" ht="14.5" customHeight="1" x14ac:dyDescent="0.35">
      <c r="I350" s="178" t="s">
        <v>254</v>
      </c>
      <c r="J350" s="178" t="s">
        <v>255</v>
      </c>
      <c r="K350" s="139">
        <v>3</v>
      </c>
      <c r="L350" s="140" t="s">
        <v>106</v>
      </c>
      <c r="M350" s="140" t="s">
        <v>42</v>
      </c>
      <c r="N350" s="74" t="s">
        <v>46</v>
      </c>
      <c r="O350" s="74" t="s">
        <v>511</v>
      </c>
      <c r="P350" s="74" t="s">
        <v>107</v>
      </c>
      <c r="Q350" s="140" t="s">
        <v>54</v>
      </c>
    </row>
    <row r="351" spans="9:17" ht="28" customHeight="1" x14ac:dyDescent="0.35">
      <c r="I351" s="178" t="s">
        <v>254</v>
      </c>
      <c r="J351" s="178" t="s">
        <v>255</v>
      </c>
      <c r="K351" s="139">
        <v>3</v>
      </c>
      <c r="L351" s="140" t="s">
        <v>106</v>
      </c>
      <c r="M351" s="140" t="s">
        <v>42</v>
      </c>
      <c r="N351" s="74" t="s">
        <v>55</v>
      </c>
      <c r="O351" s="74" t="s">
        <v>511</v>
      </c>
      <c r="P351" s="74" t="s">
        <v>80</v>
      </c>
      <c r="Q351" s="140" t="s">
        <v>54</v>
      </c>
    </row>
    <row r="352" spans="9:17" ht="28" customHeight="1" x14ac:dyDescent="0.35">
      <c r="I352" s="178" t="s">
        <v>254</v>
      </c>
      <c r="J352" s="178" t="s">
        <v>255</v>
      </c>
      <c r="K352" s="139">
        <v>3</v>
      </c>
      <c r="L352" s="140" t="s">
        <v>106</v>
      </c>
      <c r="M352" s="140" t="s">
        <v>45</v>
      </c>
      <c r="N352" s="74" t="s">
        <v>35</v>
      </c>
      <c r="O352" s="74" t="s">
        <v>44</v>
      </c>
      <c r="P352" s="74" t="s">
        <v>132</v>
      </c>
      <c r="Q352" s="140" t="s">
        <v>38</v>
      </c>
    </row>
    <row r="353" spans="9:17" ht="28" customHeight="1" x14ac:dyDescent="0.35">
      <c r="I353" s="178" t="s">
        <v>254</v>
      </c>
      <c r="J353" s="178" t="s">
        <v>255</v>
      </c>
      <c r="K353" s="139">
        <v>3</v>
      </c>
      <c r="L353" s="140" t="s">
        <v>106</v>
      </c>
      <c r="M353" s="140" t="s">
        <v>45</v>
      </c>
      <c r="N353" s="74" t="s">
        <v>39</v>
      </c>
      <c r="O353" s="74" t="s">
        <v>44</v>
      </c>
      <c r="P353" s="74" t="s">
        <v>143</v>
      </c>
      <c r="Q353" s="140" t="s">
        <v>38</v>
      </c>
    </row>
    <row r="354" spans="9:17" ht="28" customHeight="1" x14ac:dyDescent="0.35">
      <c r="I354" s="178" t="s">
        <v>254</v>
      </c>
      <c r="J354" s="178" t="s">
        <v>194</v>
      </c>
      <c r="K354" s="139">
        <v>3</v>
      </c>
      <c r="L354" s="140" t="s">
        <v>51</v>
      </c>
      <c r="M354" s="140" t="s">
        <v>79</v>
      </c>
      <c r="N354" s="74" t="s">
        <v>48</v>
      </c>
      <c r="O354" s="74" t="s">
        <v>511</v>
      </c>
      <c r="P354" s="74" t="s">
        <v>159</v>
      </c>
      <c r="Q354" s="140" t="s">
        <v>38</v>
      </c>
    </row>
    <row r="355" spans="9:17" ht="28" customHeight="1" x14ac:dyDescent="0.35">
      <c r="I355" s="178" t="s">
        <v>254</v>
      </c>
      <c r="J355" s="178" t="s">
        <v>194</v>
      </c>
      <c r="K355" s="139">
        <v>3</v>
      </c>
      <c r="L355" s="140" t="s">
        <v>51</v>
      </c>
      <c r="M355" s="140" t="s">
        <v>79</v>
      </c>
      <c r="N355" s="84" t="s">
        <v>55</v>
      </c>
      <c r="O355" s="84" t="s">
        <v>511</v>
      </c>
      <c r="P355" s="84" t="s">
        <v>132</v>
      </c>
      <c r="Q355" s="140" t="s">
        <v>38</v>
      </c>
    </row>
    <row r="356" spans="9:17" ht="28" customHeight="1" x14ac:dyDescent="0.35">
      <c r="I356" s="178" t="s">
        <v>254</v>
      </c>
      <c r="J356" s="178" t="s">
        <v>535</v>
      </c>
      <c r="K356" s="139">
        <v>3</v>
      </c>
      <c r="L356" s="140" t="s">
        <v>51</v>
      </c>
      <c r="M356" s="140" t="s">
        <v>90</v>
      </c>
      <c r="N356" s="74" t="s">
        <v>46</v>
      </c>
      <c r="O356" s="74" t="s">
        <v>44</v>
      </c>
      <c r="P356" s="74" t="s">
        <v>160</v>
      </c>
      <c r="Q356" s="140" t="s">
        <v>38</v>
      </c>
    </row>
    <row r="357" spans="9:17" ht="28" customHeight="1" x14ac:dyDescent="0.35">
      <c r="I357" s="178" t="s">
        <v>254</v>
      </c>
      <c r="J357" s="178" t="s">
        <v>535</v>
      </c>
      <c r="K357" s="139">
        <v>3</v>
      </c>
      <c r="L357" s="140" t="s">
        <v>51</v>
      </c>
      <c r="M357" s="140" t="s">
        <v>90</v>
      </c>
      <c r="N357" s="74" t="s">
        <v>48</v>
      </c>
      <c r="O357" s="74" t="s">
        <v>44</v>
      </c>
      <c r="P357" s="74" t="s">
        <v>160</v>
      </c>
      <c r="Q357" s="140" t="s">
        <v>38</v>
      </c>
    </row>
    <row r="358" spans="9:17" ht="28" customHeight="1" x14ac:dyDescent="0.35">
      <c r="I358" s="178" t="s">
        <v>254</v>
      </c>
      <c r="J358" s="178" t="s">
        <v>535</v>
      </c>
      <c r="K358" s="139">
        <v>3</v>
      </c>
      <c r="L358" s="140" t="s">
        <v>51</v>
      </c>
      <c r="M358" s="140" t="s">
        <v>173</v>
      </c>
      <c r="N358" s="74" t="s">
        <v>46</v>
      </c>
      <c r="O358" s="74" t="s">
        <v>40</v>
      </c>
      <c r="P358" s="74" t="s">
        <v>77</v>
      </c>
      <c r="Q358" s="140" t="s">
        <v>38</v>
      </c>
    </row>
    <row r="359" spans="9:17" ht="28" customHeight="1" x14ac:dyDescent="0.35">
      <c r="I359" s="178" t="s">
        <v>254</v>
      </c>
      <c r="J359" s="178" t="s">
        <v>535</v>
      </c>
      <c r="K359" s="139">
        <v>3</v>
      </c>
      <c r="L359" s="140" t="s">
        <v>51</v>
      </c>
      <c r="M359" s="140" t="s">
        <v>173</v>
      </c>
      <c r="N359" s="74" t="s">
        <v>55</v>
      </c>
      <c r="O359" s="74" t="s">
        <v>44</v>
      </c>
      <c r="P359" s="74" t="s">
        <v>160</v>
      </c>
      <c r="Q359" s="140" t="s">
        <v>38</v>
      </c>
    </row>
    <row r="360" spans="9:17" ht="28" x14ac:dyDescent="0.35">
      <c r="I360" s="178" t="s">
        <v>254</v>
      </c>
      <c r="J360" s="178" t="s">
        <v>144</v>
      </c>
      <c r="K360" s="139">
        <v>1</v>
      </c>
      <c r="L360" s="140" t="s">
        <v>63</v>
      </c>
      <c r="M360" s="140" t="s">
        <v>34</v>
      </c>
      <c r="N360" s="74" t="s">
        <v>35</v>
      </c>
      <c r="O360" s="74" t="s">
        <v>511</v>
      </c>
      <c r="P360" s="67" t="s">
        <v>65</v>
      </c>
      <c r="Q360" s="140" t="s">
        <v>38</v>
      </c>
    </row>
    <row r="361" spans="9:17" ht="28" customHeight="1" x14ac:dyDescent="0.35">
      <c r="I361" s="178" t="s">
        <v>254</v>
      </c>
      <c r="J361" s="178" t="s">
        <v>144</v>
      </c>
      <c r="K361" s="139">
        <v>1</v>
      </c>
      <c r="L361" s="140" t="s">
        <v>63</v>
      </c>
      <c r="M361" s="140" t="s">
        <v>34</v>
      </c>
      <c r="N361" s="74" t="s">
        <v>46</v>
      </c>
      <c r="O361" s="74" t="s">
        <v>511</v>
      </c>
      <c r="P361" s="76" t="s">
        <v>65</v>
      </c>
      <c r="Q361" s="140" t="s">
        <v>38</v>
      </c>
    </row>
    <row r="362" spans="9:17" ht="28" customHeight="1" x14ac:dyDescent="0.35">
      <c r="I362" s="178" t="s">
        <v>254</v>
      </c>
      <c r="J362" s="178" t="s">
        <v>67</v>
      </c>
      <c r="K362" s="139">
        <v>2</v>
      </c>
      <c r="L362" s="140" t="s">
        <v>68</v>
      </c>
      <c r="M362" s="140" t="s">
        <v>69</v>
      </c>
      <c r="N362" s="74" t="s">
        <v>35</v>
      </c>
      <c r="O362" s="76" t="s">
        <v>70</v>
      </c>
      <c r="P362" s="76" t="s">
        <v>71</v>
      </c>
      <c r="Q362" s="140" t="s">
        <v>54</v>
      </c>
    </row>
    <row r="363" spans="9:17" ht="28" customHeight="1" x14ac:dyDescent="0.35">
      <c r="I363" s="178" t="s">
        <v>254</v>
      </c>
      <c r="J363" s="178" t="s">
        <v>67</v>
      </c>
      <c r="K363" s="139">
        <v>2</v>
      </c>
      <c r="L363" s="140" t="s">
        <v>68</v>
      </c>
      <c r="M363" s="140" t="s">
        <v>69</v>
      </c>
      <c r="N363" s="74" t="s">
        <v>48</v>
      </c>
      <c r="O363" s="76" t="s">
        <v>70</v>
      </c>
      <c r="P363" s="76" t="s">
        <v>71</v>
      </c>
      <c r="Q363" s="140" t="s">
        <v>54</v>
      </c>
    </row>
    <row r="364" spans="9:17" ht="14.5" customHeight="1" x14ac:dyDescent="0.35">
      <c r="I364" s="178" t="s">
        <v>257</v>
      </c>
      <c r="J364" s="178" t="s">
        <v>248</v>
      </c>
      <c r="K364" s="139">
        <v>2</v>
      </c>
      <c r="L364" s="140" t="s">
        <v>158</v>
      </c>
      <c r="M364" s="140" t="s">
        <v>90</v>
      </c>
      <c r="N364" s="74" t="s">
        <v>35</v>
      </c>
      <c r="O364" s="74" t="s">
        <v>56</v>
      </c>
      <c r="P364" s="74" t="s">
        <v>126</v>
      </c>
      <c r="Q364" s="140" t="s">
        <v>38</v>
      </c>
    </row>
    <row r="365" spans="9:17" ht="28" x14ac:dyDescent="0.35">
      <c r="I365" s="178" t="s">
        <v>257</v>
      </c>
      <c r="J365" s="178" t="s">
        <v>248</v>
      </c>
      <c r="K365" s="139">
        <v>2</v>
      </c>
      <c r="L365" s="140" t="s">
        <v>158</v>
      </c>
      <c r="M365" s="140" t="s">
        <v>90</v>
      </c>
      <c r="N365" s="74" t="s">
        <v>48</v>
      </c>
      <c r="O365" s="74" t="s">
        <v>59</v>
      </c>
      <c r="P365" s="74" t="s">
        <v>155</v>
      </c>
      <c r="Q365" s="140" t="s">
        <v>38</v>
      </c>
    </row>
    <row r="366" spans="9:17" x14ac:dyDescent="0.35">
      <c r="I366" s="178" t="s">
        <v>257</v>
      </c>
      <c r="J366" s="178" t="s">
        <v>224</v>
      </c>
      <c r="K366" s="139">
        <v>3</v>
      </c>
      <c r="L366" s="140" t="s">
        <v>33</v>
      </c>
      <c r="M366" s="140" t="s">
        <v>104</v>
      </c>
      <c r="N366" s="74" t="s">
        <v>46</v>
      </c>
      <c r="O366" s="74" t="s">
        <v>108</v>
      </c>
      <c r="P366" s="74" t="s">
        <v>47</v>
      </c>
      <c r="Q366" s="140" t="s">
        <v>54</v>
      </c>
    </row>
    <row r="367" spans="9:17" x14ac:dyDescent="0.35">
      <c r="I367" s="178" t="s">
        <v>257</v>
      </c>
      <c r="J367" s="178" t="s">
        <v>224</v>
      </c>
      <c r="K367" s="139">
        <v>3</v>
      </c>
      <c r="L367" s="140" t="s">
        <v>33</v>
      </c>
      <c r="M367" s="140" t="s">
        <v>104</v>
      </c>
      <c r="N367" s="84" t="s">
        <v>48</v>
      </c>
      <c r="O367" s="74" t="s">
        <v>108</v>
      </c>
      <c r="P367" s="84" t="s">
        <v>43</v>
      </c>
      <c r="Q367" s="140" t="s">
        <v>54</v>
      </c>
    </row>
    <row r="368" spans="9:17" x14ac:dyDescent="0.35">
      <c r="I368" s="178" t="s">
        <v>257</v>
      </c>
      <c r="J368" s="178" t="s">
        <v>58</v>
      </c>
      <c r="K368" s="139">
        <v>1.5</v>
      </c>
      <c r="L368" s="140" t="s">
        <v>260</v>
      </c>
      <c r="M368" s="140" t="s">
        <v>42</v>
      </c>
      <c r="N368" s="74" t="s">
        <v>35</v>
      </c>
      <c r="O368" s="74" t="s">
        <v>61</v>
      </c>
      <c r="P368" s="74" t="s">
        <v>262</v>
      </c>
      <c r="Q368" s="140" t="s">
        <v>54</v>
      </c>
    </row>
    <row r="369" spans="9:17" x14ac:dyDescent="0.35">
      <c r="I369" s="178" t="s">
        <v>257</v>
      </c>
      <c r="J369" s="178" t="s">
        <v>58</v>
      </c>
      <c r="K369" s="139">
        <v>1.5</v>
      </c>
      <c r="L369" s="140" t="s">
        <v>260</v>
      </c>
      <c r="M369" s="140" t="s">
        <v>42</v>
      </c>
      <c r="N369" s="74" t="s">
        <v>39</v>
      </c>
      <c r="O369" s="74" t="s">
        <v>56</v>
      </c>
      <c r="P369" s="74" t="s">
        <v>263</v>
      </c>
      <c r="Q369" s="140" t="s">
        <v>54</v>
      </c>
    </row>
    <row r="370" spans="9:17" x14ac:dyDescent="0.35">
      <c r="I370" s="178" t="s">
        <v>257</v>
      </c>
      <c r="J370" s="178" t="s">
        <v>50</v>
      </c>
      <c r="K370" s="139">
        <v>1.5</v>
      </c>
      <c r="L370" s="140" t="s">
        <v>260</v>
      </c>
      <c r="M370" s="140" t="s">
        <v>45</v>
      </c>
      <c r="N370" s="74" t="s">
        <v>46</v>
      </c>
      <c r="O370" s="74" t="s">
        <v>59</v>
      </c>
      <c r="P370" s="74" t="s">
        <v>264</v>
      </c>
      <c r="Q370" s="140" t="s">
        <v>54</v>
      </c>
    </row>
    <row r="371" spans="9:17" x14ac:dyDescent="0.35">
      <c r="I371" s="178" t="s">
        <v>257</v>
      </c>
      <c r="J371" s="178" t="s">
        <v>50</v>
      </c>
      <c r="K371" s="139">
        <v>1.5</v>
      </c>
      <c r="L371" s="140" t="s">
        <v>260</v>
      </c>
      <c r="M371" s="140" t="s">
        <v>45</v>
      </c>
      <c r="N371" s="74" t="s">
        <v>48</v>
      </c>
      <c r="O371" s="74" t="s">
        <v>123</v>
      </c>
      <c r="P371" s="74" t="s">
        <v>265</v>
      </c>
      <c r="Q371" s="140" t="s">
        <v>54</v>
      </c>
    </row>
    <row r="372" spans="9:17" x14ac:dyDescent="0.35">
      <c r="I372" s="178" t="s">
        <v>257</v>
      </c>
      <c r="J372" s="178" t="s">
        <v>161</v>
      </c>
      <c r="K372" s="139">
        <v>2</v>
      </c>
      <c r="L372" s="140" t="s">
        <v>75</v>
      </c>
      <c r="M372" s="140" t="s">
        <v>266</v>
      </c>
      <c r="N372" s="74" t="s">
        <v>35</v>
      </c>
      <c r="O372" s="74" t="s">
        <v>52</v>
      </c>
      <c r="P372" s="74" t="s">
        <v>267</v>
      </c>
      <c r="Q372" s="140" t="s">
        <v>38</v>
      </c>
    </row>
    <row r="373" spans="9:17" x14ac:dyDescent="0.35">
      <c r="I373" s="178" t="s">
        <v>257</v>
      </c>
      <c r="J373" s="178" t="s">
        <v>161</v>
      </c>
      <c r="K373" s="139">
        <v>2</v>
      </c>
      <c r="L373" s="140" t="s">
        <v>75</v>
      </c>
      <c r="M373" s="140" t="s">
        <v>266</v>
      </c>
      <c r="N373" s="74" t="s">
        <v>48</v>
      </c>
      <c r="O373" s="74" t="s">
        <v>131</v>
      </c>
      <c r="P373" s="74" t="s">
        <v>267</v>
      </c>
      <c r="Q373" s="140" t="s">
        <v>38</v>
      </c>
    </row>
    <row r="374" spans="9:17" x14ac:dyDescent="0.35">
      <c r="I374" s="178" t="s">
        <v>257</v>
      </c>
      <c r="J374" s="183" t="s">
        <v>191</v>
      </c>
      <c r="K374" s="81">
        <v>3</v>
      </c>
      <c r="L374" s="140" t="s">
        <v>75</v>
      </c>
      <c r="M374" s="74" t="s">
        <v>268</v>
      </c>
      <c r="N374" s="74" t="s">
        <v>55</v>
      </c>
      <c r="O374" s="74" t="s">
        <v>82</v>
      </c>
      <c r="P374" s="74" t="s">
        <v>149</v>
      </c>
      <c r="Q374" s="85" t="s">
        <v>93</v>
      </c>
    </row>
    <row r="375" spans="9:17" ht="14.5" customHeight="1" x14ac:dyDescent="0.35">
      <c r="I375" s="181" t="s">
        <v>489</v>
      </c>
      <c r="J375" s="178" t="s">
        <v>122</v>
      </c>
      <c r="K375" s="139">
        <v>2</v>
      </c>
      <c r="L375" s="140" t="s">
        <v>75</v>
      </c>
      <c r="M375" s="140" t="s">
        <v>270</v>
      </c>
      <c r="N375" s="74" t="s">
        <v>46</v>
      </c>
      <c r="O375" s="74" t="s">
        <v>59</v>
      </c>
      <c r="P375" s="74" t="s">
        <v>206</v>
      </c>
      <c r="Q375" s="140" t="s">
        <v>54</v>
      </c>
    </row>
    <row r="376" spans="9:17" x14ac:dyDescent="0.35">
      <c r="I376" s="181" t="s">
        <v>489</v>
      </c>
      <c r="J376" s="178" t="s">
        <v>122</v>
      </c>
      <c r="K376" s="139">
        <v>2</v>
      </c>
      <c r="L376" s="140" t="s">
        <v>75</v>
      </c>
      <c r="M376" s="140" t="s">
        <v>270</v>
      </c>
      <c r="N376" s="74" t="s">
        <v>48</v>
      </c>
      <c r="O376" s="74" t="s">
        <v>52</v>
      </c>
      <c r="P376" s="74" t="s">
        <v>78</v>
      </c>
      <c r="Q376" s="140" t="s">
        <v>54</v>
      </c>
    </row>
    <row r="377" spans="9:17" x14ac:dyDescent="0.35">
      <c r="I377" s="181" t="s">
        <v>489</v>
      </c>
      <c r="J377" s="178" t="s">
        <v>122</v>
      </c>
      <c r="K377" s="139">
        <v>2</v>
      </c>
      <c r="L377" s="140" t="s">
        <v>75</v>
      </c>
      <c r="M377" s="140" t="s">
        <v>272</v>
      </c>
      <c r="N377" s="74" t="s">
        <v>46</v>
      </c>
      <c r="O377" s="74" t="s">
        <v>59</v>
      </c>
      <c r="P377" s="74" t="s">
        <v>133</v>
      </c>
      <c r="Q377" s="140" t="s">
        <v>38</v>
      </c>
    </row>
    <row r="378" spans="9:17" x14ac:dyDescent="0.35">
      <c r="I378" s="181" t="s">
        <v>489</v>
      </c>
      <c r="J378" s="178" t="s">
        <v>122</v>
      </c>
      <c r="K378" s="139">
        <v>2</v>
      </c>
      <c r="L378" s="140" t="s">
        <v>75</v>
      </c>
      <c r="M378" s="140" t="s">
        <v>272</v>
      </c>
      <c r="N378" s="74" t="s">
        <v>55</v>
      </c>
      <c r="O378" s="74" t="s">
        <v>52</v>
      </c>
      <c r="P378" s="74" t="s">
        <v>78</v>
      </c>
      <c r="Q378" s="140" t="s">
        <v>38</v>
      </c>
    </row>
    <row r="379" spans="9:17" x14ac:dyDescent="0.35">
      <c r="I379" s="181" t="s">
        <v>489</v>
      </c>
      <c r="J379" s="178" t="s">
        <v>187</v>
      </c>
      <c r="K379" s="139">
        <v>3</v>
      </c>
      <c r="L379" s="140" t="s">
        <v>75</v>
      </c>
      <c r="M379" s="140" t="s">
        <v>76</v>
      </c>
      <c r="N379" s="74" t="s">
        <v>46</v>
      </c>
      <c r="O379" s="74" t="s">
        <v>511</v>
      </c>
      <c r="P379" s="74" t="s">
        <v>71</v>
      </c>
      <c r="Q379" s="140" t="s">
        <v>54</v>
      </c>
    </row>
    <row r="380" spans="9:17" x14ac:dyDescent="0.35">
      <c r="I380" s="181" t="s">
        <v>489</v>
      </c>
      <c r="J380" s="178" t="s">
        <v>187</v>
      </c>
      <c r="K380" s="139">
        <v>3</v>
      </c>
      <c r="L380" s="140" t="s">
        <v>75</v>
      </c>
      <c r="M380" s="140" t="s">
        <v>76</v>
      </c>
      <c r="N380" s="74" t="s">
        <v>48</v>
      </c>
      <c r="O380" s="74" t="s">
        <v>44</v>
      </c>
      <c r="P380" s="74" t="s">
        <v>169</v>
      </c>
      <c r="Q380" s="140" t="s">
        <v>54</v>
      </c>
    </row>
    <row r="381" spans="9:17" x14ac:dyDescent="0.35">
      <c r="I381" s="181" t="s">
        <v>489</v>
      </c>
      <c r="J381" s="178" t="s">
        <v>187</v>
      </c>
      <c r="K381" s="139">
        <v>3</v>
      </c>
      <c r="L381" s="140" t="s">
        <v>75</v>
      </c>
      <c r="M381" s="140" t="s">
        <v>79</v>
      </c>
      <c r="N381" s="74" t="s">
        <v>35</v>
      </c>
      <c r="O381" s="74" t="s">
        <v>91</v>
      </c>
      <c r="P381" s="74" t="s">
        <v>174</v>
      </c>
      <c r="Q381" s="140" t="s">
        <v>54</v>
      </c>
    </row>
    <row r="382" spans="9:17" x14ac:dyDescent="0.35">
      <c r="I382" s="181" t="s">
        <v>489</v>
      </c>
      <c r="J382" s="178" t="s">
        <v>187</v>
      </c>
      <c r="K382" s="139">
        <v>3</v>
      </c>
      <c r="L382" s="140" t="s">
        <v>75</v>
      </c>
      <c r="M382" s="140" t="s">
        <v>79</v>
      </c>
      <c r="N382" s="74" t="s">
        <v>55</v>
      </c>
      <c r="O382" s="74" t="s">
        <v>511</v>
      </c>
      <c r="P382" s="74" t="s">
        <v>149</v>
      </c>
      <c r="Q382" s="140" t="s">
        <v>54</v>
      </c>
    </row>
    <row r="383" spans="9:17" x14ac:dyDescent="0.35">
      <c r="I383" s="181" t="s">
        <v>489</v>
      </c>
      <c r="J383" s="178" t="s">
        <v>187</v>
      </c>
      <c r="K383" s="139">
        <v>1.5</v>
      </c>
      <c r="L383" s="140" t="s">
        <v>75</v>
      </c>
      <c r="M383" s="140" t="s">
        <v>97</v>
      </c>
      <c r="N383" s="74" t="s">
        <v>35</v>
      </c>
      <c r="O383" s="74" t="s">
        <v>511</v>
      </c>
      <c r="P383" s="74" t="s">
        <v>159</v>
      </c>
      <c r="Q383" s="140" t="s">
        <v>54</v>
      </c>
    </row>
    <row r="384" spans="9:17" x14ac:dyDescent="0.35">
      <c r="I384" s="181" t="s">
        <v>489</v>
      </c>
      <c r="J384" s="178" t="s">
        <v>187</v>
      </c>
      <c r="K384" s="139">
        <v>1.5</v>
      </c>
      <c r="L384" s="140" t="s">
        <v>75</v>
      </c>
      <c r="M384" s="140" t="s">
        <v>97</v>
      </c>
      <c r="N384" s="74" t="s">
        <v>39</v>
      </c>
      <c r="O384" s="74" t="s">
        <v>511</v>
      </c>
      <c r="P384" s="74" t="s">
        <v>208</v>
      </c>
      <c r="Q384" s="140" t="s">
        <v>54</v>
      </c>
    </row>
    <row r="385" spans="9:17" x14ac:dyDescent="0.35">
      <c r="I385" s="181" t="s">
        <v>489</v>
      </c>
      <c r="J385" s="183" t="s">
        <v>191</v>
      </c>
      <c r="K385" s="81">
        <v>3</v>
      </c>
      <c r="L385" s="140" t="s">
        <v>75</v>
      </c>
      <c r="M385" s="74" t="s">
        <v>273</v>
      </c>
      <c r="N385" s="74" t="s">
        <v>55</v>
      </c>
      <c r="O385" s="74" t="s">
        <v>82</v>
      </c>
      <c r="P385" s="75" t="s">
        <v>152</v>
      </c>
      <c r="Q385" s="85" t="s">
        <v>93</v>
      </c>
    </row>
    <row r="386" spans="9:17" x14ac:dyDescent="0.35">
      <c r="I386" s="181" t="s">
        <v>489</v>
      </c>
      <c r="J386" s="183" t="s">
        <v>89</v>
      </c>
      <c r="K386" s="81">
        <v>3</v>
      </c>
      <c r="L386" s="140" t="s">
        <v>75</v>
      </c>
      <c r="M386" s="74" t="s">
        <v>173</v>
      </c>
      <c r="N386" s="74" t="s">
        <v>35</v>
      </c>
      <c r="O386" s="74" t="s">
        <v>91</v>
      </c>
      <c r="P386" s="74" t="s">
        <v>190</v>
      </c>
      <c r="Q386" s="85" t="s">
        <v>93</v>
      </c>
    </row>
    <row r="387" spans="9:17" ht="14.5" customHeight="1" x14ac:dyDescent="0.35">
      <c r="I387" s="181" t="s">
        <v>490</v>
      </c>
      <c r="J387" s="178" t="s">
        <v>187</v>
      </c>
      <c r="K387" s="139">
        <v>3</v>
      </c>
      <c r="L387" s="140" t="s">
        <v>106</v>
      </c>
      <c r="M387" s="140" t="s">
        <v>64</v>
      </c>
      <c r="N387" s="74" t="s">
        <v>48</v>
      </c>
      <c r="O387" s="74" t="s">
        <v>511</v>
      </c>
      <c r="P387" s="74" t="s">
        <v>107</v>
      </c>
      <c r="Q387" s="140" t="s">
        <v>54</v>
      </c>
    </row>
    <row r="388" spans="9:17" x14ac:dyDescent="0.35">
      <c r="I388" s="181" t="s">
        <v>490</v>
      </c>
      <c r="J388" s="178" t="s">
        <v>187</v>
      </c>
      <c r="K388" s="139">
        <v>3</v>
      </c>
      <c r="L388" s="140" t="s">
        <v>106</v>
      </c>
      <c r="M388" s="140" t="s">
        <v>64</v>
      </c>
      <c r="N388" s="74" t="s">
        <v>55</v>
      </c>
      <c r="O388" s="74" t="s">
        <v>44</v>
      </c>
      <c r="P388" s="74" t="s">
        <v>107</v>
      </c>
      <c r="Q388" s="140" t="s">
        <v>54</v>
      </c>
    </row>
    <row r="389" spans="9:17" ht="14.5" customHeight="1" x14ac:dyDescent="0.35">
      <c r="I389" s="181" t="s">
        <v>490</v>
      </c>
      <c r="J389" s="178" t="s">
        <v>275</v>
      </c>
      <c r="K389" s="139">
        <v>2</v>
      </c>
      <c r="L389" s="140" t="s">
        <v>106</v>
      </c>
      <c r="M389" s="140" t="s">
        <v>136</v>
      </c>
      <c r="N389" s="74" t="s">
        <v>35</v>
      </c>
      <c r="O389" s="74" t="s">
        <v>59</v>
      </c>
      <c r="P389" s="74" t="s">
        <v>197</v>
      </c>
      <c r="Q389" s="140" t="s">
        <v>38</v>
      </c>
    </row>
    <row r="390" spans="9:17" ht="28" x14ac:dyDescent="0.35">
      <c r="I390" s="181" t="s">
        <v>490</v>
      </c>
      <c r="J390" s="178" t="s">
        <v>275</v>
      </c>
      <c r="K390" s="139">
        <v>2</v>
      </c>
      <c r="L390" s="140" t="s">
        <v>106</v>
      </c>
      <c r="M390" s="140" t="s">
        <v>136</v>
      </c>
      <c r="N390" s="74" t="s">
        <v>39</v>
      </c>
      <c r="O390" s="74" t="s">
        <v>59</v>
      </c>
      <c r="P390" s="74" t="s">
        <v>197</v>
      </c>
      <c r="Q390" s="140" t="s">
        <v>38</v>
      </c>
    </row>
    <row r="391" spans="9:17" ht="14.5" customHeight="1" x14ac:dyDescent="0.35">
      <c r="I391" s="181" t="s">
        <v>490</v>
      </c>
      <c r="J391" s="178" t="s">
        <v>276</v>
      </c>
      <c r="K391" s="139">
        <v>2</v>
      </c>
      <c r="L391" s="140" t="s">
        <v>51</v>
      </c>
      <c r="M391" s="140" t="s">
        <v>42</v>
      </c>
      <c r="N391" s="74" t="s">
        <v>35</v>
      </c>
      <c r="O391" s="74" t="s">
        <v>123</v>
      </c>
      <c r="P391" s="74" t="s">
        <v>143</v>
      </c>
      <c r="Q391" s="140" t="s">
        <v>38</v>
      </c>
    </row>
    <row r="392" spans="9:17" ht="28" x14ac:dyDescent="0.35">
      <c r="I392" s="181" t="s">
        <v>490</v>
      </c>
      <c r="J392" s="178" t="s">
        <v>276</v>
      </c>
      <c r="K392" s="139">
        <v>2</v>
      </c>
      <c r="L392" s="140" t="s">
        <v>51</v>
      </c>
      <c r="M392" s="140" t="s">
        <v>42</v>
      </c>
      <c r="N392" s="74" t="s">
        <v>48</v>
      </c>
      <c r="O392" s="74" t="s">
        <v>59</v>
      </c>
      <c r="P392" s="74" t="s">
        <v>57</v>
      </c>
      <c r="Q392" s="140" t="s">
        <v>38</v>
      </c>
    </row>
    <row r="393" spans="9:17" ht="14.5" customHeight="1" x14ac:dyDescent="0.35">
      <c r="I393" s="181" t="s">
        <v>490</v>
      </c>
      <c r="J393" s="178" t="s">
        <v>276</v>
      </c>
      <c r="K393" s="139">
        <v>2</v>
      </c>
      <c r="L393" s="140" t="s">
        <v>51</v>
      </c>
      <c r="M393" s="140" t="s">
        <v>45</v>
      </c>
      <c r="N393" s="74" t="s">
        <v>46</v>
      </c>
      <c r="O393" s="74" t="s">
        <v>123</v>
      </c>
      <c r="P393" s="74" t="s">
        <v>155</v>
      </c>
      <c r="Q393" s="140" t="s">
        <v>54</v>
      </c>
    </row>
    <row r="394" spans="9:17" ht="28" x14ac:dyDescent="0.35">
      <c r="I394" s="181" t="s">
        <v>490</v>
      </c>
      <c r="J394" s="178" t="s">
        <v>276</v>
      </c>
      <c r="K394" s="139">
        <v>2</v>
      </c>
      <c r="L394" s="140" t="s">
        <v>51</v>
      </c>
      <c r="M394" s="140" t="s">
        <v>45</v>
      </c>
      <c r="N394" s="74" t="s">
        <v>55</v>
      </c>
      <c r="O394" s="74" t="s">
        <v>56</v>
      </c>
      <c r="P394" s="74" t="s">
        <v>111</v>
      </c>
      <c r="Q394" s="140" t="s">
        <v>54</v>
      </c>
    </row>
    <row r="395" spans="9:17" ht="14.5" customHeight="1" x14ac:dyDescent="0.35">
      <c r="I395" s="181" t="s">
        <v>490</v>
      </c>
      <c r="J395" s="178" t="s">
        <v>278</v>
      </c>
      <c r="K395" s="139">
        <v>1</v>
      </c>
      <c r="L395" s="140" t="s">
        <v>63</v>
      </c>
      <c r="M395" s="140" t="s">
        <v>34</v>
      </c>
      <c r="N395" s="74" t="s">
        <v>35</v>
      </c>
      <c r="O395" s="74" t="s">
        <v>56</v>
      </c>
      <c r="P395" s="74" t="s">
        <v>155</v>
      </c>
      <c r="Q395" s="140" t="s">
        <v>54</v>
      </c>
    </row>
    <row r="396" spans="9:17" ht="28" x14ac:dyDescent="0.35">
      <c r="I396" s="181" t="s">
        <v>490</v>
      </c>
      <c r="J396" s="178" t="s">
        <v>278</v>
      </c>
      <c r="K396" s="139">
        <v>1</v>
      </c>
      <c r="L396" s="140" t="s">
        <v>63</v>
      </c>
      <c r="M396" s="140" t="s">
        <v>34</v>
      </c>
      <c r="N396" s="74" t="s">
        <v>46</v>
      </c>
      <c r="O396" s="74" t="s">
        <v>56</v>
      </c>
      <c r="P396" s="74" t="s">
        <v>155</v>
      </c>
      <c r="Q396" s="140" t="s">
        <v>54</v>
      </c>
    </row>
    <row r="397" spans="9:17" ht="14.5" customHeight="1" x14ac:dyDescent="0.35">
      <c r="I397" s="181" t="s">
        <v>490</v>
      </c>
      <c r="J397" s="178" t="s">
        <v>279</v>
      </c>
      <c r="K397" s="139">
        <v>1.5</v>
      </c>
      <c r="L397" s="140" t="s">
        <v>68</v>
      </c>
      <c r="M397" s="140" t="s">
        <v>64</v>
      </c>
      <c r="N397" s="74" t="s">
        <v>46</v>
      </c>
      <c r="O397" s="76" t="s">
        <v>108</v>
      </c>
      <c r="P397" s="76" t="s">
        <v>149</v>
      </c>
      <c r="Q397" s="140" t="s">
        <v>38</v>
      </c>
    </row>
    <row r="398" spans="9:17" ht="28" x14ac:dyDescent="0.35">
      <c r="I398" s="181" t="s">
        <v>490</v>
      </c>
      <c r="J398" s="178" t="s">
        <v>279</v>
      </c>
      <c r="K398" s="139">
        <v>1.5</v>
      </c>
      <c r="L398" s="140" t="s">
        <v>68</v>
      </c>
      <c r="M398" s="140" t="s">
        <v>64</v>
      </c>
      <c r="N398" s="74" t="s">
        <v>48</v>
      </c>
      <c r="O398" s="76" t="s">
        <v>108</v>
      </c>
      <c r="P398" s="76" t="s">
        <v>149</v>
      </c>
      <c r="Q398" s="140" t="s">
        <v>38</v>
      </c>
    </row>
    <row r="399" spans="9:17" ht="14.5" customHeight="1" x14ac:dyDescent="0.35">
      <c r="I399" s="178" t="s">
        <v>280</v>
      </c>
      <c r="J399" s="178" t="s">
        <v>281</v>
      </c>
      <c r="K399" s="139">
        <v>3</v>
      </c>
      <c r="L399" s="140" t="s">
        <v>33</v>
      </c>
      <c r="M399" s="140" t="s">
        <v>101</v>
      </c>
      <c r="N399" s="74" t="s">
        <v>46</v>
      </c>
      <c r="O399" s="74" t="s">
        <v>40</v>
      </c>
      <c r="P399" s="74" t="s">
        <v>41</v>
      </c>
      <c r="Q399" s="140" t="s">
        <v>54</v>
      </c>
    </row>
    <row r="400" spans="9:17" x14ac:dyDescent="0.35">
      <c r="I400" s="178" t="s">
        <v>280</v>
      </c>
      <c r="J400" s="178" t="s">
        <v>281</v>
      </c>
      <c r="K400" s="139">
        <v>3</v>
      </c>
      <c r="L400" s="140" t="s">
        <v>33</v>
      </c>
      <c r="M400" s="140" t="s">
        <v>101</v>
      </c>
      <c r="N400" s="74" t="s">
        <v>48</v>
      </c>
      <c r="O400" s="74" t="s">
        <v>40</v>
      </c>
      <c r="P400" s="74" t="s">
        <v>41</v>
      </c>
      <c r="Q400" s="140" t="s">
        <v>54</v>
      </c>
    </row>
    <row r="401" spans="9:17" x14ac:dyDescent="0.35">
      <c r="I401" s="178" t="s">
        <v>280</v>
      </c>
      <c r="J401" s="178" t="s">
        <v>281</v>
      </c>
      <c r="K401" s="139">
        <v>3</v>
      </c>
      <c r="L401" s="140" t="s">
        <v>33</v>
      </c>
      <c r="M401" s="140" t="s">
        <v>64</v>
      </c>
      <c r="N401" s="74" t="s">
        <v>39</v>
      </c>
      <c r="O401" s="74" t="s">
        <v>511</v>
      </c>
      <c r="P401" s="74" t="s">
        <v>41</v>
      </c>
      <c r="Q401" s="140" t="s">
        <v>54</v>
      </c>
    </row>
    <row r="402" spans="9:17" x14ac:dyDescent="0.35">
      <c r="I402" s="178" t="s">
        <v>280</v>
      </c>
      <c r="J402" s="178" t="s">
        <v>281</v>
      </c>
      <c r="K402" s="139">
        <v>3</v>
      </c>
      <c r="L402" s="140" t="s">
        <v>33</v>
      </c>
      <c r="M402" s="140" t="s">
        <v>64</v>
      </c>
      <c r="N402" s="74" t="s">
        <v>55</v>
      </c>
      <c r="O402" s="74" t="s">
        <v>511</v>
      </c>
      <c r="P402" s="74" t="s">
        <v>41</v>
      </c>
      <c r="Q402" s="140" t="s">
        <v>54</v>
      </c>
    </row>
    <row r="403" spans="9:17" ht="14.5" customHeight="1" x14ac:dyDescent="0.35">
      <c r="I403" s="178" t="s">
        <v>280</v>
      </c>
      <c r="J403" s="178" t="s">
        <v>99</v>
      </c>
      <c r="K403" s="139">
        <v>3</v>
      </c>
      <c r="L403" s="140" t="s">
        <v>33</v>
      </c>
      <c r="M403" s="140" t="s">
        <v>136</v>
      </c>
      <c r="N403" s="74" t="s">
        <v>35</v>
      </c>
      <c r="O403" s="74" t="s">
        <v>511</v>
      </c>
      <c r="P403" s="74" t="s">
        <v>41</v>
      </c>
      <c r="Q403" s="140" t="s">
        <v>38</v>
      </c>
    </row>
    <row r="404" spans="9:17" ht="28" x14ac:dyDescent="0.35">
      <c r="I404" s="178" t="s">
        <v>280</v>
      </c>
      <c r="J404" s="178" t="s">
        <v>99</v>
      </c>
      <c r="K404" s="139">
        <v>3</v>
      </c>
      <c r="L404" s="140" t="s">
        <v>33</v>
      </c>
      <c r="M404" s="140" t="s">
        <v>136</v>
      </c>
      <c r="N404" s="74" t="s">
        <v>39</v>
      </c>
      <c r="O404" s="74" t="s">
        <v>511</v>
      </c>
      <c r="P404" s="74" t="s">
        <v>41</v>
      </c>
      <c r="Q404" s="140" t="s">
        <v>38</v>
      </c>
    </row>
    <row r="405" spans="9:17" x14ac:dyDescent="0.35">
      <c r="I405" s="178" t="s">
        <v>280</v>
      </c>
      <c r="J405" s="178" t="s">
        <v>282</v>
      </c>
      <c r="K405" s="139">
        <v>2</v>
      </c>
      <c r="L405" s="140" t="s">
        <v>33</v>
      </c>
      <c r="M405" s="140" t="s">
        <v>34</v>
      </c>
      <c r="N405" s="74" t="s">
        <v>35</v>
      </c>
      <c r="O405" s="74" t="s">
        <v>40</v>
      </c>
      <c r="P405" s="74" t="s">
        <v>47</v>
      </c>
      <c r="Q405" s="140" t="s">
        <v>38</v>
      </c>
    </row>
    <row r="406" spans="9:17" x14ac:dyDescent="0.35">
      <c r="I406" s="178" t="s">
        <v>280</v>
      </c>
      <c r="J406" s="178" t="s">
        <v>282</v>
      </c>
      <c r="K406" s="139">
        <v>2</v>
      </c>
      <c r="L406" s="140" t="s">
        <v>33</v>
      </c>
      <c r="M406" s="140" t="s">
        <v>34</v>
      </c>
      <c r="N406" s="74" t="s">
        <v>39</v>
      </c>
      <c r="O406" s="74" t="s">
        <v>40</v>
      </c>
      <c r="P406" s="74" t="s">
        <v>92</v>
      </c>
      <c r="Q406" s="140" t="s">
        <v>38</v>
      </c>
    </row>
    <row r="407" spans="9:17" x14ac:dyDescent="0.35">
      <c r="I407" s="178" t="s">
        <v>280</v>
      </c>
      <c r="J407" s="178" t="s">
        <v>282</v>
      </c>
      <c r="K407" s="139">
        <v>2</v>
      </c>
      <c r="L407" s="140" t="s">
        <v>33</v>
      </c>
      <c r="M407" s="140" t="s">
        <v>42</v>
      </c>
      <c r="N407" s="74" t="s">
        <v>46</v>
      </c>
      <c r="O407" s="74" t="s">
        <v>511</v>
      </c>
      <c r="P407" s="74" t="s">
        <v>37</v>
      </c>
      <c r="Q407" s="140" t="s">
        <v>38</v>
      </c>
    </row>
    <row r="408" spans="9:17" x14ac:dyDescent="0.35">
      <c r="I408" s="178" t="s">
        <v>280</v>
      </c>
      <c r="J408" s="178" t="s">
        <v>282</v>
      </c>
      <c r="K408" s="139">
        <v>2</v>
      </c>
      <c r="L408" s="140" t="s">
        <v>33</v>
      </c>
      <c r="M408" s="140" t="s">
        <v>42</v>
      </c>
      <c r="N408" s="74" t="s">
        <v>48</v>
      </c>
      <c r="O408" s="74" t="s">
        <v>66</v>
      </c>
      <c r="P408" s="74" t="s">
        <v>37</v>
      </c>
      <c r="Q408" s="140" t="s">
        <v>38</v>
      </c>
    </row>
    <row r="409" spans="9:17" x14ac:dyDescent="0.35">
      <c r="I409" s="178" t="s">
        <v>280</v>
      </c>
      <c r="J409" s="178" t="s">
        <v>282</v>
      </c>
      <c r="K409" s="139">
        <v>2</v>
      </c>
      <c r="L409" s="140" t="s">
        <v>33</v>
      </c>
      <c r="M409" s="140" t="s">
        <v>45</v>
      </c>
      <c r="N409" s="74" t="s">
        <v>46</v>
      </c>
      <c r="O409" s="74" t="s">
        <v>44</v>
      </c>
      <c r="P409" s="74" t="s">
        <v>47</v>
      </c>
      <c r="Q409" s="140" t="s">
        <v>38</v>
      </c>
    </row>
    <row r="410" spans="9:17" x14ac:dyDescent="0.35">
      <c r="I410" s="178" t="s">
        <v>280</v>
      </c>
      <c r="J410" s="178" t="s">
        <v>282</v>
      </c>
      <c r="K410" s="139">
        <v>2</v>
      </c>
      <c r="L410" s="140" t="s">
        <v>33</v>
      </c>
      <c r="M410" s="140" t="s">
        <v>45</v>
      </c>
      <c r="N410" s="74" t="s">
        <v>48</v>
      </c>
      <c r="O410" s="74" t="s">
        <v>44</v>
      </c>
      <c r="P410" s="74" t="s">
        <v>37</v>
      </c>
      <c r="Q410" s="140" t="s">
        <v>38</v>
      </c>
    </row>
    <row r="411" spans="9:17" x14ac:dyDescent="0.35">
      <c r="I411" s="178" t="s">
        <v>280</v>
      </c>
      <c r="J411" s="178" t="s">
        <v>282</v>
      </c>
      <c r="K411" s="139">
        <v>2</v>
      </c>
      <c r="L411" s="140" t="s">
        <v>33</v>
      </c>
      <c r="M411" s="140" t="s">
        <v>49</v>
      </c>
      <c r="N411" s="74" t="s">
        <v>46</v>
      </c>
      <c r="O411" s="74" t="s">
        <v>44</v>
      </c>
      <c r="P411" s="74" t="s">
        <v>37</v>
      </c>
      <c r="Q411" s="140" t="s">
        <v>38</v>
      </c>
    </row>
    <row r="412" spans="9:17" x14ac:dyDescent="0.35">
      <c r="I412" s="178" t="s">
        <v>280</v>
      </c>
      <c r="J412" s="178" t="s">
        <v>282</v>
      </c>
      <c r="K412" s="139">
        <v>2</v>
      </c>
      <c r="L412" s="140" t="s">
        <v>33</v>
      </c>
      <c r="M412" s="140" t="s">
        <v>49</v>
      </c>
      <c r="N412" s="74" t="s">
        <v>55</v>
      </c>
      <c r="O412" s="74" t="s">
        <v>511</v>
      </c>
      <c r="P412" s="74" t="s">
        <v>37</v>
      </c>
      <c r="Q412" s="140" t="s">
        <v>38</v>
      </c>
    </row>
    <row r="413" spans="9:17" ht="14.5" customHeight="1" x14ac:dyDescent="0.35">
      <c r="I413" s="178" t="s">
        <v>492</v>
      </c>
      <c r="J413" s="178" t="s">
        <v>109</v>
      </c>
      <c r="K413" s="139">
        <v>3</v>
      </c>
      <c r="L413" s="140" t="s">
        <v>106</v>
      </c>
      <c r="M413" s="140" t="s">
        <v>42</v>
      </c>
      <c r="N413" s="74" t="s">
        <v>35</v>
      </c>
      <c r="O413" s="74" t="s">
        <v>40</v>
      </c>
      <c r="P413" s="74" t="s">
        <v>92</v>
      </c>
      <c r="Q413" s="140" t="s">
        <v>38</v>
      </c>
    </row>
    <row r="414" spans="9:17" x14ac:dyDescent="0.35">
      <c r="I414" s="178" t="s">
        <v>492</v>
      </c>
      <c r="J414" s="178" t="s">
        <v>109</v>
      </c>
      <c r="K414" s="139">
        <v>3</v>
      </c>
      <c r="L414" s="140" t="s">
        <v>106</v>
      </c>
      <c r="M414" s="140" t="s">
        <v>42</v>
      </c>
      <c r="N414" s="74" t="s">
        <v>46</v>
      </c>
      <c r="O414" s="74" t="s">
        <v>40</v>
      </c>
      <c r="P414" s="74" t="s">
        <v>37</v>
      </c>
      <c r="Q414" s="140" t="s">
        <v>38</v>
      </c>
    </row>
    <row r="415" spans="9:17" x14ac:dyDescent="0.35">
      <c r="I415" s="178" t="s">
        <v>492</v>
      </c>
      <c r="J415" s="178" t="s">
        <v>225</v>
      </c>
      <c r="K415" s="139">
        <v>3</v>
      </c>
      <c r="L415" s="140" t="s">
        <v>51</v>
      </c>
      <c r="M415" s="140" t="s">
        <v>136</v>
      </c>
      <c r="N415" s="74" t="s">
        <v>35</v>
      </c>
      <c r="O415" s="74" t="s">
        <v>44</v>
      </c>
      <c r="P415" s="74" t="s">
        <v>160</v>
      </c>
      <c r="Q415" s="140" t="s">
        <v>38</v>
      </c>
    </row>
    <row r="416" spans="9:17" x14ac:dyDescent="0.35">
      <c r="I416" s="178" t="s">
        <v>492</v>
      </c>
      <c r="J416" s="178" t="s">
        <v>225</v>
      </c>
      <c r="K416" s="139">
        <v>3</v>
      </c>
      <c r="L416" s="140" t="s">
        <v>51</v>
      </c>
      <c r="M416" s="140" t="s">
        <v>136</v>
      </c>
      <c r="N416" s="74" t="s">
        <v>55</v>
      </c>
      <c r="O416" s="74" t="s">
        <v>511</v>
      </c>
      <c r="P416" s="74" t="s">
        <v>160</v>
      </c>
      <c r="Q416" s="140" t="s">
        <v>38</v>
      </c>
    </row>
    <row r="417" spans="9:17" x14ac:dyDescent="0.35">
      <c r="I417" s="178" t="s">
        <v>492</v>
      </c>
      <c r="J417" s="178" t="s">
        <v>109</v>
      </c>
      <c r="K417" s="139">
        <v>3</v>
      </c>
      <c r="L417" s="140" t="s">
        <v>51</v>
      </c>
      <c r="M417" s="140" t="s">
        <v>136</v>
      </c>
      <c r="N417" s="74" t="s">
        <v>35</v>
      </c>
      <c r="O417" s="74" t="s">
        <v>511</v>
      </c>
      <c r="P417" s="74" t="s">
        <v>133</v>
      </c>
      <c r="Q417" s="140" t="s">
        <v>38</v>
      </c>
    </row>
    <row r="418" spans="9:17" x14ac:dyDescent="0.35">
      <c r="I418" s="178" t="s">
        <v>492</v>
      </c>
      <c r="J418" s="178" t="s">
        <v>109</v>
      </c>
      <c r="K418" s="139">
        <v>3</v>
      </c>
      <c r="L418" s="140" t="s">
        <v>51</v>
      </c>
      <c r="M418" s="140" t="s">
        <v>136</v>
      </c>
      <c r="N418" s="84" t="s">
        <v>46</v>
      </c>
      <c r="O418" s="84" t="s">
        <v>511</v>
      </c>
      <c r="P418" s="84" t="s">
        <v>160</v>
      </c>
      <c r="Q418" s="140" t="s">
        <v>38</v>
      </c>
    </row>
    <row r="419" spans="9:17" x14ac:dyDescent="0.35">
      <c r="I419" s="178" t="s">
        <v>492</v>
      </c>
      <c r="J419" s="178" t="s">
        <v>109</v>
      </c>
      <c r="K419" s="139">
        <v>3</v>
      </c>
      <c r="L419" s="140" t="s">
        <v>51</v>
      </c>
      <c r="M419" s="141" t="s">
        <v>45</v>
      </c>
      <c r="N419" s="85" t="s">
        <v>35</v>
      </c>
      <c r="O419" s="85" t="s">
        <v>40</v>
      </c>
      <c r="P419" s="85" t="s">
        <v>65</v>
      </c>
      <c r="Q419" s="141" t="s">
        <v>54</v>
      </c>
    </row>
    <row r="420" spans="9:17" x14ac:dyDescent="0.35">
      <c r="I420" s="178" t="s">
        <v>492</v>
      </c>
      <c r="J420" s="178" t="s">
        <v>109</v>
      </c>
      <c r="K420" s="139">
        <v>3</v>
      </c>
      <c r="L420" s="140" t="s">
        <v>51</v>
      </c>
      <c r="M420" s="141" t="s">
        <v>45</v>
      </c>
      <c r="N420" s="74" t="s">
        <v>55</v>
      </c>
      <c r="O420" s="74" t="s">
        <v>66</v>
      </c>
      <c r="P420" s="74" t="s">
        <v>111</v>
      </c>
      <c r="Q420" s="141" t="s">
        <v>54</v>
      </c>
    </row>
    <row r="421" spans="9:17" ht="14.5" customHeight="1" x14ac:dyDescent="0.35">
      <c r="I421" s="178" t="s">
        <v>493</v>
      </c>
      <c r="J421" s="178" t="s">
        <v>228</v>
      </c>
      <c r="K421" s="139">
        <v>3</v>
      </c>
      <c r="L421" s="140" t="s">
        <v>75</v>
      </c>
      <c r="M421" s="140" t="s">
        <v>104</v>
      </c>
      <c r="N421" s="74" t="s">
        <v>35</v>
      </c>
      <c r="O421" s="74" t="s">
        <v>44</v>
      </c>
      <c r="P421" s="74" t="s">
        <v>152</v>
      </c>
      <c r="Q421" s="140" t="s">
        <v>38</v>
      </c>
    </row>
    <row r="422" spans="9:17" x14ac:dyDescent="0.35">
      <c r="I422" s="178" t="s">
        <v>493</v>
      </c>
      <c r="J422" s="178" t="s">
        <v>228</v>
      </c>
      <c r="K422" s="139">
        <v>3</v>
      </c>
      <c r="L422" s="140" t="s">
        <v>75</v>
      </c>
      <c r="M422" s="140" t="s">
        <v>104</v>
      </c>
      <c r="N422" s="74" t="s">
        <v>55</v>
      </c>
      <c r="O422" s="74" t="s">
        <v>44</v>
      </c>
      <c r="P422" s="74" t="s">
        <v>132</v>
      </c>
      <c r="Q422" s="140" t="s">
        <v>38</v>
      </c>
    </row>
    <row r="423" spans="9:17" ht="14.5" customHeight="1" x14ac:dyDescent="0.35">
      <c r="I423" s="178" t="s">
        <v>493</v>
      </c>
      <c r="J423" s="178" t="s">
        <v>207</v>
      </c>
      <c r="K423" s="139">
        <v>2</v>
      </c>
      <c r="L423" s="140" t="s">
        <v>75</v>
      </c>
      <c r="M423" s="140" t="s">
        <v>247</v>
      </c>
      <c r="N423" s="74" t="s">
        <v>35</v>
      </c>
      <c r="O423" s="74" t="s">
        <v>56</v>
      </c>
      <c r="P423" s="74" t="s">
        <v>78</v>
      </c>
      <c r="Q423" s="140" t="s">
        <v>54</v>
      </c>
    </row>
    <row r="424" spans="9:17" ht="42" x14ac:dyDescent="0.35">
      <c r="I424" s="178" t="s">
        <v>493</v>
      </c>
      <c r="J424" s="178" t="s">
        <v>207</v>
      </c>
      <c r="K424" s="139">
        <v>2</v>
      </c>
      <c r="L424" s="140" t="s">
        <v>75</v>
      </c>
      <c r="M424" s="140" t="s">
        <v>247</v>
      </c>
      <c r="N424" s="74" t="s">
        <v>48</v>
      </c>
      <c r="O424" s="74" t="s">
        <v>52</v>
      </c>
      <c r="P424" s="74" t="s">
        <v>143</v>
      </c>
      <c r="Q424" s="140" t="s">
        <v>54</v>
      </c>
    </row>
    <row r="425" spans="9:17" x14ac:dyDescent="0.35">
      <c r="I425" s="178" t="s">
        <v>493</v>
      </c>
      <c r="J425" s="178" t="s">
        <v>238</v>
      </c>
      <c r="K425" s="139">
        <v>2</v>
      </c>
      <c r="L425" s="140" t="s">
        <v>75</v>
      </c>
      <c r="M425" s="140" t="s">
        <v>97</v>
      </c>
      <c r="N425" s="74" t="s">
        <v>46</v>
      </c>
      <c r="O425" s="74" t="s">
        <v>288</v>
      </c>
      <c r="P425" s="74" t="s">
        <v>152</v>
      </c>
      <c r="Q425" s="140" t="s">
        <v>54</v>
      </c>
    </row>
    <row r="426" spans="9:17" x14ac:dyDescent="0.35">
      <c r="I426" s="178" t="s">
        <v>493</v>
      </c>
      <c r="J426" s="178" t="s">
        <v>238</v>
      </c>
      <c r="K426" s="139">
        <v>2</v>
      </c>
      <c r="L426" s="140" t="s">
        <v>75</v>
      </c>
      <c r="M426" s="140" t="s">
        <v>97</v>
      </c>
      <c r="N426" s="84" t="s">
        <v>55</v>
      </c>
      <c r="O426" s="84" t="s">
        <v>56</v>
      </c>
      <c r="P426" s="84" t="s">
        <v>132</v>
      </c>
      <c r="Q426" s="140" t="s">
        <v>54</v>
      </c>
    </row>
    <row r="427" spans="9:17" x14ac:dyDescent="0.35">
      <c r="I427" s="178" t="s">
        <v>493</v>
      </c>
      <c r="J427" s="178" t="s">
        <v>50</v>
      </c>
      <c r="K427" s="139">
        <v>1.5</v>
      </c>
      <c r="L427" s="140" t="s">
        <v>260</v>
      </c>
      <c r="M427" s="140" t="s">
        <v>289</v>
      </c>
      <c r="N427" s="74" t="s">
        <v>35</v>
      </c>
      <c r="O427" s="74" t="s">
        <v>56</v>
      </c>
      <c r="P427" s="74" t="s">
        <v>290</v>
      </c>
      <c r="Q427" s="140" t="s">
        <v>54</v>
      </c>
    </row>
    <row r="428" spans="9:17" x14ac:dyDescent="0.35">
      <c r="I428" s="178" t="s">
        <v>493</v>
      </c>
      <c r="J428" s="178" t="s">
        <v>50</v>
      </c>
      <c r="K428" s="139">
        <v>1.5</v>
      </c>
      <c r="L428" s="140" t="s">
        <v>260</v>
      </c>
      <c r="M428" s="140" t="s">
        <v>289</v>
      </c>
      <c r="N428" s="74" t="s">
        <v>39</v>
      </c>
      <c r="O428" s="74" t="s">
        <v>56</v>
      </c>
      <c r="P428" s="74" t="s">
        <v>291</v>
      </c>
      <c r="Q428" s="140" t="s">
        <v>54</v>
      </c>
    </row>
    <row r="429" spans="9:17" x14ac:dyDescent="0.35">
      <c r="I429" s="178" t="s">
        <v>493</v>
      </c>
      <c r="J429" s="178" t="s">
        <v>58</v>
      </c>
      <c r="K429" s="139">
        <v>1.5</v>
      </c>
      <c r="L429" s="140" t="s">
        <v>250</v>
      </c>
      <c r="M429" s="140" t="s">
        <v>45</v>
      </c>
      <c r="N429" s="74" t="s">
        <v>46</v>
      </c>
      <c r="O429" s="74" t="s">
        <v>61</v>
      </c>
      <c r="P429" s="74" t="s">
        <v>292</v>
      </c>
      <c r="Q429" s="140" t="s">
        <v>54</v>
      </c>
    </row>
    <row r="430" spans="9:17" x14ac:dyDescent="0.35">
      <c r="I430" s="178" t="s">
        <v>493</v>
      </c>
      <c r="J430" s="178" t="s">
        <v>58</v>
      </c>
      <c r="K430" s="139">
        <v>1.5</v>
      </c>
      <c r="L430" s="140" t="s">
        <v>250</v>
      </c>
      <c r="M430" s="140" t="s">
        <v>45</v>
      </c>
      <c r="N430" s="74" t="s">
        <v>293</v>
      </c>
      <c r="O430" s="74" t="s">
        <v>56</v>
      </c>
      <c r="P430" s="74" t="s">
        <v>292</v>
      </c>
      <c r="Q430" s="140" t="s">
        <v>54</v>
      </c>
    </row>
    <row r="431" spans="9:17" x14ac:dyDescent="0.35">
      <c r="I431" s="178" t="s">
        <v>493</v>
      </c>
      <c r="J431" s="178" t="s">
        <v>50</v>
      </c>
      <c r="K431" s="139">
        <v>1.5</v>
      </c>
      <c r="L431" s="140" t="s">
        <v>294</v>
      </c>
      <c r="M431" s="140" t="s">
        <v>34</v>
      </c>
      <c r="N431" s="74" t="s">
        <v>39</v>
      </c>
      <c r="O431" s="74" t="s">
        <v>44</v>
      </c>
      <c r="P431" s="74" t="s">
        <v>295</v>
      </c>
      <c r="Q431" s="140" t="s">
        <v>54</v>
      </c>
    </row>
    <row r="432" spans="9:17" x14ac:dyDescent="0.35">
      <c r="I432" s="178" t="s">
        <v>493</v>
      </c>
      <c r="J432" s="178" t="s">
        <v>50</v>
      </c>
      <c r="K432" s="139">
        <v>1.5</v>
      </c>
      <c r="L432" s="140" t="s">
        <v>294</v>
      </c>
      <c r="M432" s="140" t="s">
        <v>34</v>
      </c>
      <c r="N432" s="74" t="s">
        <v>55</v>
      </c>
      <c r="O432" s="74" t="s">
        <v>511</v>
      </c>
      <c r="P432" s="74" t="s">
        <v>296</v>
      </c>
      <c r="Q432" s="140" t="s">
        <v>54</v>
      </c>
    </row>
    <row r="433" spans="9:17" x14ac:dyDescent="0.35">
      <c r="I433" s="178" t="s">
        <v>493</v>
      </c>
      <c r="J433" s="178" t="s">
        <v>58</v>
      </c>
      <c r="K433" s="139">
        <v>1.5</v>
      </c>
      <c r="L433" s="140" t="s">
        <v>294</v>
      </c>
      <c r="M433" s="140" t="s">
        <v>49</v>
      </c>
      <c r="N433" s="74" t="s">
        <v>48</v>
      </c>
      <c r="O433" s="74" t="s">
        <v>61</v>
      </c>
      <c r="P433" s="74" t="s">
        <v>60</v>
      </c>
      <c r="Q433" s="140" t="s">
        <v>54</v>
      </c>
    </row>
    <row r="434" spans="9:17" x14ac:dyDescent="0.35">
      <c r="I434" s="178" t="s">
        <v>493</v>
      </c>
      <c r="J434" s="178" t="s">
        <v>58</v>
      </c>
      <c r="K434" s="139">
        <v>1.5</v>
      </c>
      <c r="L434" s="140" t="s">
        <v>294</v>
      </c>
      <c r="M434" s="140" t="s">
        <v>49</v>
      </c>
      <c r="N434" s="74" t="s">
        <v>55</v>
      </c>
      <c r="O434" s="74" t="s">
        <v>61</v>
      </c>
      <c r="P434" s="74" t="s">
        <v>60</v>
      </c>
      <c r="Q434" s="140" t="s">
        <v>54</v>
      </c>
    </row>
    <row r="435" spans="9:17" x14ac:dyDescent="0.35">
      <c r="I435" s="178" t="s">
        <v>493</v>
      </c>
      <c r="J435" s="183" t="s">
        <v>191</v>
      </c>
      <c r="K435" s="81">
        <v>3</v>
      </c>
      <c r="L435" s="74" t="s">
        <v>75</v>
      </c>
      <c r="M435" s="74" t="s">
        <v>297</v>
      </c>
      <c r="N435" s="74" t="s">
        <v>55</v>
      </c>
      <c r="O435" s="74" t="s">
        <v>82</v>
      </c>
      <c r="P435" s="75" t="s">
        <v>159</v>
      </c>
      <c r="Q435" s="85" t="s">
        <v>93</v>
      </c>
    </row>
    <row r="436" spans="9:17" ht="14.5" customHeight="1" x14ac:dyDescent="0.35">
      <c r="I436" s="181" t="s">
        <v>298</v>
      </c>
      <c r="J436" s="178" t="s">
        <v>276</v>
      </c>
      <c r="K436" s="139">
        <v>2</v>
      </c>
      <c r="L436" s="140" t="s">
        <v>158</v>
      </c>
      <c r="M436" s="140" t="s">
        <v>34</v>
      </c>
      <c r="N436" s="74" t="s">
        <v>35</v>
      </c>
      <c r="O436" s="74" t="s">
        <v>123</v>
      </c>
      <c r="P436" s="74" t="s">
        <v>159</v>
      </c>
      <c r="Q436" s="140" t="s">
        <v>38</v>
      </c>
    </row>
    <row r="437" spans="9:17" ht="28" x14ac:dyDescent="0.35">
      <c r="I437" s="181" t="s">
        <v>298</v>
      </c>
      <c r="J437" s="178" t="s">
        <v>276</v>
      </c>
      <c r="K437" s="139">
        <v>2</v>
      </c>
      <c r="L437" s="140" t="s">
        <v>158</v>
      </c>
      <c r="M437" s="140" t="s">
        <v>34</v>
      </c>
      <c r="N437" s="74" t="s">
        <v>48</v>
      </c>
      <c r="O437" s="74" t="s">
        <v>56</v>
      </c>
      <c r="P437" s="74" t="s">
        <v>174</v>
      </c>
      <c r="Q437" s="140" t="s">
        <v>38</v>
      </c>
    </row>
    <row r="438" spans="9:17" ht="14.5" customHeight="1" x14ac:dyDescent="0.35">
      <c r="I438" s="181" t="s">
        <v>298</v>
      </c>
      <c r="J438" s="178" t="s">
        <v>276</v>
      </c>
      <c r="K438" s="139">
        <v>2</v>
      </c>
      <c r="L438" s="140" t="s">
        <v>75</v>
      </c>
      <c r="M438" s="140" t="s">
        <v>34</v>
      </c>
      <c r="N438" s="74" t="s">
        <v>35</v>
      </c>
      <c r="O438" s="74" t="s">
        <v>131</v>
      </c>
      <c r="P438" s="74" t="s">
        <v>174</v>
      </c>
      <c r="Q438" s="140" t="s">
        <v>38</v>
      </c>
    </row>
    <row r="439" spans="9:17" ht="28" x14ac:dyDescent="0.35">
      <c r="I439" s="181" t="s">
        <v>298</v>
      </c>
      <c r="J439" s="178" t="s">
        <v>276</v>
      </c>
      <c r="K439" s="139">
        <v>2</v>
      </c>
      <c r="L439" s="140" t="s">
        <v>75</v>
      </c>
      <c r="M439" s="140" t="s">
        <v>34</v>
      </c>
      <c r="N439" s="74" t="s">
        <v>48</v>
      </c>
      <c r="O439" s="74" t="s">
        <v>123</v>
      </c>
      <c r="P439" s="74" t="s">
        <v>174</v>
      </c>
      <c r="Q439" s="140" t="s">
        <v>38</v>
      </c>
    </row>
    <row r="440" spans="9:17" ht="14.5" customHeight="1" x14ac:dyDescent="0.35">
      <c r="I440" s="181" t="s">
        <v>298</v>
      </c>
      <c r="J440" s="178" t="s">
        <v>276</v>
      </c>
      <c r="K440" s="139">
        <v>2</v>
      </c>
      <c r="L440" s="140" t="s">
        <v>75</v>
      </c>
      <c r="M440" s="140" t="s">
        <v>42</v>
      </c>
      <c r="N440" s="74" t="s">
        <v>35</v>
      </c>
      <c r="O440" s="74" t="s">
        <v>56</v>
      </c>
      <c r="P440" s="74" t="s">
        <v>150</v>
      </c>
      <c r="Q440" s="140" t="s">
        <v>38</v>
      </c>
    </row>
    <row r="441" spans="9:17" ht="28" x14ac:dyDescent="0.35">
      <c r="I441" s="181" t="s">
        <v>298</v>
      </c>
      <c r="J441" s="178" t="s">
        <v>276</v>
      </c>
      <c r="K441" s="139">
        <v>2</v>
      </c>
      <c r="L441" s="140" t="s">
        <v>75</v>
      </c>
      <c r="M441" s="140" t="s">
        <v>42</v>
      </c>
      <c r="N441" s="74" t="s">
        <v>48</v>
      </c>
      <c r="O441" s="74" t="s">
        <v>61</v>
      </c>
      <c r="P441" s="74" t="s">
        <v>208</v>
      </c>
      <c r="Q441" s="140" t="s">
        <v>38</v>
      </c>
    </row>
    <row r="442" spans="9:17" x14ac:dyDescent="0.35">
      <c r="I442" s="181" t="s">
        <v>298</v>
      </c>
      <c r="J442" s="178" t="s">
        <v>58</v>
      </c>
      <c r="K442" s="139">
        <v>1.5</v>
      </c>
      <c r="L442" s="140" t="s">
        <v>250</v>
      </c>
      <c r="M442" s="140" t="s">
        <v>34</v>
      </c>
      <c r="N442" s="74" t="s">
        <v>46</v>
      </c>
      <c r="O442" s="74" t="s">
        <v>61</v>
      </c>
      <c r="P442" s="74" t="s">
        <v>251</v>
      </c>
      <c r="Q442" s="140" t="s">
        <v>54</v>
      </c>
    </row>
    <row r="443" spans="9:17" x14ac:dyDescent="0.35">
      <c r="I443" s="181" t="s">
        <v>298</v>
      </c>
      <c r="J443" s="178" t="s">
        <v>58</v>
      </c>
      <c r="K443" s="139">
        <v>1.5</v>
      </c>
      <c r="L443" s="140" t="s">
        <v>250</v>
      </c>
      <c r="M443" s="140" t="s">
        <v>34</v>
      </c>
      <c r="N443" s="74" t="s">
        <v>293</v>
      </c>
      <c r="O443" s="74" t="s">
        <v>56</v>
      </c>
      <c r="P443" s="74" t="s">
        <v>251</v>
      </c>
      <c r="Q443" s="140" t="s">
        <v>54</v>
      </c>
    </row>
    <row r="444" spans="9:17" x14ac:dyDescent="0.35">
      <c r="I444" s="181" t="s">
        <v>298</v>
      </c>
      <c r="J444" s="178" t="s">
        <v>50</v>
      </c>
      <c r="K444" s="139">
        <v>1.5</v>
      </c>
      <c r="L444" s="140" t="s">
        <v>250</v>
      </c>
      <c r="M444" s="140" t="s">
        <v>42</v>
      </c>
      <c r="N444" s="67" t="s">
        <v>46</v>
      </c>
      <c r="O444" s="74" t="s">
        <v>123</v>
      </c>
      <c r="P444" s="74" t="s">
        <v>252</v>
      </c>
      <c r="Q444" s="140" t="s">
        <v>54</v>
      </c>
    </row>
    <row r="445" spans="9:17" x14ac:dyDescent="0.35">
      <c r="I445" s="181" t="s">
        <v>298</v>
      </c>
      <c r="J445" s="178" t="s">
        <v>50</v>
      </c>
      <c r="K445" s="139">
        <v>1.5</v>
      </c>
      <c r="L445" s="140" t="s">
        <v>250</v>
      </c>
      <c r="M445" s="140" t="s">
        <v>42</v>
      </c>
      <c r="N445" s="74" t="s">
        <v>48</v>
      </c>
      <c r="O445" s="74" t="s">
        <v>59</v>
      </c>
      <c r="P445" s="74" t="s">
        <v>252</v>
      </c>
      <c r="Q445" s="140" t="s">
        <v>54</v>
      </c>
    </row>
    <row r="446" spans="9:17" x14ac:dyDescent="0.35">
      <c r="I446" s="181" t="s">
        <v>298</v>
      </c>
      <c r="J446" s="178" t="s">
        <v>50</v>
      </c>
      <c r="K446" s="139">
        <v>1.5</v>
      </c>
      <c r="L446" s="140" t="s">
        <v>454</v>
      </c>
      <c r="M446" s="140" t="s">
        <v>34</v>
      </c>
      <c r="N446" s="74" t="s">
        <v>35</v>
      </c>
      <c r="O446" s="74" t="s">
        <v>59</v>
      </c>
      <c r="P446" s="74" t="s">
        <v>252</v>
      </c>
      <c r="Q446" s="140" t="s">
        <v>54</v>
      </c>
    </row>
    <row r="447" spans="9:17" x14ac:dyDescent="0.35">
      <c r="I447" s="181" t="s">
        <v>298</v>
      </c>
      <c r="J447" s="178" t="s">
        <v>50</v>
      </c>
      <c r="K447" s="139">
        <v>1.5</v>
      </c>
      <c r="L447" s="140" t="s">
        <v>454</v>
      </c>
      <c r="M447" s="140" t="s">
        <v>34</v>
      </c>
      <c r="N447" s="74" t="s">
        <v>39</v>
      </c>
      <c r="O447" s="74" t="s">
        <v>56</v>
      </c>
      <c r="P447" s="74" t="s">
        <v>252</v>
      </c>
      <c r="Q447" s="140" t="s">
        <v>54</v>
      </c>
    </row>
    <row r="448" spans="9:17" x14ac:dyDescent="0.35">
      <c r="I448" s="181" t="s">
        <v>298</v>
      </c>
      <c r="J448" s="178" t="s">
        <v>161</v>
      </c>
      <c r="K448" s="139">
        <v>2</v>
      </c>
      <c r="L448" s="140" t="s">
        <v>75</v>
      </c>
      <c r="M448" s="140" t="s">
        <v>300</v>
      </c>
      <c r="N448" s="74" t="s">
        <v>35</v>
      </c>
      <c r="O448" s="74" t="s">
        <v>56</v>
      </c>
      <c r="P448" s="74" t="s">
        <v>165</v>
      </c>
      <c r="Q448" s="140" t="s">
        <v>54</v>
      </c>
    </row>
    <row r="449" spans="9:17" x14ac:dyDescent="0.35">
      <c r="I449" s="181" t="s">
        <v>298</v>
      </c>
      <c r="J449" s="178" t="s">
        <v>161</v>
      </c>
      <c r="K449" s="139">
        <v>2</v>
      </c>
      <c r="L449" s="140" t="s">
        <v>75</v>
      </c>
      <c r="M449" s="140" t="s">
        <v>300</v>
      </c>
      <c r="N449" s="74" t="s">
        <v>48</v>
      </c>
      <c r="O449" s="74" t="s">
        <v>56</v>
      </c>
      <c r="P449" s="74" t="s">
        <v>165</v>
      </c>
      <c r="Q449" s="140" t="s">
        <v>54</v>
      </c>
    </row>
    <row r="450" spans="9:17" x14ac:dyDescent="0.35">
      <c r="I450" s="181" t="s">
        <v>298</v>
      </c>
      <c r="J450" s="183" t="s">
        <v>191</v>
      </c>
      <c r="K450" s="81">
        <v>3</v>
      </c>
      <c r="L450" s="140" t="s">
        <v>75</v>
      </c>
      <c r="M450" s="74" t="s">
        <v>301</v>
      </c>
      <c r="N450" s="74" t="s">
        <v>55</v>
      </c>
      <c r="O450" s="74" t="s">
        <v>82</v>
      </c>
      <c r="P450" s="74" t="s">
        <v>65</v>
      </c>
      <c r="Q450" s="74" t="s">
        <v>93</v>
      </c>
    </row>
    <row r="451" spans="9:17" ht="14.5" customHeight="1" x14ac:dyDescent="0.35">
      <c r="I451" s="193" t="s">
        <v>302</v>
      </c>
      <c r="J451" s="178" t="s">
        <v>122</v>
      </c>
      <c r="K451" s="139">
        <v>2</v>
      </c>
      <c r="L451" s="140" t="s">
        <v>51</v>
      </c>
      <c r="M451" s="140" t="s">
        <v>42</v>
      </c>
      <c r="N451" s="74" t="s">
        <v>46</v>
      </c>
      <c r="O451" s="74" t="s">
        <v>82</v>
      </c>
      <c r="P451" s="74" t="s">
        <v>160</v>
      </c>
      <c r="Q451" s="140" t="s">
        <v>54</v>
      </c>
    </row>
    <row r="452" spans="9:17" x14ac:dyDescent="0.35">
      <c r="I452" s="193" t="s">
        <v>302</v>
      </c>
      <c r="J452" s="178" t="s">
        <v>122</v>
      </c>
      <c r="K452" s="139">
        <v>2</v>
      </c>
      <c r="L452" s="140" t="s">
        <v>51</v>
      </c>
      <c r="M452" s="140" t="s">
        <v>42</v>
      </c>
      <c r="N452" s="74" t="s">
        <v>55</v>
      </c>
      <c r="O452" s="74" t="s">
        <v>56</v>
      </c>
      <c r="P452" s="74" t="s">
        <v>114</v>
      </c>
      <c r="Q452" s="140" t="s">
        <v>54</v>
      </c>
    </row>
    <row r="453" spans="9:17" ht="14.5" customHeight="1" x14ac:dyDescent="0.35">
      <c r="I453" s="193" t="s">
        <v>302</v>
      </c>
      <c r="J453" s="178" t="s">
        <v>303</v>
      </c>
      <c r="K453" s="139">
        <v>1.5</v>
      </c>
      <c r="L453" s="140" t="s">
        <v>51</v>
      </c>
      <c r="M453" s="140" t="s">
        <v>101</v>
      </c>
      <c r="N453" s="74" t="s">
        <v>35</v>
      </c>
      <c r="O453" s="74" t="s">
        <v>108</v>
      </c>
      <c r="P453" s="74" t="s">
        <v>132</v>
      </c>
      <c r="Q453" s="140" t="s">
        <v>54</v>
      </c>
    </row>
    <row r="454" spans="9:17" ht="28" x14ac:dyDescent="0.35">
      <c r="I454" s="193" t="s">
        <v>302</v>
      </c>
      <c r="J454" s="178" t="s">
        <v>303</v>
      </c>
      <c r="K454" s="139">
        <v>1.5</v>
      </c>
      <c r="L454" s="140" t="s">
        <v>51</v>
      </c>
      <c r="M454" s="140" t="s">
        <v>101</v>
      </c>
      <c r="N454" s="74" t="s">
        <v>39</v>
      </c>
      <c r="O454" s="74" t="s">
        <v>108</v>
      </c>
      <c r="P454" s="74" t="s">
        <v>150</v>
      </c>
      <c r="Q454" s="140" t="s">
        <v>54</v>
      </c>
    </row>
    <row r="455" spans="9:17" ht="14.5" customHeight="1" x14ac:dyDescent="0.35">
      <c r="I455" s="193" t="s">
        <v>302</v>
      </c>
      <c r="J455" s="178" t="s">
        <v>303</v>
      </c>
      <c r="K455" s="139">
        <v>1.5</v>
      </c>
      <c r="L455" s="140" t="s">
        <v>51</v>
      </c>
      <c r="M455" s="140" t="s">
        <v>64</v>
      </c>
      <c r="N455" s="74" t="s">
        <v>46</v>
      </c>
      <c r="O455" s="74" t="s">
        <v>40</v>
      </c>
      <c r="P455" s="74" t="s">
        <v>80</v>
      </c>
      <c r="Q455" s="140" t="s">
        <v>54</v>
      </c>
    </row>
    <row r="456" spans="9:17" ht="28" x14ac:dyDescent="0.35">
      <c r="I456" s="193" t="s">
        <v>302</v>
      </c>
      <c r="J456" s="178" t="s">
        <v>303</v>
      </c>
      <c r="K456" s="139">
        <v>1.5</v>
      </c>
      <c r="L456" s="140" t="s">
        <v>51</v>
      </c>
      <c r="M456" s="140" t="s">
        <v>64</v>
      </c>
      <c r="N456" s="74" t="s">
        <v>39</v>
      </c>
      <c r="O456" s="74" t="s">
        <v>91</v>
      </c>
      <c r="P456" s="74" t="s">
        <v>133</v>
      </c>
      <c r="Q456" s="140" t="s">
        <v>54</v>
      </c>
    </row>
    <row r="457" spans="9:17" x14ac:dyDescent="0.35">
      <c r="I457" s="193" t="s">
        <v>302</v>
      </c>
      <c r="J457" s="178" t="s">
        <v>112</v>
      </c>
      <c r="K457" s="139">
        <v>1.5</v>
      </c>
      <c r="L457" s="140" t="s">
        <v>51</v>
      </c>
      <c r="M457" s="140" t="s">
        <v>64</v>
      </c>
      <c r="N457" s="74" t="s">
        <v>35</v>
      </c>
      <c r="O457" s="74" t="s">
        <v>511</v>
      </c>
      <c r="P457" s="74" t="s">
        <v>113</v>
      </c>
      <c r="Q457" s="140" t="s">
        <v>38</v>
      </c>
    </row>
    <row r="458" spans="9:17" x14ac:dyDescent="0.35">
      <c r="I458" s="193" t="s">
        <v>302</v>
      </c>
      <c r="J458" s="178" t="s">
        <v>112</v>
      </c>
      <c r="K458" s="139">
        <v>1.5</v>
      </c>
      <c r="L458" s="140" t="s">
        <v>51</v>
      </c>
      <c r="M458" s="140" t="s">
        <v>64</v>
      </c>
      <c r="N458" s="74" t="s">
        <v>55</v>
      </c>
      <c r="O458" s="74" t="s">
        <v>44</v>
      </c>
      <c r="P458" s="74" t="s">
        <v>80</v>
      </c>
      <c r="Q458" s="140" t="s">
        <v>38</v>
      </c>
    </row>
    <row r="459" spans="9:17" x14ac:dyDescent="0.35">
      <c r="I459" s="193" t="s">
        <v>302</v>
      </c>
      <c r="J459" s="178" t="s">
        <v>112</v>
      </c>
      <c r="K459" s="139">
        <v>1.5</v>
      </c>
      <c r="L459" s="140" t="s">
        <v>51</v>
      </c>
      <c r="M459" s="140" t="s">
        <v>103</v>
      </c>
      <c r="N459" s="74" t="s">
        <v>46</v>
      </c>
      <c r="O459" s="74" t="s">
        <v>44</v>
      </c>
      <c r="P459" s="74" t="s">
        <v>114</v>
      </c>
      <c r="Q459" s="140" t="s">
        <v>54</v>
      </c>
    </row>
    <row r="460" spans="9:17" x14ac:dyDescent="0.35">
      <c r="I460" s="193" t="s">
        <v>302</v>
      </c>
      <c r="J460" s="178" t="s">
        <v>112</v>
      </c>
      <c r="K460" s="139">
        <v>1.5</v>
      </c>
      <c r="L460" s="140" t="s">
        <v>51</v>
      </c>
      <c r="M460" s="140" t="s">
        <v>103</v>
      </c>
      <c r="N460" s="74" t="s">
        <v>55</v>
      </c>
      <c r="O460" s="74" t="s">
        <v>44</v>
      </c>
      <c r="P460" s="74" t="s">
        <v>110</v>
      </c>
      <c r="Q460" s="140" t="s">
        <v>54</v>
      </c>
    </row>
    <row r="461" spans="9:17" x14ac:dyDescent="0.35">
      <c r="I461" s="193" t="s">
        <v>302</v>
      </c>
      <c r="J461" s="178" t="s">
        <v>527</v>
      </c>
      <c r="K461" s="139">
        <v>1.5</v>
      </c>
      <c r="L461" s="140" t="s">
        <v>51</v>
      </c>
      <c r="M461" s="140" t="s">
        <v>90</v>
      </c>
      <c r="N461" s="84" t="s">
        <v>48</v>
      </c>
      <c r="O461" s="74" t="s">
        <v>511</v>
      </c>
      <c r="P461" s="74" t="s">
        <v>57</v>
      </c>
      <c r="Q461" s="140" t="s">
        <v>54</v>
      </c>
    </row>
    <row r="462" spans="9:17" x14ac:dyDescent="0.35">
      <c r="I462" s="193" t="s">
        <v>302</v>
      </c>
      <c r="J462" s="178" t="s">
        <v>527</v>
      </c>
      <c r="K462" s="139">
        <v>1.5</v>
      </c>
      <c r="L462" s="140" t="s">
        <v>51</v>
      </c>
      <c r="M462" s="140" t="s">
        <v>90</v>
      </c>
      <c r="N462" s="84" t="s">
        <v>55</v>
      </c>
      <c r="O462" s="74" t="s">
        <v>304</v>
      </c>
      <c r="P462" s="74" t="s">
        <v>114</v>
      </c>
      <c r="Q462" s="140" t="s">
        <v>54</v>
      </c>
    </row>
    <row r="463" spans="9:17" x14ac:dyDescent="0.35">
      <c r="I463" s="193" t="s">
        <v>302</v>
      </c>
      <c r="J463" s="178" t="s">
        <v>377</v>
      </c>
      <c r="K463" s="139">
        <v>3</v>
      </c>
      <c r="L463" s="140" t="s">
        <v>158</v>
      </c>
      <c r="M463" s="140" t="s">
        <v>101</v>
      </c>
      <c r="N463" s="74" t="s">
        <v>35</v>
      </c>
      <c r="O463" s="74" t="s">
        <v>40</v>
      </c>
      <c r="P463" s="74" t="s">
        <v>206</v>
      </c>
      <c r="Q463" s="140" t="s">
        <v>38</v>
      </c>
    </row>
    <row r="464" spans="9:17" x14ac:dyDescent="0.35">
      <c r="I464" s="193" t="s">
        <v>302</v>
      </c>
      <c r="J464" s="178" t="s">
        <v>377</v>
      </c>
      <c r="K464" s="139">
        <v>3</v>
      </c>
      <c r="L464" s="140" t="s">
        <v>158</v>
      </c>
      <c r="M464" s="140" t="s">
        <v>101</v>
      </c>
      <c r="N464" s="74" t="s">
        <v>55</v>
      </c>
      <c r="O464" s="74" t="s">
        <v>511</v>
      </c>
      <c r="P464" s="74" t="s">
        <v>150</v>
      </c>
      <c r="Q464" s="140" t="s">
        <v>38</v>
      </c>
    </row>
    <row r="465" spans="9:17" ht="14.5" customHeight="1" x14ac:dyDescent="0.35">
      <c r="I465" s="193" t="s">
        <v>302</v>
      </c>
      <c r="J465" s="179" t="s">
        <v>166</v>
      </c>
      <c r="K465" s="142">
        <v>1.5</v>
      </c>
      <c r="L465" s="140" t="s">
        <v>63</v>
      </c>
      <c r="M465" s="141" t="s">
        <v>101</v>
      </c>
      <c r="N465" s="85" t="s">
        <v>35</v>
      </c>
      <c r="O465" s="85" t="s">
        <v>511</v>
      </c>
      <c r="P465" s="85" t="s">
        <v>65</v>
      </c>
      <c r="Q465" s="141" t="s">
        <v>54</v>
      </c>
    </row>
    <row r="466" spans="9:17" ht="28" x14ac:dyDescent="0.35">
      <c r="I466" s="193" t="s">
        <v>302</v>
      </c>
      <c r="J466" s="179" t="s">
        <v>166</v>
      </c>
      <c r="K466" s="142">
        <v>1.5</v>
      </c>
      <c r="L466" s="140" t="s">
        <v>63</v>
      </c>
      <c r="M466" s="141" t="s">
        <v>101</v>
      </c>
      <c r="N466" s="74" t="s">
        <v>46</v>
      </c>
      <c r="O466" s="85" t="s">
        <v>511</v>
      </c>
      <c r="P466" s="85" t="s">
        <v>111</v>
      </c>
      <c r="Q466" s="141" t="s">
        <v>54</v>
      </c>
    </row>
    <row r="467" spans="9:17" ht="14.5" customHeight="1" x14ac:dyDescent="0.35">
      <c r="I467" s="193" t="s">
        <v>302</v>
      </c>
      <c r="J467" s="178" t="s">
        <v>233</v>
      </c>
      <c r="K467" s="139">
        <v>1.5</v>
      </c>
      <c r="L467" s="140" t="s">
        <v>68</v>
      </c>
      <c r="M467" s="140" t="s">
        <v>64</v>
      </c>
      <c r="N467" s="74" t="s">
        <v>46</v>
      </c>
      <c r="O467" s="76" t="s">
        <v>44</v>
      </c>
      <c r="P467" s="74" t="s">
        <v>149</v>
      </c>
      <c r="Q467" s="140" t="s">
        <v>38</v>
      </c>
    </row>
    <row r="468" spans="9:17" ht="42" x14ac:dyDescent="0.35">
      <c r="I468" s="193" t="s">
        <v>302</v>
      </c>
      <c r="J468" s="178" t="s">
        <v>233</v>
      </c>
      <c r="K468" s="139">
        <v>1.5</v>
      </c>
      <c r="L468" s="140" t="s">
        <v>68</v>
      </c>
      <c r="M468" s="140" t="s">
        <v>64</v>
      </c>
      <c r="N468" s="84" t="s">
        <v>48</v>
      </c>
      <c r="O468" s="76" t="s">
        <v>44</v>
      </c>
      <c r="P468" s="76" t="s">
        <v>149</v>
      </c>
      <c r="Q468" s="140" t="s">
        <v>38</v>
      </c>
    </row>
    <row r="469" spans="9:17" ht="14.5" customHeight="1" x14ac:dyDescent="0.35">
      <c r="I469" s="193" t="s">
        <v>302</v>
      </c>
      <c r="J469" s="178" t="s">
        <v>145</v>
      </c>
      <c r="K469" s="139">
        <v>1.5</v>
      </c>
      <c r="L469" s="140" t="s">
        <v>68</v>
      </c>
      <c r="M469" s="140" t="s">
        <v>104</v>
      </c>
      <c r="N469" s="74" t="s">
        <v>35</v>
      </c>
      <c r="O469" s="76" t="s">
        <v>146</v>
      </c>
      <c r="P469" s="76" t="s">
        <v>149</v>
      </c>
      <c r="Q469" s="140" t="s">
        <v>54</v>
      </c>
    </row>
    <row r="470" spans="9:17" ht="28" x14ac:dyDescent="0.35">
      <c r="I470" s="193" t="s">
        <v>302</v>
      </c>
      <c r="J470" s="178" t="s">
        <v>145</v>
      </c>
      <c r="K470" s="139">
        <v>1.5</v>
      </c>
      <c r="L470" s="140" t="s">
        <v>68</v>
      </c>
      <c r="M470" s="140" t="s">
        <v>104</v>
      </c>
      <c r="N470" s="84" t="s">
        <v>48</v>
      </c>
      <c r="O470" s="76" t="s">
        <v>146</v>
      </c>
      <c r="P470" s="76" t="s">
        <v>149</v>
      </c>
      <c r="Q470" s="140" t="s">
        <v>54</v>
      </c>
    </row>
    <row r="471" spans="9:17" x14ac:dyDescent="0.35">
      <c r="I471" s="193" t="s">
        <v>302</v>
      </c>
      <c r="J471" s="183" t="s">
        <v>89</v>
      </c>
      <c r="K471" s="81">
        <v>3</v>
      </c>
      <c r="L471" s="67" t="s">
        <v>51</v>
      </c>
      <c r="M471" s="67" t="s">
        <v>192</v>
      </c>
      <c r="N471" s="74" t="s">
        <v>35</v>
      </c>
      <c r="O471" s="74" t="s">
        <v>91</v>
      </c>
      <c r="P471" s="83" t="s">
        <v>163</v>
      </c>
      <c r="Q471" s="74" t="s">
        <v>93</v>
      </c>
    </row>
    <row r="472" spans="9:17" ht="14.5" customHeight="1" x14ac:dyDescent="0.35">
      <c r="I472" s="178" t="s">
        <v>494</v>
      </c>
      <c r="J472" s="180" t="s">
        <v>50</v>
      </c>
      <c r="K472" s="144">
        <v>1.5</v>
      </c>
      <c r="L472" s="143" t="s">
        <v>106</v>
      </c>
      <c r="M472" s="143" t="s">
        <v>42</v>
      </c>
      <c r="N472" s="118" t="s">
        <v>35</v>
      </c>
      <c r="O472" s="118" t="s">
        <v>56</v>
      </c>
      <c r="P472" s="118" t="s">
        <v>143</v>
      </c>
      <c r="Q472" s="140" t="s">
        <v>54</v>
      </c>
    </row>
    <row r="473" spans="9:17" x14ac:dyDescent="0.35">
      <c r="I473" s="178" t="s">
        <v>494</v>
      </c>
      <c r="J473" s="180" t="s">
        <v>50</v>
      </c>
      <c r="K473" s="144">
        <v>1.5</v>
      </c>
      <c r="L473" s="143" t="s">
        <v>106</v>
      </c>
      <c r="M473" s="143" t="s">
        <v>42</v>
      </c>
      <c r="N473" s="118" t="s">
        <v>55</v>
      </c>
      <c r="O473" s="118" t="s">
        <v>123</v>
      </c>
      <c r="P473" s="118" t="s">
        <v>41</v>
      </c>
      <c r="Q473" s="140" t="s">
        <v>54</v>
      </c>
    </row>
    <row r="474" spans="9:17" x14ac:dyDescent="0.35">
      <c r="I474" s="178" t="s">
        <v>494</v>
      </c>
      <c r="J474" s="180" t="s">
        <v>58</v>
      </c>
      <c r="K474" s="144">
        <v>1.5</v>
      </c>
      <c r="L474" s="143" t="s">
        <v>106</v>
      </c>
      <c r="M474" s="143" t="s">
        <v>45</v>
      </c>
      <c r="N474" s="118" t="s">
        <v>46</v>
      </c>
      <c r="O474" s="118" t="s">
        <v>61</v>
      </c>
      <c r="P474" s="127" t="s">
        <v>60</v>
      </c>
      <c r="Q474" s="140" t="s">
        <v>38</v>
      </c>
    </row>
    <row r="475" spans="9:17" x14ac:dyDescent="0.35">
      <c r="I475" s="178" t="s">
        <v>494</v>
      </c>
      <c r="J475" s="180" t="s">
        <v>58</v>
      </c>
      <c r="K475" s="144">
        <v>1.5</v>
      </c>
      <c r="L475" s="143" t="s">
        <v>106</v>
      </c>
      <c r="M475" s="143" t="s">
        <v>45</v>
      </c>
      <c r="N475" s="118" t="s">
        <v>55</v>
      </c>
      <c r="O475" s="118" t="s">
        <v>131</v>
      </c>
      <c r="P475" s="127" t="s">
        <v>60</v>
      </c>
      <c r="Q475" s="140" t="s">
        <v>38</v>
      </c>
    </row>
    <row r="476" spans="9:17" ht="14.5" customHeight="1" x14ac:dyDescent="0.35">
      <c r="I476" s="178" t="s">
        <v>494</v>
      </c>
      <c r="J476" s="178" t="s">
        <v>276</v>
      </c>
      <c r="K476" s="139">
        <v>2</v>
      </c>
      <c r="L476" s="143" t="s">
        <v>106</v>
      </c>
      <c r="M476" s="140" t="s">
        <v>42</v>
      </c>
      <c r="N476" s="74" t="s">
        <v>46</v>
      </c>
      <c r="O476" s="74" t="s">
        <v>131</v>
      </c>
      <c r="P476" s="74" t="s">
        <v>133</v>
      </c>
      <c r="Q476" s="140" t="s">
        <v>38</v>
      </c>
    </row>
    <row r="477" spans="9:17" ht="28" x14ac:dyDescent="0.35">
      <c r="I477" s="178" t="s">
        <v>494</v>
      </c>
      <c r="J477" s="178" t="s">
        <v>276</v>
      </c>
      <c r="K477" s="139">
        <v>2</v>
      </c>
      <c r="L477" s="143" t="s">
        <v>106</v>
      </c>
      <c r="M477" s="140" t="s">
        <v>42</v>
      </c>
      <c r="N477" s="74" t="s">
        <v>39</v>
      </c>
      <c r="O477" s="74" t="s">
        <v>123</v>
      </c>
      <c r="P477" s="74" t="s">
        <v>71</v>
      </c>
      <c r="Q477" s="140" t="s">
        <v>38</v>
      </c>
    </row>
    <row r="478" spans="9:17" ht="14.5" customHeight="1" x14ac:dyDescent="0.35">
      <c r="I478" s="178" t="s">
        <v>494</v>
      </c>
      <c r="J478" s="178" t="s">
        <v>276</v>
      </c>
      <c r="K478" s="139">
        <v>2</v>
      </c>
      <c r="L478" s="143" t="s">
        <v>106</v>
      </c>
      <c r="M478" s="140" t="s">
        <v>45</v>
      </c>
      <c r="N478" s="74" t="s">
        <v>35</v>
      </c>
      <c r="O478" s="74" t="s">
        <v>52</v>
      </c>
      <c r="P478" s="74" t="s">
        <v>114</v>
      </c>
      <c r="Q478" s="140" t="s">
        <v>54</v>
      </c>
    </row>
    <row r="479" spans="9:17" ht="28" x14ac:dyDescent="0.35">
      <c r="I479" s="178" t="s">
        <v>494</v>
      </c>
      <c r="J479" s="178" t="s">
        <v>276</v>
      </c>
      <c r="K479" s="139">
        <v>2</v>
      </c>
      <c r="L479" s="143" t="s">
        <v>106</v>
      </c>
      <c r="M479" s="140" t="s">
        <v>45</v>
      </c>
      <c r="N479" s="74" t="s">
        <v>46</v>
      </c>
      <c r="O479" s="74" t="s">
        <v>56</v>
      </c>
      <c r="P479" s="74" t="s">
        <v>114</v>
      </c>
      <c r="Q479" s="140" t="s">
        <v>54</v>
      </c>
    </row>
    <row r="480" spans="9:17" ht="14.5" customHeight="1" x14ac:dyDescent="0.35">
      <c r="I480" s="178" t="s">
        <v>494</v>
      </c>
      <c r="J480" s="178" t="s">
        <v>307</v>
      </c>
      <c r="K480" s="139">
        <v>2</v>
      </c>
      <c r="L480" s="143" t="s">
        <v>106</v>
      </c>
      <c r="M480" s="140" t="s">
        <v>64</v>
      </c>
      <c r="N480" s="74" t="s">
        <v>46</v>
      </c>
      <c r="O480" s="74" t="s">
        <v>56</v>
      </c>
      <c r="P480" s="74" t="s">
        <v>53</v>
      </c>
      <c r="Q480" s="140" t="s">
        <v>38</v>
      </c>
    </row>
    <row r="481" spans="9:17" ht="28" x14ac:dyDescent="0.35">
      <c r="I481" s="178" t="s">
        <v>494</v>
      </c>
      <c r="J481" s="178" t="s">
        <v>307</v>
      </c>
      <c r="K481" s="139">
        <v>2</v>
      </c>
      <c r="L481" s="143" t="s">
        <v>106</v>
      </c>
      <c r="M481" s="140" t="s">
        <v>64</v>
      </c>
      <c r="N481" s="74" t="s">
        <v>39</v>
      </c>
      <c r="O481" s="74" t="s">
        <v>59</v>
      </c>
      <c r="P481" s="74" t="s">
        <v>98</v>
      </c>
      <c r="Q481" s="140" t="s">
        <v>38</v>
      </c>
    </row>
    <row r="482" spans="9:17" x14ac:dyDescent="0.35">
      <c r="I482" s="178" t="s">
        <v>494</v>
      </c>
      <c r="J482" s="178" t="s">
        <v>141</v>
      </c>
      <c r="K482" s="139">
        <v>3</v>
      </c>
      <c r="L482" s="143" t="s">
        <v>106</v>
      </c>
      <c r="M482" s="140" t="s">
        <v>76</v>
      </c>
      <c r="N482" s="74" t="s">
        <v>35</v>
      </c>
      <c r="O482" s="74" t="s">
        <v>108</v>
      </c>
      <c r="P482" s="74" t="s">
        <v>98</v>
      </c>
      <c r="Q482" s="140" t="s">
        <v>38</v>
      </c>
    </row>
    <row r="483" spans="9:17" x14ac:dyDescent="0.35">
      <c r="I483" s="178" t="s">
        <v>494</v>
      </c>
      <c r="J483" s="178" t="s">
        <v>141</v>
      </c>
      <c r="K483" s="139">
        <v>3</v>
      </c>
      <c r="L483" s="143" t="s">
        <v>106</v>
      </c>
      <c r="M483" s="140" t="s">
        <v>76</v>
      </c>
      <c r="N483" s="84" t="s">
        <v>46</v>
      </c>
      <c r="O483" s="84" t="s">
        <v>108</v>
      </c>
      <c r="P483" s="84" t="s">
        <v>98</v>
      </c>
      <c r="Q483" s="140" t="s">
        <v>38</v>
      </c>
    </row>
    <row r="484" spans="9:17" x14ac:dyDescent="0.35">
      <c r="I484" s="178" t="s">
        <v>494</v>
      </c>
      <c r="J484" s="178" t="s">
        <v>308</v>
      </c>
      <c r="K484" s="139">
        <v>3</v>
      </c>
      <c r="L484" s="143" t="s">
        <v>106</v>
      </c>
      <c r="M484" s="140" t="s">
        <v>101</v>
      </c>
      <c r="N484" s="74" t="s">
        <v>46</v>
      </c>
      <c r="O484" s="74" t="s">
        <v>309</v>
      </c>
      <c r="P484" s="74" t="s">
        <v>98</v>
      </c>
      <c r="Q484" s="140" t="s">
        <v>54</v>
      </c>
    </row>
    <row r="485" spans="9:17" x14ac:dyDescent="0.35">
      <c r="I485" s="178" t="s">
        <v>494</v>
      </c>
      <c r="J485" s="178" t="s">
        <v>308</v>
      </c>
      <c r="K485" s="139">
        <v>3</v>
      </c>
      <c r="L485" s="143" t="s">
        <v>106</v>
      </c>
      <c r="M485" s="140" t="s">
        <v>101</v>
      </c>
      <c r="N485" s="74" t="s">
        <v>39</v>
      </c>
      <c r="O485" s="74" t="s">
        <v>40</v>
      </c>
      <c r="P485" s="74" t="s">
        <v>98</v>
      </c>
      <c r="Q485" s="140" t="s">
        <v>54</v>
      </c>
    </row>
    <row r="486" spans="9:17" x14ac:dyDescent="0.35">
      <c r="I486" s="178" t="s">
        <v>494</v>
      </c>
      <c r="J486" s="178" t="s">
        <v>188</v>
      </c>
      <c r="K486" s="139">
        <v>2</v>
      </c>
      <c r="L486" s="140" t="s">
        <v>33</v>
      </c>
      <c r="M486" s="140" t="s">
        <v>42</v>
      </c>
      <c r="N486" s="74" t="s">
        <v>46</v>
      </c>
      <c r="O486" s="74" t="s">
        <v>179</v>
      </c>
      <c r="P486" s="74" t="s">
        <v>41</v>
      </c>
      <c r="Q486" s="140" t="s">
        <v>38</v>
      </c>
    </row>
    <row r="487" spans="9:17" x14ac:dyDescent="0.35">
      <c r="I487" s="178" t="s">
        <v>494</v>
      </c>
      <c r="J487" s="178" t="s">
        <v>188</v>
      </c>
      <c r="K487" s="139">
        <v>2</v>
      </c>
      <c r="L487" s="140" t="s">
        <v>33</v>
      </c>
      <c r="M487" s="140" t="s">
        <v>42</v>
      </c>
      <c r="N487" s="74" t="s">
        <v>55</v>
      </c>
      <c r="O487" s="74" t="s">
        <v>56</v>
      </c>
      <c r="P487" s="74" t="s">
        <v>77</v>
      </c>
      <c r="Q487" s="140" t="s">
        <v>38</v>
      </c>
    </row>
    <row r="488" spans="9:17" ht="14.5" customHeight="1" x14ac:dyDescent="0.35">
      <c r="I488" s="181" t="s">
        <v>495</v>
      </c>
      <c r="J488" s="178" t="s">
        <v>228</v>
      </c>
      <c r="K488" s="139">
        <v>3</v>
      </c>
      <c r="L488" s="140" t="s">
        <v>75</v>
      </c>
      <c r="M488" s="140" t="s">
        <v>64</v>
      </c>
      <c r="N488" s="74" t="s">
        <v>39</v>
      </c>
      <c r="O488" s="74" t="s">
        <v>44</v>
      </c>
      <c r="P488" s="74" t="s">
        <v>155</v>
      </c>
      <c r="Q488" s="140" t="s">
        <v>38</v>
      </c>
    </row>
    <row r="489" spans="9:17" x14ac:dyDescent="0.35">
      <c r="I489" s="181" t="s">
        <v>495</v>
      </c>
      <c r="J489" s="178" t="s">
        <v>228</v>
      </c>
      <c r="K489" s="139">
        <v>3</v>
      </c>
      <c r="L489" s="140" t="s">
        <v>75</v>
      </c>
      <c r="M489" s="140" t="s">
        <v>64</v>
      </c>
      <c r="N489" s="74" t="s">
        <v>55</v>
      </c>
      <c r="O489" s="74" t="s">
        <v>44</v>
      </c>
      <c r="P489" s="74" t="s">
        <v>133</v>
      </c>
      <c r="Q489" s="140" t="s">
        <v>38</v>
      </c>
    </row>
    <row r="490" spans="9:17" x14ac:dyDescent="0.35">
      <c r="I490" s="181" t="s">
        <v>495</v>
      </c>
      <c r="J490" s="178" t="s">
        <v>228</v>
      </c>
      <c r="K490" s="139">
        <v>3</v>
      </c>
      <c r="L490" s="140" t="s">
        <v>75</v>
      </c>
      <c r="M490" s="140" t="s">
        <v>103</v>
      </c>
      <c r="N490" s="74" t="s">
        <v>35</v>
      </c>
      <c r="O490" s="74" t="s">
        <v>511</v>
      </c>
      <c r="P490" s="74" t="s">
        <v>152</v>
      </c>
      <c r="Q490" s="140" t="s">
        <v>38</v>
      </c>
    </row>
    <row r="491" spans="9:17" x14ac:dyDescent="0.35">
      <c r="I491" s="181" t="s">
        <v>495</v>
      </c>
      <c r="J491" s="178" t="s">
        <v>228</v>
      </c>
      <c r="K491" s="139">
        <v>3</v>
      </c>
      <c r="L491" s="140" t="s">
        <v>75</v>
      </c>
      <c r="M491" s="140" t="s">
        <v>103</v>
      </c>
      <c r="N491" s="84" t="s">
        <v>48</v>
      </c>
      <c r="O491" s="84" t="s">
        <v>66</v>
      </c>
      <c r="P491" s="74" t="s">
        <v>174</v>
      </c>
      <c r="Q491" s="140" t="s">
        <v>38</v>
      </c>
    </row>
    <row r="492" spans="9:17" ht="14.5" customHeight="1" x14ac:dyDescent="0.35">
      <c r="I492" s="181" t="s">
        <v>495</v>
      </c>
      <c r="J492" s="178" t="s">
        <v>532</v>
      </c>
      <c r="K492" s="139">
        <v>3</v>
      </c>
      <c r="L492" s="140" t="s">
        <v>75</v>
      </c>
      <c r="M492" s="140" t="s">
        <v>97</v>
      </c>
      <c r="N492" s="74" t="s">
        <v>35</v>
      </c>
      <c r="O492" s="74" t="s">
        <v>40</v>
      </c>
      <c r="P492" s="74" t="s">
        <v>80</v>
      </c>
      <c r="Q492" s="140" t="s">
        <v>38</v>
      </c>
    </row>
    <row r="493" spans="9:17" ht="28" x14ac:dyDescent="0.35">
      <c r="I493" s="181" t="s">
        <v>495</v>
      </c>
      <c r="J493" s="178" t="s">
        <v>532</v>
      </c>
      <c r="K493" s="139">
        <v>3</v>
      </c>
      <c r="L493" s="140" t="s">
        <v>75</v>
      </c>
      <c r="M493" s="140" t="s">
        <v>97</v>
      </c>
      <c r="N493" s="74" t="s">
        <v>48</v>
      </c>
      <c r="O493" s="74" t="s">
        <v>91</v>
      </c>
      <c r="P493" s="74" t="s">
        <v>143</v>
      </c>
      <c r="Q493" s="140" t="s">
        <v>38</v>
      </c>
    </row>
    <row r="494" spans="9:17" ht="14.5" customHeight="1" x14ac:dyDescent="0.35">
      <c r="I494" s="181" t="s">
        <v>495</v>
      </c>
      <c r="J494" s="178" t="s">
        <v>186</v>
      </c>
      <c r="K494" s="139">
        <v>1</v>
      </c>
      <c r="L494" s="140" t="s">
        <v>63</v>
      </c>
      <c r="M494" s="140" t="s">
        <v>34</v>
      </c>
      <c r="N494" s="84" t="s">
        <v>35</v>
      </c>
      <c r="O494" s="84" t="s">
        <v>44</v>
      </c>
      <c r="P494" s="111" t="s">
        <v>155</v>
      </c>
      <c r="Q494" s="140" t="s">
        <v>38</v>
      </c>
    </row>
    <row r="495" spans="9:17" ht="28" x14ac:dyDescent="0.35">
      <c r="I495" s="181" t="s">
        <v>495</v>
      </c>
      <c r="J495" s="178" t="s">
        <v>186</v>
      </c>
      <c r="K495" s="139">
        <v>1</v>
      </c>
      <c r="L495" s="140" t="s">
        <v>63</v>
      </c>
      <c r="M495" s="140" t="s">
        <v>34</v>
      </c>
      <c r="N495" s="84" t="s">
        <v>46</v>
      </c>
      <c r="O495" s="84" t="s">
        <v>44</v>
      </c>
      <c r="P495" s="111" t="s">
        <v>155</v>
      </c>
      <c r="Q495" s="140" t="s">
        <v>38</v>
      </c>
    </row>
    <row r="496" spans="9:17" ht="14.5" customHeight="1" x14ac:dyDescent="0.35">
      <c r="I496" s="181" t="s">
        <v>495</v>
      </c>
      <c r="J496" s="178" t="s">
        <v>229</v>
      </c>
      <c r="K496" s="139">
        <v>1</v>
      </c>
      <c r="L496" s="140" t="s">
        <v>63</v>
      </c>
      <c r="M496" s="140" t="s">
        <v>64</v>
      </c>
      <c r="N496" s="74" t="s">
        <v>48</v>
      </c>
      <c r="O496" s="74" t="s">
        <v>56</v>
      </c>
      <c r="P496" s="74" t="s">
        <v>155</v>
      </c>
      <c r="Q496" s="140" t="s">
        <v>38</v>
      </c>
    </row>
    <row r="497" spans="9:17" ht="28" x14ac:dyDescent="0.35">
      <c r="I497" s="181" t="s">
        <v>495</v>
      </c>
      <c r="J497" s="178" t="s">
        <v>229</v>
      </c>
      <c r="K497" s="139">
        <v>1</v>
      </c>
      <c r="L497" s="140" t="s">
        <v>63</v>
      </c>
      <c r="M497" s="140" t="s">
        <v>64</v>
      </c>
      <c r="N497" s="74" t="s">
        <v>55</v>
      </c>
      <c r="O497" s="74" t="s">
        <v>56</v>
      </c>
      <c r="P497" s="74" t="s">
        <v>155</v>
      </c>
      <c r="Q497" s="140" t="s">
        <v>38</v>
      </c>
    </row>
    <row r="498" spans="9:17" ht="14.5" customHeight="1" x14ac:dyDescent="0.35">
      <c r="I498" s="181" t="s">
        <v>495</v>
      </c>
      <c r="J498" s="178" t="s">
        <v>278</v>
      </c>
      <c r="K498" s="139">
        <v>1.5</v>
      </c>
      <c r="L498" s="140" t="s">
        <v>68</v>
      </c>
      <c r="M498" s="140" t="s">
        <v>34</v>
      </c>
      <c r="N498" s="74" t="s">
        <v>35</v>
      </c>
      <c r="O498" s="74" t="s">
        <v>40</v>
      </c>
      <c r="P498" s="74" t="s">
        <v>53</v>
      </c>
      <c r="Q498" s="140" t="s">
        <v>54</v>
      </c>
    </row>
    <row r="499" spans="9:17" ht="28" x14ac:dyDescent="0.35">
      <c r="I499" s="181" t="s">
        <v>495</v>
      </c>
      <c r="J499" s="178" t="s">
        <v>278</v>
      </c>
      <c r="K499" s="139">
        <v>1.5</v>
      </c>
      <c r="L499" s="140" t="s">
        <v>68</v>
      </c>
      <c r="M499" s="140" t="s">
        <v>34</v>
      </c>
      <c r="N499" s="74" t="s">
        <v>48</v>
      </c>
      <c r="O499" s="112" t="s">
        <v>40</v>
      </c>
      <c r="P499" s="112" t="s">
        <v>53</v>
      </c>
      <c r="Q499" s="140" t="s">
        <v>54</v>
      </c>
    </row>
    <row r="500" spans="9:17" ht="14.5" customHeight="1" x14ac:dyDescent="0.35">
      <c r="I500" s="181" t="s">
        <v>495</v>
      </c>
      <c r="J500" s="178" t="s">
        <v>183</v>
      </c>
      <c r="K500" s="139">
        <v>1.5</v>
      </c>
      <c r="L500" s="140" t="s">
        <v>68</v>
      </c>
      <c r="M500" s="140" t="s">
        <v>34</v>
      </c>
      <c r="N500" s="74" t="s">
        <v>35</v>
      </c>
      <c r="O500" s="76" t="s">
        <v>44</v>
      </c>
      <c r="P500" s="76" t="s">
        <v>53</v>
      </c>
      <c r="Q500" s="140" t="s">
        <v>38</v>
      </c>
    </row>
    <row r="501" spans="9:17" ht="56" x14ac:dyDescent="0.35">
      <c r="I501" s="181" t="s">
        <v>495</v>
      </c>
      <c r="J501" s="178" t="s">
        <v>183</v>
      </c>
      <c r="K501" s="139">
        <v>1.5</v>
      </c>
      <c r="L501" s="140" t="s">
        <v>68</v>
      </c>
      <c r="M501" s="140" t="s">
        <v>34</v>
      </c>
      <c r="N501" s="74" t="s">
        <v>48</v>
      </c>
      <c r="O501" s="76" t="s">
        <v>44</v>
      </c>
      <c r="P501" s="76" t="s">
        <v>53</v>
      </c>
      <c r="Q501" s="140" t="s">
        <v>38</v>
      </c>
    </row>
    <row r="502" spans="9:17" ht="14.5" customHeight="1" x14ac:dyDescent="0.35">
      <c r="I502" s="181" t="s">
        <v>495</v>
      </c>
      <c r="J502" s="178" t="s">
        <v>279</v>
      </c>
      <c r="K502" s="139">
        <v>1.5</v>
      </c>
      <c r="L502" s="140" t="s">
        <v>68</v>
      </c>
      <c r="M502" s="140" t="s">
        <v>69</v>
      </c>
      <c r="N502" s="84" t="s">
        <v>46</v>
      </c>
      <c r="O502" s="76" t="s">
        <v>40</v>
      </c>
      <c r="P502" s="76" t="s">
        <v>71</v>
      </c>
      <c r="Q502" s="140" t="s">
        <v>38</v>
      </c>
    </row>
    <row r="503" spans="9:17" ht="28" x14ac:dyDescent="0.35">
      <c r="I503" s="181" t="s">
        <v>495</v>
      </c>
      <c r="J503" s="178" t="s">
        <v>279</v>
      </c>
      <c r="K503" s="139">
        <v>1.5</v>
      </c>
      <c r="L503" s="140" t="s">
        <v>68</v>
      </c>
      <c r="M503" s="140" t="s">
        <v>69</v>
      </c>
      <c r="N503" s="74" t="s">
        <v>55</v>
      </c>
      <c r="O503" s="76" t="s">
        <v>40</v>
      </c>
      <c r="P503" s="76" t="s">
        <v>71</v>
      </c>
      <c r="Q503" s="140" t="s">
        <v>38</v>
      </c>
    </row>
    <row r="504" spans="9:17" ht="14.5" customHeight="1" x14ac:dyDescent="0.35">
      <c r="I504" s="181" t="s">
        <v>312</v>
      </c>
      <c r="J504" s="178" t="s">
        <v>313</v>
      </c>
      <c r="K504" s="139">
        <v>3</v>
      </c>
      <c r="L504" s="140" t="s">
        <v>33</v>
      </c>
      <c r="M504" s="140" t="s">
        <v>136</v>
      </c>
      <c r="N504" s="74" t="s">
        <v>35</v>
      </c>
      <c r="O504" s="74" t="s">
        <v>511</v>
      </c>
      <c r="P504" s="74" t="s">
        <v>128</v>
      </c>
      <c r="Q504" s="140" t="s">
        <v>38</v>
      </c>
    </row>
    <row r="505" spans="9:17" x14ac:dyDescent="0.35">
      <c r="I505" s="181" t="s">
        <v>312</v>
      </c>
      <c r="J505" s="178" t="s">
        <v>313</v>
      </c>
      <c r="K505" s="139">
        <v>3</v>
      </c>
      <c r="L505" s="140" t="s">
        <v>33</v>
      </c>
      <c r="M505" s="140" t="s">
        <v>136</v>
      </c>
      <c r="N505" s="74" t="s">
        <v>55</v>
      </c>
      <c r="O505" s="74" t="s">
        <v>511</v>
      </c>
      <c r="P505" s="74" t="s">
        <v>128</v>
      </c>
      <c r="Q505" s="140" t="s">
        <v>38</v>
      </c>
    </row>
    <row r="506" spans="9:17" x14ac:dyDescent="0.35">
      <c r="I506" s="181" t="s">
        <v>312</v>
      </c>
      <c r="J506" s="178" t="s">
        <v>313</v>
      </c>
      <c r="K506" s="139">
        <v>3</v>
      </c>
      <c r="L506" s="140" t="s">
        <v>33</v>
      </c>
      <c r="M506" s="140" t="s">
        <v>76</v>
      </c>
      <c r="N506" s="74" t="s">
        <v>35</v>
      </c>
      <c r="O506" s="76" t="s">
        <v>44</v>
      </c>
      <c r="P506" s="74" t="s">
        <v>314</v>
      </c>
      <c r="Q506" s="140" t="s">
        <v>38</v>
      </c>
    </row>
    <row r="507" spans="9:17" x14ac:dyDescent="0.35">
      <c r="I507" s="181" t="s">
        <v>312</v>
      </c>
      <c r="J507" s="178" t="s">
        <v>313</v>
      </c>
      <c r="K507" s="139">
        <v>3</v>
      </c>
      <c r="L507" s="140" t="s">
        <v>33</v>
      </c>
      <c r="M507" s="140" t="s">
        <v>76</v>
      </c>
      <c r="N507" s="74" t="s">
        <v>55</v>
      </c>
      <c r="O507" s="76" t="s">
        <v>44</v>
      </c>
      <c r="P507" s="74" t="s">
        <v>315</v>
      </c>
      <c r="Q507" s="140" t="s">
        <v>38</v>
      </c>
    </row>
    <row r="508" spans="9:17" x14ac:dyDescent="0.35">
      <c r="I508" s="181" t="s">
        <v>312</v>
      </c>
      <c r="J508" s="178" t="s">
        <v>313</v>
      </c>
      <c r="K508" s="139">
        <v>3</v>
      </c>
      <c r="L508" s="140" t="s">
        <v>33</v>
      </c>
      <c r="M508" s="140" t="s">
        <v>79</v>
      </c>
      <c r="N508" s="74" t="s">
        <v>46</v>
      </c>
      <c r="O508" s="74" t="s">
        <v>40</v>
      </c>
      <c r="P508" s="74" t="s">
        <v>314</v>
      </c>
      <c r="Q508" s="140" t="s">
        <v>38</v>
      </c>
    </row>
    <row r="509" spans="9:17" x14ac:dyDescent="0.35">
      <c r="I509" s="181" t="s">
        <v>312</v>
      </c>
      <c r="J509" s="178" t="s">
        <v>313</v>
      </c>
      <c r="K509" s="139">
        <v>3</v>
      </c>
      <c r="L509" s="140" t="s">
        <v>33</v>
      </c>
      <c r="M509" s="140" t="s">
        <v>79</v>
      </c>
      <c r="N509" s="74" t="s">
        <v>48</v>
      </c>
      <c r="O509" s="74" t="s">
        <v>40</v>
      </c>
      <c r="P509" s="74" t="s">
        <v>314</v>
      </c>
      <c r="Q509" s="140" t="s">
        <v>38</v>
      </c>
    </row>
    <row r="510" spans="9:17" x14ac:dyDescent="0.35">
      <c r="I510" s="181" t="s">
        <v>312</v>
      </c>
      <c r="J510" s="178" t="s">
        <v>313</v>
      </c>
      <c r="K510" s="139">
        <v>3</v>
      </c>
      <c r="L510" s="140" t="s">
        <v>33</v>
      </c>
      <c r="M510" s="140" t="s">
        <v>97</v>
      </c>
      <c r="N510" s="74" t="s">
        <v>46</v>
      </c>
      <c r="O510" s="76" t="s">
        <v>44</v>
      </c>
      <c r="P510" s="74" t="s">
        <v>128</v>
      </c>
      <c r="Q510" s="140" t="s">
        <v>38</v>
      </c>
    </row>
    <row r="511" spans="9:17" x14ac:dyDescent="0.35">
      <c r="I511" s="181" t="s">
        <v>312</v>
      </c>
      <c r="J511" s="178" t="s">
        <v>313</v>
      </c>
      <c r="K511" s="139">
        <v>3</v>
      </c>
      <c r="L511" s="140" t="s">
        <v>33</v>
      </c>
      <c r="M511" s="140" t="s">
        <v>97</v>
      </c>
      <c r="N511" s="74" t="s">
        <v>39</v>
      </c>
      <c r="O511" s="76" t="s">
        <v>44</v>
      </c>
      <c r="P511" s="74" t="s">
        <v>96</v>
      </c>
      <c r="Q511" s="140" t="s">
        <v>38</v>
      </c>
    </row>
    <row r="512" spans="9:17" ht="14.5" customHeight="1" x14ac:dyDescent="0.35">
      <c r="I512" s="181" t="s">
        <v>312</v>
      </c>
      <c r="J512" s="178" t="s">
        <v>316</v>
      </c>
      <c r="K512" s="139">
        <v>3</v>
      </c>
      <c r="L512" s="140" t="s">
        <v>33</v>
      </c>
      <c r="M512" s="140" t="s">
        <v>175</v>
      </c>
      <c r="N512" s="74" t="s">
        <v>46</v>
      </c>
      <c r="O512" s="74" t="s">
        <v>511</v>
      </c>
      <c r="P512" s="74" t="s">
        <v>41</v>
      </c>
      <c r="Q512" s="140" t="s">
        <v>54</v>
      </c>
    </row>
    <row r="513" spans="9:17" ht="28" x14ac:dyDescent="0.35">
      <c r="I513" s="181" t="s">
        <v>312</v>
      </c>
      <c r="J513" s="178" t="s">
        <v>316</v>
      </c>
      <c r="K513" s="139">
        <v>3</v>
      </c>
      <c r="L513" s="140" t="s">
        <v>33</v>
      </c>
      <c r="M513" s="140" t="s">
        <v>175</v>
      </c>
      <c r="N513" s="74" t="s">
        <v>48</v>
      </c>
      <c r="O513" s="74" t="s">
        <v>108</v>
      </c>
      <c r="P513" s="74" t="s">
        <v>110</v>
      </c>
      <c r="Q513" s="140" t="s">
        <v>54</v>
      </c>
    </row>
    <row r="514" spans="9:17" ht="14.5" customHeight="1" x14ac:dyDescent="0.35">
      <c r="I514" s="181" t="s">
        <v>312</v>
      </c>
      <c r="J514" s="178" t="s">
        <v>166</v>
      </c>
      <c r="K514" s="139">
        <v>1.5</v>
      </c>
      <c r="L514" s="140" t="s">
        <v>63</v>
      </c>
      <c r="M514" s="140" t="s">
        <v>64</v>
      </c>
      <c r="N514" s="85" t="s">
        <v>48</v>
      </c>
      <c r="O514" s="85" t="s">
        <v>511</v>
      </c>
      <c r="P514" s="85" t="s">
        <v>78</v>
      </c>
      <c r="Q514" s="140" t="s">
        <v>54</v>
      </c>
    </row>
    <row r="515" spans="9:17" ht="28" x14ac:dyDescent="0.35">
      <c r="I515" s="181" t="s">
        <v>312</v>
      </c>
      <c r="J515" s="178" t="s">
        <v>166</v>
      </c>
      <c r="K515" s="139">
        <v>1.5</v>
      </c>
      <c r="L515" s="140" t="s">
        <v>63</v>
      </c>
      <c r="M515" s="140" t="s">
        <v>64</v>
      </c>
      <c r="N515" s="74" t="s">
        <v>55</v>
      </c>
      <c r="O515" s="85" t="s">
        <v>511</v>
      </c>
      <c r="P515" s="74" t="s">
        <v>65</v>
      </c>
      <c r="Q515" s="140" t="s">
        <v>54</v>
      </c>
    </row>
    <row r="516" spans="9:17" ht="14.5" customHeight="1" x14ac:dyDescent="0.35">
      <c r="I516" s="181" t="s">
        <v>312</v>
      </c>
      <c r="J516" s="178" t="s">
        <v>156</v>
      </c>
      <c r="K516" s="139">
        <v>1.5</v>
      </c>
      <c r="L516" s="140" t="s">
        <v>68</v>
      </c>
      <c r="M516" s="140" t="s">
        <v>64</v>
      </c>
      <c r="N516" s="83" t="s">
        <v>46</v>
      </c>
      <c r="O516" s="74" t="s">
        <v>511</v>
      </c>
      <c r="P516" s="76" t="s">
        <v>149</v>
      </c>
      <c r="Q516" s="140" t="s">
        <v>38</v>
      </c>
    </row>
    <row r="517" spans="9:17" ht="28" x14ac:dyDescent="0.35">
      <c r="I517" s="181" t="s">
        <v>312</v>
      </c>
      <c r="J517" s="178" t="s">
        <v>156</v>
      </c>
      <c r="K517" s="139">
        <v>1.5</v>
      </c>
      <c r="L517" s="140" t="s">
        <v>68</v>
      </c>
      <c r="M517" s="140" t="s">
        <v>64</v>
      </c>
      <c r="N517" s="93" t="s">
        <v>48</v>
      </c>
      <c r="O517" s="76" t="s">
        <v>511</v>
      </c>
      <c r="P517" s="76" t="s">
        <v>149</v>
      </c>
      <c r="Q517" s="140" t="s">
        <v>38</v>
      </c>
    </row>
    <row r="518" spans="9:17" ht="14.5" customHeight="1" x14ac:dyDescent="0.35">
      <c r="I518" s="178" t="s">
        <v>317</v>
      </c>
      <c r="J518" s="178" t="s">
        <v>201</v>
      </c>
      <c r="K518" s="139">
        <v>3</v>
      </c>
      <c r="L518" s="140" t="s">
        <v>33</v>
      </c>
      <c r="M518" s="140" t="s">
        <v>103</v>
      </c>
      <c r="N518" s="74" t="s">
        <v>35</v>
      </c>
      <c r="O518" s="74" t="s">
        <v>40</v>
      </c>
      <c r="P518" s="74" t="s">
        <v>37</v>
      </c>
      <c r="Q518" s="140" t="s">
        <v>38</v>
      </c>
    </row>
    <row r="519" spans="9:17" x14ac:dyDescent="0.35">
      <c r="I519" s="178" t="s">
        <v>317</v>
      </c>
      <c r="J519" s="178" t="s">
        <v>201</v>
      </c>
      <c r="K519" s="139">
        <v>3</v>
      </c>
      <c r="L519" s="140" t="s">
        <v>33</v>
      </c>
      <c r="M519" s="140" t="s">
        <v>103</v>
      </c>
      <c r="N519" s="74" t="s">
        <v>39</v>
      </c>
      <c r="O519" s="74" t="s">
        <v>40</v>
      </c>
      <c r="P519" s="74" t="s">
        <v>37</v>
      </c>
      <c r="Q519" s="140" t="s">
        <v>38</v>
      </c>
    </row>
    <row r="520" spans="9:17" x14ac:dyDescent="0.35">
      <c r="I520" s="178" t="s">
        <v>317</v>
      </c>
      <c r="J520" s="178" t="s">
        <v>201</v>
      </c>
      <c r="K520" s="139">
        <v>3</v>
      </c>
      <c r="L520" s="140" t="s">
        <v>33</v>
      </c>
      <c r="M520" s="140" t="s">
        <v>104</v>
      </c>
      <c r="N520" s="74" t="s">
        <v>46</v>
      </c>
      <c r="O520" s="74" t="s">
        <v>511</v>
      </c>
      <c r="P520" s="76" t="s">
        <v>47</v>
      </c>
      <c r="Q520" s="140" t="s">
        <v>38</v>
      </c>
    </row>
    <row r="521" spans="9:17" x14ac:dyDescent="0.35">
      <c r="I521" s="178" t="s">
        <v>317</v>
      </c>
      <c r="J521" s="178" t="s">
        <v>201</v>
      </c>
      <c r="K521" s="139">
        <v>3</v>
      </c>
      <c r="L521" s="140" t="s">
        <v>33</v>
      </c>
      <c r="M521" s="140" t="s">
        <v>104</v>
      </c>
      <c r="N521" s="74" t="s">
        <v>48</v>
      </c>
      <c r="O521" s="74" t="s">
        <v>511</v>
      </c>
      <c r="P521" s="76" t="s">
        <v>47</v>
      </c>
      <c r="Q521" s="140" t="s">
        <v>38</v>
      </c>
    </row>
    <row r="522" spans="9:17" ht="14.5" customHeight="1" x14ac:dyDescent="0.35">
      <c r="I522" s="178" t="s">
        <v>317</v>
      </c>
      <c r="J522" s="178" t="s">
        <v>99</v>
      </c>
      <c r="K522" s="139">
        <v>3</v>
      </c>
      <c r="L522" s="140" t="s">
        <v>33</v>
      </c>
      <c r="M522" s="140" t="s">
        <v>97</v>
      </c>
      <c r="N522" s="74" t="s">
        <v>35</v>
      </c>
      <c r="O522" s="74" t="s">
        <v>511</v>
      </c>
      <c r="P522" s="76" t="s">
        <v>47</v>
      </c>
      <c r="Q522" s="140" t="s">
        <v>38</v>
      </c>
    </row>
    <row r="523" spans="9:17" ht="28" x14ac:dyDescent="0.35">
      <c r="I523" s="178" t="s">
        <v>317</v>
      </c>
      <c r="J523" s="178" t="s">
        <v>99</v>
      </c>
      <c r="K523" s="139">
        <v>3</v>
      </c>
      <c r="L523" s="140" t="s">
        <v>33</v>
      </c>
      <c r="M523" s="140" t="s">
        <v>97</v>
      </c>
      <c r="N523" s="74" t="s">
        <v>39</v>
      </c>
      <c r="O523" s="74" t="s">
        <v>511</v>
      </c>
      <c r="P523" s="76" t="s">
        <v>47</v>
      </c>
      <c r="Q523" s="140" t="s">
        <v>38</v>
      </c>
    </row>
    <row r="524" spans="9:17" ht="14.5" customHeight="1" x14ac:dyDescent="0.35">
      <c r="I524" s="178" t="s">
        <v>317</v>
      </c>
      <c r="J524" s="178" t="s">
        <v>316</v>
      </c>
      <c r="K524" s="139">
        <v>3</v>
      </c>
      <c r="L524" s="140" t="s">
        <v>33</v>
      </c>
      <c r="M524" s="140" t="s">
        <v>90</v>
      </c>
      <c r="N524" s="74" t="s">
        <v>35</v>
      </c>
      <c r="O524" s="74" t="s">
        <v>511</v>
      </c>
      <c r="P524" s="76" t="s">
        <v>47</v>
      </c>
      <c r="Q524" s="140" t="s">
        <v>54</v>
      </c>
    </row>
    <row r="525" spans="9:17" ht="28" x14ac:dyDescent="0.35">
      <c r="I525" s="178" t="s">
        <v>317</v>
      </c>
      <c r="J525" s="178" t="s">
        <v>316</v>
      </c>
      <c r="K525" s="139">
        <v>3</v>
      </c>
      <c r="L525" s="140" t="s">
        <v>33</v>
      </c>
      <c r="M525" s="140" t="s">
        <v>90</v>
      </c>
      <c r="N525" s="74" t="s">
        <v>39</v>
      </c>
      <c r="O525" s="74" t="s">
        <v>511</v>
      </c>
      <c r="P525" s="76" t="s">
        <v>47</v>
      </c>
      <c r="Q525" s="140" t="s">
        <v>54</v>
      </c>
    </row>
    <row r="526" spans="9:17" ht="14.5" customHeight="1" x14ac:dyDescent="0.35">
      <c r="I526" s="178" t="s">
        <v>317</v>
      </c>
      <c r="J526" s="178" t="s">
        <v>316</v>
      </c>
      <c r="K526" s="139">
        <v>3</v>
      </c>
      <c r="L526" s="140" t="s">
        <v>33</v>
      </c>
      <c r="M526" s="140" t="s">
        <v>173</v>
      </c>
      <c r="N526" s="74" t="s">
        <v>35</v>
      </c>
      <c r="O526" s="74" t="s">
        <v>40</v>
      </c>
      <c r="P526" s="76" t="s">
        <v>37</v>
      </c>
      <c r="Q526" s="140" t="s">
        <v>54</v>
      </c>
    </row>
    <row r="527" spans="9:17" ht="28" x14ac:dyDescent="0.35">
      <c r="I527" s="178" t="s">
        <v>317</v>
      </c>
      <c r="J527" s="178" t="s">
        <v>316</v>
      </c>
      <c r="K527" s="139">
        <v>3</v>
      </c>
      <c r="L527" s="140" t="s">
        <v>33</v>
      </c>
      <c r="M527" s="140" t="s">
        <v>173</v>
      </c>
      <c r="N527" s="74" t="s">
        <v>39</v>
      </c>
      <c r="O527" s="74" t="s">
        <v>40</v>
      </c>
      <c r="P527" s="76" t="s">
        <v>37</v>
      </c>
      <c r="Q527" s="140" t="s">
        <v>54</v>
      </c>
    </row>
    <row r="528" spans="9:17" x14ac:dyDescent="0.35">
      <c r="I528" s="178" t="s">
        <v>317</v>
      </c>
      <c r="J528" s="178" t="s">
        <v>318</v>
      </c>
      <c r="K528" s="139">
        <v>3</v>
      </c>
      <c r="L528" s="140" t="s">
        <v>33</v>
      </c>
      <c r="M528" s="140" t="s">
        <v>136</v>
      </c>
      <c r="N528" s="74" t="s">
        <v>46</v>
      </c>
      <c r="O528" s="74" t="s">
        <v>511</v>
      </c>
      <c r="P528" s="74" t="s">
        <v>43</v>
      </c>
      <c r="Q528" s="140" t="s">
        <v>54</v>
      </c>
    </row>
    <row r="529" spans="9:17" x14ac:dyDescent="0.35">
      <c r="I529" s="178" t="s">
        <v>317</v>
      </c>
      <c r="J529" s="178" t="s">
        <v>318</v>
      </c>
      <c r="K529" s="139">
        <v>3</v>
      </c>
      <c r="L529" s="140" t="s">
        <v>33</v>
      </c>
      <c r="M529" s="140" t="s">
        <v>136</v>
      </c>
      <c r="N529" s="74" t="s">
        <v>48</v>
      </c>
      <c r="O529" s="74" t="s">
        <v>511</v>
      </c>
      <c r="P529" s="74" t="s">
        <v>43</v>
      </c>
      <c r="Q529" s="140" t="s">
        <v>54</v>
      </c>
    </row>
    <row r="530" spans="9:17" x14ac:dyDescent="0.35">
      <c r="I530" s="178" t="s">
        <v>317</v>
      </c>
      <c r="J530" s="178" t="s">
        <v>318</v>
      </c>
      <c r="K530" s="139">
        <v>3</v>
      </c>
      <c r="L530" s="140" t="s">
        <v>33</v>
      </c>
      <c r="M530" s="140" t="s">
        <v>76</v>
      </c>
      <c r="N530" s="74" t="s">
        <v>46</v>
      </c>
      <c r="O530" s="74" t="s">
        <v>40</v>
      </c>
      <c r="P530" s="74" t="s">
        <v>43</v>
      </c>
      <c r="Q530" s="140" t="s">
        <v>54</v>
      </c>
    </row>
    <row r="531" spans="9:17" x14ac:dyDescent="0.35">
      <c r="I531" s="178" t="s">
        <v>317</v>
      </c>
      <c r="J531" s="178" t="s">
        <v>318</v>
      </c>
      <c r="K531" s="139">
        <v>3</v>
      </c>
      <c r="L531" s="140" t="s">
        <v>33</v>
      </c>
      <c r="M531" s="140" t="s">
        <v>76</v>
      </c>
      <c r="N531" s="74" t="s">
        <v>48</v>
      </c>
      <c r="O531" s="74" t="s">
        <v>40</v>
      </c>
      <c r="P531" s="74" t="s">
        <v>43</v>
      </c>
      <c r="Q531" s="140" t="s">
        <v>54</v>
      </c>
    </row>
    <row r="532" spans="9:17" ht="14.5" customHeight="1" x14ac:dyDescent="0.35">
      <c r="I532" s="178" t="s">
        <v>496</v>
      </c>
      <c r="J532" s="178" t="s">
        <v>95</v>
      </c>
      <c r="K532" s="139">
        <v>3</v>
      </c>
      <c r="L532" s="140" t="s">
        <v>33</v>
      </c>
      <c r="M532" s="140" t="s">
        <v>136</v>
      </c>
      <c r="N532" s="74" t="s">
        <v>46</v>
      </c>
      <c r="O532" s="74" t="s">
        <v>511</v>
      </c>
      <c r="P532" s="74" t="s">
        <v>128</v>
      </c>
      <c r="Q532" s="140" t="s">
        <v>54</v>
      </c>
    </row>
    <row r="533" spans="9:17" x14ac:dyDescent="0.35">
      <c r="I533" s="178" t="s">
        <v>496</v>
      </c>
      <c r="J533" s="178" t="s">
        <v>95</v>
      </c>
      <c r="K533" s="139">
        <v>3</v>
      </c>
      <c r="L533" s="140" t="s">
        <v>33</v>
      </c>
      <c r="M533" s="140" t="s">
        <v>136</v>
      </c>
      <c r="N533" s="74" t="s">
        <v>48</v>
      </c>
      <c r="O533" s="74" t="s">
        <v>511</v>
      </c>
      <c r="P533" s="74" t="s">
        <v>128</v>
      </c>
      <c r="Q533" s="140" t="s">
        <v>54</v>
      </c>
    </row>
    <row r="534" spans="9:17" x14ac:dyDescent="0.35">
      <c r="I534" s="178" t="s">
        <v>496</v>
      </c>
      <c r="J534" s="178" t="s">
        <v>95</v>
      </c>
      <c r="K534" s="139">
        <v>3</v>
      </c>
      <c r="L534" s="140" t="s">
        <v>33</v>
      </c>
      <c r="M534" s="140" t="s">
        <v>76</v>
      </c>
      <c r="N534" s="74" t="s">
        <v>35</v>
      </c>
      <c r="O534" s="74" t="s">
        <v>40</v>
      </c>
      <c r="P534" s="74" t="s">
        <v>96</v>
      </c>
      <c r="Q534" s="140" t="s">
        <v>54</v>
      </c>
    </row>
    <row r="535" spans="9:17" x14ac:dyDescent="0.35">
      <c r="I535" s="178" t="s">
        <v>496</v>
      </c>
      <c r="J535" s="178" t="s">
        <v>95</v>
      </c>
      <c r="K535" s="139">
        <v>3</v>
      </c>
      <c r="L535" s="140" t="s">
        <v>33</v>
      </c>
      <c r="M535" s="140" t="s">
        <v>76</v>
      </c>
      <c r="N535" s="74" t="s">
        <v>39</v>
      </c>
      <c r="O535" s="74" t="s">
        <v>108</v>
      </c>
      <c r="P535" s="74" t="s">
        <v>96</v>
      </c>
      <c r="Q535" s="140" t="s">
        <v>54</v>
      </c>
    </row>
    <row r="536" spans="9:17" ht="14.5" customHeight="1" x14ac:dyDescent="0.35">
      <c r="I536" s="178" t="s">
        <v>496</v>
      </c>
      <c r="J536" s="178" t="s">
        <v>320</v>
      </c>
      <c r="K536" s="139">
        <v>3</v>
      </c>
      <c r="L536" s="140" t="s">
        <v>33</v>
      </c>
      <c r="M536" s="140" t="s">
        <v>136</v>
      </c>
      <c r="N536" s="74" t="s">
        <v>35</v>
      </c>
      <c r="O536" s="74" t="s">
        <v>511</v>
      </c>
      <c r="P536" s="74" t="s">
        <v>96</v>
      </c>
      <c r="Q536" s="140" t="s">
        <v>38</v>
      </c>
    </row>
    <row r="537" spans="9:17" ht="28" x14ac:dyDescent="0.35">
      <c r="I537" s="178" t="s">
        <v>496</v>
      </c>
      <c r="J537" s="178" t="s">
        <v>320</v>
      </c>
      <c r="K537" s="139">
        <v>3</v>
      </c>
      <c r="L537" s="140" t="s">
        <v>33</v>
      </c>
      <c r="M537" s="140" t="s">
        <v>136</v>
      </c>
      <c r="N537" s="74" t="s">
        <v>48</v>
      </c>
      <c r="O537" s="74" t="s">
        <v>511</v>
      </c>
      <c r="P537" s="74" t="s">
        <v>96</v>
      </c>
      <c r="Q537" s="140" t="s">
        <v>38</v>
      </c>
    </row>
    <row r="538" spans="9:17" ht="14.5" customHeight="1" x14ac:dyDescent="0.35">
      <c r="I538" s="178" t="s">
        <v>496</v>
      </c>
      <c r="J538" s="178" t="s">
        <v>320</v>
      </c>
      <c r="K538" s="139">
        <v>3</v>
      </c>
      <c r="L538" s="140" t="s">
        <v>33</v>
      </c>
      <c r="M538" s="140" t="s">
        <v>76</v>
      </c>
      <c r="N538" s="74" t="s">
        <v>35</v>
      </c>
      <c r="O538" s="74" t="s">
        <v>40</v>
      </c>
      <c r="P538" s="74" t="s">
        <v>96</v>
      </c>
      <c r="Q538" s="140" t="s">
        <v>38</v>
      </c>
    </row>
    <row r="539" spans="9:17" ht="28" x14ac:dyDescent="0.35">
      <c r="I539" s="178" t="s">
        <v>496</v>
      </c>
      <c r="J539" s="178" t="s">
        <v>320</v>
      </c>
      <c r="K539" s="139">
        <v>3</v>
      </c>
      <c r="L539" s="140" t="s">
        <v>33</v>
      </c>
      <c r="M539" s="140" t="s">
        <v>76</v>
      </c>
      <c r="N539" s="74" t="s">
        <v>48</v>
      </c>
      <c r="O539" s="74" t="s">
        <v>40</v>
      </c>
      <c r="P539" s="74" t="s">
        <v>128</v>
      </c>
      <c r="Q539" s="140" t="s">
        <v>38</v>
      </c>
    </row>
    <row r="540" spans="9:17" ht="14.5" customHeight="1" x14ac:dyDescent="0.35">
      <c r="I540" s="178" t="s">
        <v>496</v>
      </c>
      <c r="J540" s="178" t="s">
        <v>320</v>
      </c>
      <c r="K540" s="139">
        <v>3</v>
      </c>
      <c r="L540" s="140" t="s">
        <v>33</v>
      </c>
      <c r="M540" s="140" t="s">
        <v>79</v>
      </c>
      <c r="N540" s="74" t="s">
        <v>35</v>
      </c>
      <c r="O540" s="76" t="s">
        <v>91</v>
      </c>
      <c r="P540" s="74" t="s">
        <v>96</v>
      </c>
      <c r="Q540" s="140" t="s">
        <v>38</v>
      </c>
    </row>
    <row r="541" spans="9:17" ht="28" x14ac:dyDescent="0.35">
      <c r="I541" s="178" t="s">
        <v>496</v>
      </c>
      <c r="J541" s="178" t="s">
        <v>320</v>
      </c>
      <c r="K541" s="139">
        <v>3</v>
      </c>
      <c r="L541" s="140" t="s">
        <v>33</v>
      </c>
      <c r="M541" s="140" t="s">
        <v>79</v>
      </c>
      <c r="N541" s="74" t="s">
        <v>48</v>
      </c>
      <c r="O541" s="76" t="s">
        <v>91</v>
      </c>
      <c r="P541" s="74" t="s">
        <v>96</v>
      </c>
      <c r="Q541" s="140" t="s">
        <v>38</v>
      </c>
    </row>
    <row r="542" spans="9:17" ht="14.5" customHeight="1" x14ac:dyDescent="0.35">
      <c r="I542" s="178" t="s">
        <v>496</v>
      </c>
      <c r="J542" s="178" t="s">
        <v>320</v>
      </c>
      <c r="K542" s="139">
        <v>3</v>
      </c>
      <c r="L542" s="140" t="s">
        <v>33</v>
      </c>
      <c r="M542" s="140" t="s">
        <v>97</v>
      </c>
      <c r="N542" s="74" t="s">
        <v>46</v>
      </c>
      <c r="O542" s="74" t="s">
        <v>511</v>
      </c>
      <c r="P542" s="74" t="s">
        <v>98</v>
      </c>
      <c r="Q542" s="140" t="s">
        <v>38</v>
      </c>
    </row>
    <row r="543" spans="9:17" ht="28" x14ac:dyDescent="0.35">
      <c r="I543" s="178" t="s">
        <v>496</v>
      </c>
      <c r="J543" s="178" t="s">
        <v>320</v>
      </c>
      <c r="K543" s="139">
        <v>3</v>
      </c>
      <c r="L543" s="140" t="s">
        <v>33</v>
      </c>
      <c r="M543" s="140" t="s">
        <v>97</v>
      </c>
      <c r="N543" s="74" t="s">
        <v>55</v>
      </c>
      <c r="O543" s="74" t="s">
        <v>511</v>
      </c>
      <c r="P543" s="74" t="s">
        <v>98</v>
      </c>
      <c r="Q543" s="140" t="s">
        <v>38</v>
      </c>
    </row>
    <row r="544" spans="9:17" ht="14.5" customHeight="1" x14ac:dyDescent="0.35">
      <c r="I544" s="178" t="s">
        <v>321</v>
      </c>
      <c r="J544" s="178" t="s">
        <v>276</v>
      </c>
      <c r="K544" s="139">
        <v>2</v>
      </c>
      <c r="L544" s="140" t="s">
        <v>75</v>
      </c>
      <c r="M544" s="140" t="s">
        <v>49</v>
      </c>
      <c r="N544" s="74" t="s">
        <v>46</v>
      </c>
      <c r="O544" s="74" t="s">
        <v>56</v>
      </c>
      <c r="P544" s="74" t="s">
        <v>133</v>
      </c>
      <c r="Q544" s="140" t="s">
        <v>38</v>
      </c>
    </row>
    <row r="545" spans="9:17" ht="28" x14ac:dyDescent="0.35">
      <c r="I545" s="178" t="s">
        <v>321</v>
      </c>
      <c r="J545" s="178" t="s">
        <v>276</v>
      </c>
      <c r="K545" s="139">
        <v>2</v>
      </c>
      <c r="L545" s="140" t="s">
        <v>75</v>
      </c>
      <c r="M545" s="140" t="s">
        <v>49</v>
      </c>
      <c r="N545" s="74" t="s">
        <v>55</v>
      </c>
      <c r="O545" s="74" t="s">
        <v>52</v>
      </c>
      <c r="P545" s="74" t="s">
        <v>206</v>
      </c>
      <c r="Q545" s="140" t="s">
        <v>38</v>
      </c>
    </row>
    <row r="546" spans="9:17" x14ac:dyDescent="0.35">
      <c r="I546" s="178" t="s">
        <v>321</v>
      </c>
      <c r="J546" s="178" t="s">
        <v>187</v>
      </c>
      <c r="K546" s="139">
        <v>1.5</v>
      </c>
      <c r="L546" s="140" t="s">
        <v>75</v>
      </c>
      <c r="M546" s="140" t="s">
        <v>97</v>
      </c>
      <c r="N546" s="74" t="s">
        <v>35</v>
      </c>
      <c r="O546" s="74" t="s">
        <v>511</v>
      </c>
      <c r="P546" s="74" t="s">
        <v>159</v>
      </c>
      <c r="Q546" s="140" t="s">
        <v>54</v>
      </c>
    </row>
    <row r="547" spans="9:17" x14ac:dyDescent="0.35">
      <c r="I547" s="178" t="s">
        <v>321</v>
      </c>
      <c r="J547" s="178" t="s">
        <v>187</v>
      </c>
      <c r="K547" s="139">
        <v>1.5</v>
      </c>
      <c r="L547" s="140" t="s">
        <v>75</v>
      </c>
      <c r="M547" s="140" t="s">
        <v>97</v>
      </c>
      <c r="N547" s="84" t="s">
        <v>39</v>
      </c>
      <c r="O547" s="84" t="s">
        <v>511</v>
      </c>
      <c r="P547" s="84" t="s">
        <v>208</v>
      </c>
      <c r="Q547" s="140" t="s">
        <v>54</v>
      </c>
    </row>
    <row r="548" spans="9:17" x14ac:dyDescent="0.35">
      <c r="I548" s="178" t="s">
        <v>321</v>
      </c>
      <c r="J548" s="178" t="s">
        <v>50</v>
      </c>
      <c r="K548" s="139">
        <v>1.5</v>
      </c>
      <c r="L548" s="140" t="s">
        <v>81</v>
      </c>
      <c r="M548" s="140" t="s">
        <v>34</v>
      </c>
      <c r="N548" s="74" t="s">
        <v>35</v>
      </c>
      <c r="O548" s="74" t="s">
        <v>219</v>
      </c>
      <c r="P548" s="74" t="s">
        <v>322</v>
      </c>
      <c r="Q548" s="140" t="s">
        <v>38</v>
      </c>
    </row>
    <row r="549" spans="9:17" x14ac:dyDescent="0.35">
      <c r="I549" s="178" t="s">
        <v>321</v>
      </c>
      <c r="J549" s="178" t="s">
        <v>50</v>
      </c>
      <c r="K549" s="139">
        <v>1.5</v>
      </c>
      <c r="L549" s="140" t="s">
        <v>81</v>
      </c>
      <c r="M549" s="140" t="s">
        <v>34</v>
      </c>
      <c r="N549" s="74" t="s">
        <v>39</v>
      </c>
      <c r="O549" s="74" t="s">
        <v>84</v>
      </c>
      <c r="P549" s="74" t="s">
        <v>323</v>
      </c>
      <c r="Q549" s="140" t="s">
        <v>38</v>
      </c>
    </row>
    <row r="550" spans="9:17" x14ac:dyDescent="0.35">
      <c r="I550" s="178" t="s">
        <v>321</v>
      </c>
      <c r="J550" s="178" t="s">
        <v>50</v>
      </c>
      <c r="K550" s="139">
        <v>1.5</v>
      </c>
      <c r="L550" s="140" t="s">
        <v>81</v>
      </c>
      <c r="M550" s="140" t="s">
        <v>45</v>
      </c>
      <c r="N550" s="74" t="s">
        <v>46</v>
      </c>
      <c r="O550" s="74" t="s">
        <v>219</v>
      </c>
      <c r="P550" s="74" t="s">
        <v>324</v>
      </c>
      <c r="Q550" s="140" t="s">
        <v>38</v>
      </c>
    </row>
    <row r="551" spans="9:17" x14ac:dyDescent="0.35">
      <c r="I551" s="178" t="s">
        <v>321</v>
      </c>
      <c r="J551" s="178" t="s">
        <v>50</v>
      </c>
      <c r="K551" s="139">
        <v>1.5</v>
      </c>
      <c r="L551" s="140" t="s">
        <v>81</v>
      </c>
      <c r="M551" s="140" t="s">
        <v>45</v>
      </c>
      <c r="N551" s="84" t="s">
        <v>48</v>
      </c>
      <c r="O551" s="84" t="s">
        <v>84</v>
      </c>
      <c r="P551" s="84" t="s">
        <v>323</v>
      </c>
      <c r="Q551" s="140" t="s">
        <v>38</v>
      </c>
    </row>
    <row r="552" spans="9:17" x14ac:dyDescent="0.35">
      <c r="I552" s="178" t="s">
        <v>321</v>
      </c>
      <c r="J552" s="178" t="s">
        <v>50</v>
      </c>
      <c r="K552" s="139">
        <v>1.5</v>
      </c>
      <c r="L552" s="140" t="s">
        <v>81</v>
      </c>
      <c r="M552" s="140" t="s">
        <v>289</v>
      </c>
      <c r="N552" s="74" t="s">
        <v>35</v>
      </c>
      <c r="O552" s="74" t="s">
        <v>56</v>
      </c>
      <c r="P552" s="74" t="s">
        <v>85</v>
      </c>
      <c r="Q552" s="140" t="s">
        <v>38</v>
      </c>
    </row>
    <row r="553" spans="9:17" x14ac:dyDescent="0.35">
      <c r="I553" s="178" t="s">
        <v>321</v>
      </c>
      <c r="J553" s="178" t="s">
        <v>50</v>
      </c>
      <c r="K553" s="139">
        <v>1.5</v>
      </c>
      <c r="L553" s="140" t="s">
        <v>81</v>
      </c>
      <c r="M553" s="140" t="s">
        <v>289</v>
      </c>
      <c r="N553" s="74" t="s">
        <v>39</v>
      </c>
      <c r="O553" s="74" t="s">
        <v>59</v>
      </c>
      <c r="P553" s="74" t="s">
        <v>324</v>
      </c>
      <c r="Q553" s="140" t="s">
        <v>38</v>
      </c>
    </row>
    <row r="554" spans="9:17" x14ac:dyDescent="0.35">
      <c r="I554" s="178" t="s">
        <v>321</v>
      </c>
      <c r="J554" s="178" t="s">
        <v>58</v>
      </c>
      <c r="K554" s="139">
        <v>1.5</v>
      </c>
      <c r="L554" s="140" t="s">
        <v>325</v>
      </c>
      <c r="M554" s="140" t="s">
        <v>34</v>
      </c>
      <c r="N554" s="74" t="s">
        <v>35</v>
      </c>
      <c r="O554" s="84" t="s">
        <v>84</v>
      </c>
      <c r="P554" s="74" t="s">
        <v>60</v>
      </c>
      <c r="Q554" s="140" t="s">
        <v>38</v>
      </c>
    </row>
    <row r="555" spans="9:17" x14ac:dyDescent="0.35">
      <c r="I555" s="178" t="s">
        <v>321</v>
      </c>
      <c r="J555" s="178" t="s">
        <v>58</v>
      </c>
      <c r="K555" s="139">
        <v>1.5</v>
      </c>
      <c r="L555" s="140" t="s">
        <v>325</v>
      </c>
      <c r="M555" s="140" t="s">
        <v>34</v>
      </c>
      <c r="N555" s="74" t="s">
        <v>46</v>
      </c>
      <c r="O555" s="74" t="s">
        <v>219</v>
      </c>
      <c r="P555" s="74" t="s">
        <v>60</v>
      </c>
      <c r="Q555" s="140" t="s">
        <v>38</v>
      </c>
    </row>
    <row r="556" spans="9:17" x14ac:dyDescent="0.35">
      <c r="I556" s="178" t="s">
        <v>321</v>
      </c>
      <c r="J556" s="178" t="s">
        <v>50</v>
      </c>
      <c r="K556" s="139">
        <v>1.5</v>
      </c>
      <c r="L556" s="140" t="s">
        <v>326</v>
      </c>
      <c r="M556" s="140" t="s">
        <v>34</v>
      </c>
      <c r="N556" s="74" t="s">
        <v>39</v>
      </c>
      <c r="O556" s="74" t="s">
        <v>511</v>
      </c>
      <c r="P556" s="74" t="s">
        <v>327</v>
      </c>
      <c r="Q556" s="140" t="s">
        <v>54</v>
      </c>
    </row>
    <row r="557" spans="9:17" x14ac:dyDescent="0.35">
      <c r="I557" s="178" t="s">
        <v>321</v>
      </c>
      <c r="J557" s="178" t="s">
        <v>50</v>
      </c>
      <c r="K557" s="139">
        <v>1.5</v>
      </c>
      <c r="L557" s="140" t="s">
        <v>326</v>
      </c>
      <c r="M557" s="140" t="s">
        <v>34</v>
      </c>
      <c r="N557" s="74" t="s">
        <v>55</v>
      </c>
      <c r="O557" s="74" t="s">
        <v>511</v>
      </c>
      <c r="P557" s="74" t="s">
        <v>328</v>
      </c>
      <c r="Q557" s="140" t="s">
        <v>54</v>
      </c>
    </row>
    <row r="558" spans="9:17" x14ac:dyDescent="0.35">
      <c r="I558" s="178" t="s">
        <v>321</v>
      </c>
      <c r="J558" s="178" t="s">
        <v>58</v>
      </c>
      <c r="K558" s="139">
        <v>1.5</v>
      </c>
      <c r="L558" s="140" t="s">
        <v>326</v>
      </c>
      <c r="M558" s="140" t="s">
        <v>42</v>
      </c>
      <c r="N558" s="74" t="s">
        <v>39</v>
      </c>
      <c r="O558" s="74" t="s">
        <v>61</v>
      </c>
      <c r="P558" s="74" t="s">
        <v>60</v>
      </c>
      <c r="Q558" s="140" t="s">
        <v>54</v>
      </c>
    </row>
    <row r="559" spans="9:17" x14ac:dyDescent="0.35">
      <c r="I559" s="178" t="s">
        <v>321</v>
      </c>
      <c r="J559" s="178" t="s">
        <v>58</v>
      </c>
      <c r="K559" s="139">
        <v>1.5</v>
      </c>
      <c r="L559" s="140" t="s">
        <v>326</v>
      </c>
      <c r="M559" s="140" t="s">
        <v>42</v>
      </c>
      <c r="N559" s="74" t="s">
        <v>55</v>
      </c>
      <c r="O559" s="74" t="s">
        <v>61</v>
      </c>
      <c r="P559" s="74" t="s">
        <v>60</v>
      </c>
      <c r="Q559" s="140" t="s">
        <v>54</v>
      </c>
    </row>
    <row r="560" spans="9:17" x14ac:dyDescent="0.35">
      <c r="I560" s="178" t="s">
        <v>321</v>
      </c>
      <c r="J560" s="178" t="s">
        <v>58</v>
      </c>
      <c r="K560" s="139">
        <v>1.5</v>
      </c>
      <c r="L560" s="140" t="s">
        <v>260</v>
      </c>
      <c r="M560" s="140" t="s">
        <v>272</v>
      </c>
      <c r="N560" s="74" t="s">
        <v>46</v>
      </c>
      <c r="O560" s="74" t="s">
        <v>61</v>
      </c>
      <c r="P560" s="74" t="s">
        <v>291</v>
      </c>
      <c r="Q560" s="140" t="s">
        <v>54</v>
      </c>
    </row>
    <row r="561" spans="9:17" x14ac:dyDescent="0.35">
      <c r="I561" s="178" t="s">
        <v>321</v>
      </c>
      <c r="J561" s="178" t="s">
        <v>58</v>
      </c>
      <c r="K561" s="139">
        <v>1.5</v>
      </c>
      <c r="L561" s="140" t="s">
        <v>260</v>
      </c>
      <c r="M561" s="140" t="s">
        <v>272</v>
      </c>
      <c r="N561" s="74" t="s">
        <v>293</v>
      </c>
      <c r="O561" s="74" t="s">
        <v>61</v>
      </c>
      <c r="P561" s="74" t="s">
        <v>329</v>
      </c>
      <c r="Q561" s="140" t="s">
        <v>54</v>
      </c>
    </row>
    <row r="562" spans="9:17" ht="14.5" customHeight="1" x14ac:dyDescent="0.35">
      <c r="I562" s="178" t="s">
        <v>330</v>
      </c>
      <c r="J562" s="178" t="s">
        <v>185</v>
      </c>
      <c r="K562" s="139">
        <v>3</v>
      </c>
      <c r="L562" s="140" t="s">
        <v>75</v>
      </c>
      <c r="M562" s="140" t="s">
        <v>64</v>
      </c>
      <c r="N562" s="74" t="s">
        <v>46</v>
      </c>
      <c r="O562" s="74" t="s">
        <v>66</v>
      </c>
      <c r="P562" s="74" t="s">
        <v>208</v>
      </c>
      <c r="Q562" s="140" t="s">
        <v>54</v>
      </c>
    </row>
    <row r="563" spans="9:17" ht="28" x14ac:dyDescent="0.35">
      <c r="I563" s="178" t="s">
        <v>330</v>
      </c>
      <c r="J563" s="178" t="s">
        <v>185</v>
      </c>
      <c r="K563" s="139">
        <v>3</v>
      </c>
      <c r="L563" s="140" t="s">
        <v>75</v>
      </c>
      <c r="M563" s="140" t="s">
        <v>64</v>
      </c>
      <c r="N563" s="74" t="s">
        <v>55</v>
      </c>
      <c r="O563" s="74" t="s">
        <v>66</v>
      </c>
      <c r="P563" s="74" t="s">
        <v>208</v>
      </c>
      <c r="Q563" s="140" t="s">
        <v>54</v>
      </c>
    </row>
    <row r="564" spans="9:17" ht="14.5" customHeight="1" x14ac:dyDescent="0.35">
      <c r="I564" s="178" t="s">
        <v>330</v>
      </c>
      <c r="J564" s="178" t="s">
        <v>185</v>
      </c>
      <c r="K564" s="139">
        <v>3</v>
      </c>
      <c r="L564" s="140" t="s">
        <v>75</v>
      </c>
      <c r="M564" s="140" t="s">
        <v>103</v>
      </c>
      <c r="N564" s="74" t="s">
        <v>46</v>
      </c>
      <c r="O564" s="74" t="s">
        <v>108</v>
      </c>
      <c r="P564" s="74" t="s">
        <v>150</v>
      </c>
      <c r="Q564" s="140" t="s">
        <v>54</v>
      </c>
    </row>
    <row r="565" spans="9:17" ht="28" x14ac:dyDescent="0.35">
      <c r="I565" s="178" t="s">
        <v>330</v>
      </c>
      <c r="J565" s="178" t="s">
        <v>185</v>
      </c>
      <c r="K565" s="139">
        <v>3</v>
      </c>
      <c r="L565" s="140" t="s">
        <v>75</v>
      </c>
      <c r="M565" s="140" t="s">
        <v>103</v>
      </c>
      <c r="N565" s="74" t="s">
        <v>55</v>
      </c>
      <c r="O565" s="74" t="s">
        <v>44</v>
      </c>
      <c r="P565" s="74" t="s">
        <v>331</v>
      </c>
      <c r="Q565" s="140" t="s">
        <v>54</v>
      </c>
    </row>
    <row r="566" spans="9:17" x14ac:dyDescent="0.35">
      <c r="I566" s="178" t="s">
        <v>330</v>
      </c>
      <c r="J566" s="178" t="s">
        <v>74</v>
      </c>
      <c r="K566" s="139">
        <v>3</v>
      </c>
      <c r="L566" s="140" t="s">
        <v>75</v>
      </c>
      <c r="M566" s="140" t="s">
        <v>97</v>
      </c>
      <c r="N566" s="74" t="s">
        <v>46</v>
      </c>
      <c r="O566" s="74" t="s">
        <v>511</v>
      </c>
      <c r="P566" s="74" t="s">
        <v>114</v>
      </c>
      <c r="Q566" s="140" t="s">
        <v>38</v>
      </c>
    </row>
    <row r="567" spans="9:17" x14ac:dyDescent="0.35">
      <c r="I567" s="178" t="s">
        <v>330</v>
      </c>
      <c r="J567" s="178" t="s">
        <v>74</v>
      </c>
      <c r="K567" s="139">
        <v>3</v>
      </c>
      <c r="L567" s="140" t="s">
        <v>75</v>
      </c>
      <c r="M567" s="140" t="s">
        <v>97</v>
      </c>
      <c r="N567" s="74" t="s">
        <v>55</v>
      </c>
      <c r="O567" s="74" t="s">
        <v>66</v>
      </c>
      <c r="P567" s="74" t="s">
        <v>197</v>
      </c>
      <c r="Q567" s="140" t="s">
        <v>38</v>
      </c>
    </row>
    <row r="568" spans="9:17" x14ac:dyDescent="0.35">
      <c r="I568" s="178" t="s">
        <v>330</v>
      </c>
      <c r="J568" s="178" t="s">
        <v>161</v>
      </c>
      <c r="K568" s="139">
        <v>2</v>
      </c>
      <c r="L568" s="140" t="s">
        <v>75</v>
      </c>
      <c r="M568" s="140" t="s">
        <v>332</v>
      </c>
      <c r="N568" s="74" t="s">
        <v>46</v>
      </c>
      <c r="O568" s="74" t="s">
        <v>52</v>
      </c>
      <c r="P568" s="74" t="s">
        <v>190</v>
      </c>
      <c r="Q568" s="140" t="s">
        <v>38</v>
      </c>
    </row>
    <row r="569" spans="9:17" x14ac:dyDescent="0.35">
      <c r="I569" s="178" t="s">
        <v>330</v>
      </c>
      <c r="J569" s="178" t="s">
        <v>161</v>
      </c>
      <c r="K569" s="139">
        <v>2</v>
      </c>
      <c r="L569" s="140" t="s">
        <v>75</v>
      </c>
      <c r="M569" s="140" t="s">
        <v>332</v>
      </c>
      <c r="N569" s="74" t="s">
        <v>48</v>
      </c>
      <c r="O569" s="74" t="s">
        <v>56</v>
      </c>
      <c r="P569" s="74" t="s">
        <v>190</v>
      </c>
      <c r="Q569" s="140" t="s">
        <v>38</v>
      </c>
    </row>
    <row r="570" spans="9:17" ht="14.5" customHeight="1" x14ac:dyDescent="0.35">
      <c r="I570" s="178" t="s">
        <v>330</v>
      </c>
      <c r="J570" s="178" t="s">
        <v>278</v>
      </c>
      <c r="K570" s="139">
        <v>1</v>
      </c>
      <c r="L570" s="140" t="s">
        <v>63</v>
      </c>
      <c r="M570" s="140" t="s">
        <v>34</v>
      </c>
      <c r="N570" s="74" t="s">
        <v>35</v>
      </c>
      <c r="O570" s="74" t="s">
        <v>56</v>
      </c>
      <c r="P570" s="74" t="s">
        <v>155</v>
      </c>
      <c r="Q570" s="140" t="s">
        <v>54</v>
      </c>
    </row>
    <row r="571" spans="9:17" ht="28" x14ac:dyDescent="0.35">
      <c r="I571" s="178" t="s">
        <v>330</v>
      </c>
      <c r="J571" s="178" t="s">
        <v>278</v>
      </c>
      <c r="K571" s="139">
        <v>1</v>
      </c>
      <c r="L571" s="140" t="s">
        <v>63</v>
      </c>
      <c r="M571" s="140" t="s">
        <v>34</v>
      </c>
      <c r="N571" s="74" t="s">
        <v>46</v>
      </c>
      <c r="O571" s="74" t="s">
        <v>56</v>
      </c>
      <c r="P571" s="74" t="s">
        <v>155</v>
      </c>
      <c r="Q571" s="140" t="s">
        <v>54</v>
      </c>
    </row>
    <row r="572" spans="9:17" ht="14.5" customHeight="1" x14ac:dyDescent="0.35">
      <c r="I572" s="178" t="s">
        <v>330</v>
      </c>
      <c r="J572" s="178" t="s">
        <v>186</v>
      </c>
      <c r="K572" s="139">
        <v>1</v>
      </c>
      <c r="L572" s="140" t="s">
        <v>63</v>
      </c>
      <c r="M572" s="140" t="s">
        <v>34</v>
      </c>
      <c r="N572" s="74" t="s">
        <v>35</v>
      </c>
      <c r="O572" s="84" t="s">
        <v>44</v>
      </c>
      <c r="P572" s="74" t="s">
        <v>155</v>
      </c>
      <c r="Q572" s="140" t="s">
        <v>38</v>
      </c>
    </row>
    <row r="573" spans="9:17" ht="28" x14ac:dyDescent="0.35">
      <c r="I573" s="178" t="s">
        <v>330</v>
      </c>
      <c r="J573" s="178" t="s">
        <v>186</v>
      </c>
      <c r="K573" s="139">
        <v>1</v>
      </c>
      <c r="L573" s="140" t="s">
        <v>63</v>
      </c>
      <c r="M573" s="140" t="s">
        <v>34</v>
      </c>
      <c r="N573" s="74" t="s">
        <v>46</v>
      </c>
      <c r="O573" s="84" t="s">
        <v>44</v>
      </c>
      <c r="P573" s="74" t="s">
        <v>155</v>
      </c>
      <c r="Q573" s="140" t="s">
        <v>38</v>
      </c>
    </row>
    <row r="574" spans="9:17" ht="14.5" customHeight="1" x14ac:dyDescent="0.35">
      <c r="I574" s="178" t="s">
        <v>330</v>
      </c>
      <c r="J574" s="178" t="s">
        <v>279</v>
      </c>
      <c r="K574" s="139">
        <v>1.5</v>
      </c>
      <c r="L574" s="140" t="s">
        <v>68</v>
      </c>
      <c r="M574" s="140" t="s">
        <v>64</v>
      </c>
      <c r="N574" s="84" t="s">
        <v>46</v>
      </c>
      <c r="O574" s="76" t="s">
        <v>40</v>
      </c>
      <c r="P574" s="76" t="s">
        <v>149</v>
      </c>
      <c r="Q574" s="140" t="s">
        <v>38</v>
      </c>
    </row>
    <row r="575" spans="9:17" ht="28" x14ac:dyDescent="0.35">
      <c r="I575" s="178" t="s">
        <v>330</v>
      </c>
      <c r="J575" s="178" t="s">
        <v>279</v>
      </c>
      <c r="K575" s="139">
        <v>1.5</v>
      </c>
      <c r="L575" s="140" t="s">
        <v>68</v>
      </c>
      <c r="M575" s="140" t="s">
        <v>64</v>
      </c>
      <c r="N575" s="84" t="s">
        <v>48</v>
      </c>
      <c r="O575" s="76" t="s">
        <v>40</v>
      </c>
      <c r="P575" s="76" t="s">
        <v>149</v>
      </c>
      <c r="Q575" s="140" t="s">
        <v>38</v>
      </c>
    </row>
    <row r="576" spans="9:17" ht="14.5" customHeight="1" x14ac:dyDescent="0.35">
      <c r="I576" s="178" t="s">
        <v>330</v>
      </c>
      <c r="J576" s="178" t="s">
        <v>233</v>
      </c>
      <c r="K576" s="139">
        <v>1.5</v>
      </c>
      <c r="L576" s="140" t="s">
        <v>68</v>
      </c>
      <c r="M576" s="140" t="s">
        <v>64</v>
      </c>
      <c r="N576" s="84" t="s">
        <v>46</v>
      </c>
      <c r="O576" s="76" t="s">
        <v>44</v>
      </c>
      <c r="P576" s="74" t="s">
        <v>149</v>
      </c>
      <c r="Q576" s="140" t="s">
        <v>38</v>
      </c>
    </row>
    <row r="577" spans="9:17" ht="42" x14ac:dyDescent="0.35">
      <c r="I577" s="178" t="s">
        <v>330</v>
      </c>
      <c r="J577" s="178" t="s">
        <v>233</v>
      </c>
      <c r="K577" s="139">
        <v>1.5</v>
      </c>
      <c r="L577" s="140" t="s">
        <v>68</v>
      </c>
      <c r="M577" s="140" t="s">
        <v>64</v>
      </c>
      <c r="N577" s="84" t="s">
        <v>48</v>
      </c>
      <c r="O577" s="76" t="s">
        <v>44</v>
      </c>
      <c r="P577" s="76" t="s">
        <v>149</v>
      </c>
      <c r="Q577" s="140" t="s">
        <v>38</v>
      </c>
    </row>
    <row r="578" spans="9:17" ht="14.5" customHeight="1" x14ac:dyDescent="0.35">
      <c r="I578" s="178" t="s">
        <v>330</v>
      </c>
      <c r="J578" s="178" t="s">
        <v>278</v>
      </c>
      <c r="K578" s="139">
        <v>1.5</v>
      </c>
      <c r="L578" s="140" t="s">
        <v>68</v>
      </c>
      <c r="M578" s="140" t="s">
        <v>34</v>
      </c>
      <c r="N578" s="74" t="s">
        <v>35</v>
      </c>
      <c r="O578" s="95" t="s">
        <v>40</v>
      </c>
      <c r="P578" s="95" t="s">
        <v>53</v>
      </c>
      <c r="Q578" s="140" t="s">
        <v>54</v>
      </c>
    </row>
    <row r="579" spans="9:17" ht="28" x14ac:dyDescent="0.35">
      <c r="I579" s="178" t="s">
        <v>330</v>
      </c>
      <c r="J579" s="178" t="s">
        <v>278</v>
      </c>
      <c r="K579" s="139">
        <v>1.5</v>
      </c>
      <c r="L579" s="140" t="s">
        <v>68</v>
      </c>
      <c r="M579" s="140" t="s">
        <v>34</v>
      </c>
      <c r="N579" s="84" t="s">
        <v>48</v>
      </c>
      <c r="O579" s="74" t="s">
        <v>40</v>
      </c>
      <c r="P579" s="74" t="s">
        <v>53</v>
      </c>
      <c r="Q579" s="140" t="s">
        <v>54</v>
      </c>
    </row>
    <row r="580" spans="9:17" x14ac:dyDescent="0.35">
      <c r="I580" s="178" t="s">
        <v>330</v>
      </c>
      <c r="J580" s="183" t="s">
        <v>191</v>
      </c>
      <c r="K580" s="81">
        <v>3</v>
      </c>
      <c r="L580" s="140" t="s">
        <v>68</v>
      </c>
      <c r="M580" s="74" t="s">
        <v>333</v>
      </c>
      <c r="N580" s="74" t="s">
        <v>55</v>
      </c>
      <c r="O580" s="74" t="s">
        <v>82</v>
      </c>
      <c r="P580" s="74" t="s">
        <v>169</v>
      </c>
      <c r="Q580" s="74" t="s">
        <v>93</v>
      </c>
    </row>
    <row r="581" spans="9:17" ht="14.5" customHeight="1" x14ac:dyDescent="0.35">
      <c r="I581" s="178" t="s">
        <v>334</v>
      </c>
      <c r="J581" s="178" t="s">
        <v>335</v>
      </c>
      <c r="K581" s="139">
        <v>2</v>
      </c>
      <c r="L581" s="74" t="s">
        <v>75</v>
      </c>
      <c r="M581" s="140" t="s">
        <v>104</v>
      </c>
      <c r="N581" s="74" t="s">
        <v>35</v>
      </c>
      <c r="O581" s="74" t="s">
        <v>52</v>
      </c>
      <c r="P581" s="74" t="s">
        <v>160</v>
      </c>
      <c r="Q581" s="140" t="s">
        <v>54</v>
      </c>
    </row>
    <row r="582" spans="9:17" ht="42" x14ac:dyDescent="0.35">
      <c r="I582" s="178" t="s">
        <v>334</v>
      </c>
      <c r="J582" s="178" t="s">
        <v>335</v>
      </c>
      <c r="K582" s="139">
        <v>2</v>
      </c>
      <c r="L582" s="140" t="s">
        <v>75</v>
      </c>
      <c r="M582" s="140" t="s">
        <v>104</v>
      </c>
      <c r="N582" s="74" t="s">
        <v>55</v>
      </c>
      <c r="O582" s="74" t="s">
        <v>56</v>
      </c>
      <c r="P582" s="74" t="s">
        <v>150</v>
      </c>
      <c r="Q582" s="140" t="s">
        <v>54</v>
      </c>
    </row>
    <row r="583" spans="9:17" ht="14.5" customHeight="1" x14ac:dyDescent="0.35">
      <c r="I583" s="178" t="s">
        <v>334</v>
      </c>
      <c r="J583" s="178" t="s">
        <v>335</v>
      </c>
      <c r="K583" s="139">
        <v>2</v>
      </c>
      <c r="L583" s="140" t="s">
        <v>75</v>
      </c>
      <c r="M583" s="140" t="s">
        <v>153</v>
      </c>
      <c r="N583" s="74" t="s">
        <v>35</v>
      </c>
      <c r="O583" s="74" t="s">
        <v>56</v>
      </c>
      <c r="P583" s="74" t="s">
        <v>132</v>
      </c>
      <c r="Q583" s="140" t="s">
        <v>38</v>
      </c>
    </row>
    <row r="584" spans="9:17" ht="42" x14ac:dyDescent="0.35">
      <c r="I584" s="178" t="s">
        <v>334</v>
      </c>
      <c r="J584" s="178" t="s">
        <v>335</v>
      </c>
      <c r="K584" s="139">
        <v>2</v>
      </c>
      <c r="L584" s="140" t="s">
        <v>75</v>
      </c>
      <c r="M584" s="140" t="s">
        <v>153</v>
      </c>
      <c r="N584" s="74" t="s">
        <v>55</v>
      </c>
      <c r="O584" s="74" t="s">
        <v>52</v>
      </c>
      <c r="P584" s="74" t="s">
        <v>174</v>
      </c>
      <c r="Q584" s="140" t="s">
        <v>38</v>
      </c>
    </row>
    <row r="585" spans="9:17" x14ac:dyDescent="0.35">
      <c r="I585" s="178" t="s">
        <v>334</v>
      </c>
      <c r="J585" s="178" t="s">
        <v>50</v>
      </c>
      <c r="K585" s="139">
        <v>1.5</v>
      </c>
      <c r="L585" s="140" t="s">
        <v>325</v>
      </c>
      <c r="M585" s="140" t="s">
        <v>34</v>
      </c>
      <c r="N585" s="74" t="s">
        <v>35</v>
      </c>
      <c r="O585" s="74" t="s">
        <v>219</v>
      </c>
      <c r="P585" s="74" t="s">
        <v>88</v>
      </c>
      <c r="Q585" s="140" t="s">
        <v>38</v>
      </c>
    </row>
    <row r="586" spans="9:17" x14ac:dyDescent="0.35">
      <c r="I586" s="178" t="s">
        <v>334</v>
      </c>
      <c r="J586" s="178" t="s">
        <v>50</v>
      </c>
      <c r="K586" s="139">
        <v>1.5</v>
      </c>
      <c r="L586" s="140" t="s">
        <v>325</v>
      </c>
      <c r="M586" s="140" t="s">
        <v>34</v>
      </c>
      <c r="N586" s="74" t="s">
        <v>46</v>
      </c>
      <c r="O586" s="74" t="s">
        <v>131</v>
      </c>
      <c r="P586" s="74" t="s">
        <v>336</v>
      </c>
      <c r="Q586" s="140" t="s">
        <v>38</v>
      </c>
    </row>
    <row r="587" spans="9:17" x14ac:dyDescent="0.35">
      <c r="I587" s="178" t="s">
        <v>334</v>
      </c>
      <c r="J587" s="178" t="s">
        <v>58</v>
      </c>
      <c r="K587" s="139">
        <v>1.5</v>
      </c>
      <c r="L587" s="140" t="s">
        <v>326</v>
      </c>
      <c r="M587" s="140" t="s">
        <v>34</v>
      </c>
      <c r="N587" s="74" t="s">
        <v>39</v>
      </c>
      <c r="O587" s="74" t="s">
        <v>61</v>
      </c>
      <c r="P587" s="74" t="s">
        <v>60</v>
      </c>
      <c r="Q587" s="140" t="s">
        <v>54</v>
      </c>
    </row>
    <row r="588" spans="9:17" x14ac:dyDescent="0.35">
      <c r="I588" s="178" t="s">
        <v>334</v>
      </c>
      <c r="J588" s="178" t="s">
        <v>58</v>
      </c>
      <c r="K588" s="139">
        <v>1.5</v>
      </c>
      <c r="L588" s="140" t="s">
        <v>326</v>
      </c>
      <c r="M588" s="140" t="s">
        <v>34</v>
      </c>
      <c r="N588" s="74" t="s">
        <v>55</v>
      </c>
      <c r="O588" s="74" t="s">
        <v>61</v>
      </c>
      <c r="P588" s="74" t="s">
        <v>60</v>
      </c>
      <c r="Q588" s="140" t="s">
        <v>54</v>
      </c>
    </row>
    <row r="589" spans="9:17" x14ac:dyDescent="0.35">
      <c r="I589" s="178" t="s">
        <v>334</v>
      </c>
      <c r="J589" s="178" t="s">
        <v>50</v>
      </c>
      <c r="K589" s="139">
        <v>1.5</v>
      </c>
      <c r="L589" s="140" t="s">
        <v>326</v>
      </c>
      <c r="M589" s="140" t="s">
        <v>42</v>
      </c>
      <c r="N589" s="74" t="s">
        <v>39</v>
      </c>
      <c r="O589" s="74" t="s">
        <v>511</v>
      </c>
      <c r="P589" s="74" t="s">
        <v>328</v>
      </c>
      <c r="Q589" s="140" t="s">
        <v>54</v>
      </c>
    </row>
    <row r="590" spans="9:17" x14ac:dyDescent="0.35">
      <c r="I590" s="178" t="s">
        <v>334</v>
      </c>
      <c r="J590" s="178" t="s">
        <v>50</v>
      </c>
      <c r="K590" s="139">
        <v>1.5</v>
      </c>
      <c r="L590" s="140" t="s">
        <v>326</v>
      </c>
      <c r="M590" s="140" t="s">
        <v>42</v>
      </c>
      <c r="N590" s="74" t="s">
        <v>55</v>
      </c>
      <c r="O590" s="74" t="s">
        <v>511</v>
      </c>
      <c r="P590" s="74" t="s">
        <v>338</v>
      </c>
      <c r="Q590" s="140" t="s">
        <v>54</v>
      </c>
    </row>
    <row r="591" spans="9:17" x14ac:dyDescent="0.35">
      <c r="I591" s="178" t="s">
        <v>334</v>
      </c>
      <c r="J591" s="178" t="s">
        <v>50</v>
      </c>
      <c r="K591" s="139">
        <v>1.5</v>
      </c>
      <c r="L591" s="140" t="s">
        <v>260</v>
      </c>
      <c r="M591" s="140" t="s">
        <v>272</v>
      </c>
      <c r="N591" s="74" t="s">
        <v>35</v>
      </c>
      <c r="O591" s="74" t="s">
        <v>56</v>
      </c>
      <c r="P591" s="74" t="s">
        <v>291</v>
      </c>
      <c r="Q591" s="140" t="s">
        <v>54</v>
      </c>
    </row>
    <row r="592" spans="9:17" x14ac:dyDescent="0.35">
      <c r="I592" s="178" t="s">
        <v>334</v>
      </c>
      <c r="J592" s="178" t="s">
        <v>50</v>
      </c>
      <c r="K592" s="139">
        <v>1.5</v>
      </c>
      <c r="L592" s="140" t="s">
        <v>260</v>
      </c>
      <c r="M592" s="140" t="s">
        <v>272</v>
      </c>
      <c r="N592" s="74" t="s">
        <v>39</v>
      </c>
      <c r="O592" s="74" t="s">
        <v>56</v>
      </c>
      <c r="P592" s="74" t="s">
        <v>329</v>
      </c>
      <c r="Q592" s="140" t="s">
        <v>54</v>
      </c>
    </row>
    <row r="593" spans="9:17" x14ac:dyDescent="0.35">
      <c r="I593" s="178" t="s">
        <v>334</v>
      </c>
      <c r="J593" s="178" t="s">
        <v>161</v>
      </c>
      <c r="K593" s="139">
        <v>1.5</v>
      </c>
      <c r="L593" s="140" t="s">
        <v>75</v>
      </c>
      <c r="M593" s="140" t="s">
        <v>340</v>
      </c>
      <c r="N593" s="74" t="s">
        <v>46</v>
      </c>
      <c r="O593" s="74" t="s">
        <v>56</v>
      </c>
      <c r="P593" s="74" t="s">
        <v>190</v>
      </c>
      <c r="Q593" s="140" t="s">
        <v>38</v>
      </c>
    </row>
    <row r="594" spans="9:17" x14ac:dyDescent="0.35">
      <c r="I594" s="178" t="s">
        <v>334</v>
      </c>
      <c r="J594" s="178" t="s">
        <v>161</v>
      </c>
      <c r="K594" s="139">
        <v>1.5</v>
      </c>
      <c r="L594" s="140" t="s">
        <v>75</v>
      </c>
      <c r="M594" s="140" t="s">
        <v>340</v>
      </c>
      <c r="N594" s="74" t="s">
        <v>48</v>
      </c>
      <c r="O594" s="74" t="s">
        <v>52</v>
      </c>
      <c r="P594" s="74" t="s">
        <v>190</v>
      </c>
      <c r="Q594" s="140" t="s">
        <v>38</v>
      </c>
    </row>
    <row r="595" spans="9:17" x14ac:dyDescent="0.35">
      <c r="I595" s="178" t="s">
        <v>334</v>
      </c>
      <c r="J595" s="178" t="s">
        <v>188</v>
      </c>
      <c r="K595" s="139">
        <v>1.5</v>
      </c>
      <c r="L595" s="140" t="s">
        <v>33</v>
      </c>
      <c r="M595" s="140" t="s">
        <v>45</v>
      </c>
      <c r="N595" s="74" t="s">
        <v>46</v>
      </c>
      <c r="O595" s="74" t="s">
        <v>131</v>
      </c>
      <c r="P595" s="74" t="s">
        <v>43</v>
      </c>
      <c r="Q595" s="140" t="s">
        <v>38</v>
      </c>
    </row>
    <row r="596" spans="9:17" x14ac:dyDescent="0.35">
      <c r="I596" s="178" t="s">
        <v>334</v>
      </c>
      <c r="J596" s="178" t="s">
        <v>188</v>
      </c>
      <c r="K596" s="139">
        <v>1.5</v>
      </c>
      <c r="L596" s="140" t="s">
        <v>33</v>
      </c>
      <c r="M596" s="140" t="s">
        <v>45</v>
      </c>
      <c r="N596" s="74" t="s">
        <v>48</v>
      </c>
      <c r="O596" s="74" t="s">
        <v>131</v>
      </c>
      <c r="P596" s="74" t="s">
        <v>43</v>
      </c>
      <c r="Q596" s="140" t="s">
        <v>38</v>
      </c>
    </row>
    <row r="597" spans="9:17" x14ac:dyDescent="0.35">
      <c r="I597" s="178" t="s">
        <v>334</v>
      </c>
      <c r="J597" s="183" t="s">
        <v>191</v>
      </c>
      <c r="K597" s="81">
        <v>3</v>
      </c>
      <c r="L597" s="74" t="s">
        <v>75</v>
      </c>
      <c r="M597" s="74" t="s">
        <v>341</v>
      </c>
      <c r="N597" s="74" t="s">
        <v>55</v>
      </c>
      <c r="O597" s="74" t="s">
        <v>82</v>
      </c>
      <c r="P597" s="74" t="s">
        <v>155</v>
      </c>
      <c r="Q597" s="74" t="s">
        <v>93</v>
      </c>
    </row>
    <row r="598" spans="9:17" ht="14.5" customHeight="1" x14ac:dyDescent="0.35">
      <c r="I598" s="181" t="s">
        <v>497</v>
      </c>
      <c r="J598" s="178" t="s">
        <v>202</v>
      </c>
      <c r="K598" s="139">
        <v>3</v>
      </c>
      <c r="L598" s="140" t="s">
        <v>33</v>
      </c>
      <c r="M598" s="140" t="s">
        <v>136</v>
      </c>
      <c r="N598" s="74" t="s">
        <v>46</v>
      </c>
      <c r="O598" s="74" t="s">
        <v>511</v>
      </c>
      <c r="P598" s="74" t="s">
        <v>96</v>
      </c>
      <c r="Q598" s="140" t="s">
        <v>38</v>
      </c>
    </row>
    <row r="599" spans="9:17" x14ac:dyDescent="0.35">
      <c r="I599" s="181" t="s">
        <v>497</v>
      </c>
      <c r="J599" s="178" t="s">
        <v>202</v>
      </c>
      <c r="K599" s="139">
        <v>3</v>
      </c>
      <c r="L599" s="140" t="s">
        <v>33</v>
      </c>
      <c r="M599" s="140" t="s">
        <v>136</v>
      </c>
      <c r="N599" s="74" t="s">
        <v>48</v>
      </c>
      <c r="O599" s="74" t="s">
        <v>511</v>
      </c>
      <c r="P599" s="74" t="s">
        <v>98</v>
      </c>
      <c r="Q599" s="140" t="s">
        <v>38</v>
      </c>
    </row>
    <row r="600" spans="9:17" x14ac:dyDescent="0.35">
      <c r="I600" s="181" t="s">
        <v>497</v>
      </c>
      <c r="J600" s="178" t="s">
        <v>202</v>
      </c>
      <c r="K600" s="139">
        <v>3</v>
      </c>
      <c r="L600" s="140" t="s">
        <v>33</v>
      </c>
      <c r="M600" s="140" t="s">
        <v>76</v>
      </c>
      <c r="N600" s="74" t="s">
        <v>46</v>
      </c>
      <c r="O600" s="74" t="s">
        <v>40</v>
      </c>
      <c r="P600" s="74" t="s">
        <v>96</v>
      </c>
      <c r="Q600" s="140" t="s">
        <v>38</v>
      </c>
    </row>
    <row r="601" spans="9:17" x14ac:dyDescent="0.35">
      <c r="I601" s="181" t="s">
        <v>497</v>
      </c>
      <c r="J601" s="178" t="s">
        <v>202</v>
      </c>
      <c r="K601" s="139">
        <v>3</v>
      </c>
      <c r="L601" s="140" t="s">
        <v>33</v>
      </c>
      <c r="M601" s="140" t="s">
        <v>76</v>
      </c>
      <c r="N601" s="74" t="s">
        <v>48</v>
      </c>
      <c r="O601" s="74" t="s">
        <v>40</v>
      </c>
      <c r="P601" s="74" t="s">
        <v>98</v>
      </c>
      <c r="Q601" s="140" t="s">
        <v>38</v>
      </c>
    </row>
    <row r="602" spans="9:17" x14ac:dyDescent="0.35">
      <c r="I602" s="181" t="s">
        <v>497</v>
      </c>
      <c r="J602" s="178" t="s">
        <v>343</v>
      </c>
      <c r="K602" s="139">
        <v>3</v>
      </c>
      <c r="L602" s="140" t="s">
        <v>33</v>
      </c>
      <c r="M602" s="140" t="s">
        <v>90</v>
      </c>
      <c r="N602" s="74" t="s">
        <v>46</v>
      </c>
      <c r="O602" s="74" t="s">
        <v>511</v>
      </c>
      <c r="P602" s="74" t="s">
        <v>92</v>
      </c>
      <c r="Q602" s="140" t="s">
        <v>54</v>
      </c>
    </row>
    <row r="603" spans="9:17" x14ac:dyDescent="0.35">
      <c r="I603" s="181" t="s">
        <v>497</v>
      </c>
      <c r="J603" s="178" t="s">
        <v>343</v>
      </c>
      <c r="K603" s="139">
        <v>3</v>
      </c>
      <c r="L603" s="140" t="s">
        <v>33</v>
      </c>
      <c r="M603" s="140" t="s">
        <v>90</v>
      </c>
      <c r="N603" s="74" t="s">
        <v>48</v>
      </c>
      <c r="O603" s="74" t="s">
        <v>511</v>
      </c>
      <c r="P603" s="74" t="s">
        <v>92</v>
      </c>
      <c r="Q603" s="140" t="s">
        <v>54</v>
      </c>
    </row>
    <row r="604" spans="9:17" x14ac:dyDescent="0.35">
      <c r="I604" s="181" t="s">
        <v>497</v>
      </c>
      <c r="J604" s="178" t="s">
        <v>343</v>
      </c>
      <c r="K604" s="139">
        <v>3</v>
      </c>
      <c r="L604" s="140" t="s">
        <v>33</v>
      </c>
      <c r="M604" s="140" t="s">
        <v>173</v>
      </c>
      <c r="N604" s="74" t="s">
        <v>46</v>
      </c>
      <c r="O604" s="74" t="s">
        <v>40</v>
      </c>
      <c r="P604" s="74" t="s">
        <v>92</v>
      </c>
      <c r="Q604" s="140" t="s">
        <v>54</v>
      </c>
    </row>
    <row r="605" spans="9:17" x14ac:dyDescent="0.35">
      <c r="I605" s="181" t="s">
        <v>497</v>
      </c>
      <c r="J605" s="178" t="s">
        <v>343</v>
      </c>
      <c r="K605" s="139">
        <v>3</v>
      </c>
      <c r="L605" s="140" t="s">
        <v>33</v>
      </c>
      <c r="M605" s="140" t="s">
        <v>173</v>
      </c>
      <c r="N605" s="74" t="s">
        <v>48</v>
      </c>
      <c r="O605" s="74" t="s">
        <v>40</v>
      </c>
      <c r="P605" s="74" t="s">
        <v>92</v>
      </c>
      <c r="Q605" s="140" t="s">
        <v>54</v>
      </c>
    </row>
    <row r="606" spans="9:17" x14ac:dyDescent="0.35">
      <c r="I606" s="181" t="s">
        <v>497</v>
      </c>
      <c r="J606" s="178" t="s">
        <v>343</v>
      </c>
      <c r="K606" s="139">
        <v>3</v>
      </c>
      <c r="L606" s="140" t="s">
        <v>33</v>
      </c>
      <c r="M606" s="140" t="s">
        <v>175</v>
      </c>
      <c r="N606" s="74" t="s">
        <v>35</v>
      </c>
      <c r="O606" s="74" t="s">
        <v>40</v>
      </c>
      <c r="P606" s="74" t="s">
        <v>47</v>
      </c>
      <c r="Q606" s="140" t="s">
        <v>54</v>
      </c>
    </row>
    <row r="607" spans="9:17" x14ac:dyDescent="0.35">
      <c r="I607" s="181" t="s">
        <v>497</v>
      </c>
      <c r="J607" s="178" t="s">
        <v>343</v>
      </c>
      <c r="K607" s="139">
        <v>3</v>
      </c>
      <c r="L607" s="140" t="s">
        <v>33</v>
      </c>
      <c r="M607" s="140" t="s">
        <v>175</v>
      </c>
      <c r="N607" s="74" t="s">
        <v>48</v>
      </c>
      <c r="O607" s="74" t="s">
        <v>108</v>
      </c>
      <c r="P607" s="74" t="s">
        <v>47</v>
      </c>
      <c r="Q607" s="140" t="s">
        <v>54</v>
      </c>
    </row>
    <row r="608" spans="9:17" ht="14.5" customHeight="1" x14ac:dyDescent="0.35">
      <c r="I608" s="178" t="s">
        <v>344</v>
      </c>
      <c r="J608" s="178" t="s">
        <v>50</v>
      </c>
      <c r="K608" s="139">
        <v>1.5</v>
      </c>
      <c r="L608" s="140" t="s">
        <v>75</v>
      </c>
      <c r="M608" s="140" t="s">
        <v>34</v>
      </c>
      <c r="N608" s="74" t="s">
        <v>46</v>
      </c>
      <c r="O608" s="74" t="s">
        <v>52</v>
      </c>
      <c r="P608" s="74" t="s">
        <v>160</v>
      </c>
      <c r="Q608" s="140" t="s">
        <v>38</v>
      </c>
    </row>
    <row r="609" spans="9:17" x14ac:dyDescent="0.35">
      <c r="I609" s="178" t="s">
        <v>344</v>
      </c>
      <c r="J609" s="178" t="s">
        <v>50</v>
      </c>
      <c r="K609" s="139">
        <v>1.5</v>
      </c>
      <c r="L609" s="140" t="s">
        <v>75</v>
      </c>
      <c r="M609" s="140" t="s">
        <v>34</v>
      </c>
      <c r="N609" s="74" t="s">
        <v>48</v>
      </c>
      <c r="O609" s="74" t="s">
        <v>52</v>
      </c>
      <c r="P609" s="74" t="s">
        <v>160</v>
      </c>
      <c r="Q609" s="140" t="s">
        <v>38</v>
      </c>
    </row>
    <row r="610" spans="9:17" x14ac:dyDescent="0.35">
      <c r="I610" s="178" t="s">
        <v>344</v>
      </c>
      <c r="J610" s="178" t="s">
        <v>50</v>
      </c>
      <c r="K610" s="139">
        <v>1.5</v>
      </c>
      <c r="L610" s="140" t="s">
        <v>75</v>
      </c>
      <c r="M610" s="140" t="s">
        <v>42</v>
      </c>
      <c r="N610" s="74" t="s">
        <v>46</v>
      </c>
      <c r="O610" s="74" t="s">
        <v>56</v>
      </c>
      <c r="P610" s="74" t="s">
        <v>150</v>
      </c>
      <c r="Q610" s="140" t="s">
        <v>38</v>
      </c>
    </row>
    <row r="611" spans="9:17" x14ac:dyDescent="0.35">
      <c r="I611" s="178" t="s">
        <v>344</v>
      </c>
      <c r="J611" s="178" t="s">
        <v>50</v>
      </c>
      <c r="K611" s="139">
        <v>1.5</v>
      </c>
      <c r="L611" s="140" t="s">
        <v>75</v>
      </c>
      <c r="M611" s="140" t="s">
        <v>42</v>
      </c>
      <c r="N611" s="84" t="s">
        <v>48</v>
      </c>
      <c r="O611" s="74" t="s">
        <v>56</v>
      </c>
      <c r="P611" s="84" t="s">
        <v>133</v>
      </c>
      <c r="Q611" s="140" t="s">
        <v>38</v>
      </c>
    </row>
    <row r="612" spans="9:17" x14ac:dyDescent="0.35">
      <c r="I612" s="178" t="s">
        <v>344</v>
      </c>
      <c r="J612" s="178" t="s">
        <v>50</v>
      </c>
      <c r="K612" s="139">
        <v>1.5</v>
      </c>
      <c r="L612" s="140" t="s">
        <v>75</v>
      </c>
      <c r="M612" s="143" t="s">
        <v>45</v>
      </c>
      <c r="N612" s="118" t="s">
        <v>35</v>
      </c>
      <c r="O612" s="118" t="s">
        <v>56</v>
      </c>
      <c r="P612" s="118" t="s">
        <v>124</v>
      </c>
      <c r="Q612" s="140" t="s">
        <v>38</v>
      </c>
    </row>
    <row r="613" spans="9:17" x14ac:dyDescent="0.35">
      <c r="I613" s="178" t="s">
        <v>344</v>
      </c>
      <c r="J613" s="178" t="s">
        <v>50</v>
      </c>
      <c r="K613" s="139">
        <v>1.5</v>
      </c>
      <c r="L613" s="140" t="s">
        <v>75</v>
      </c>
      <c r="M613" s="143" t="s">
        <v>45</v>
      </c>
      <c r="N613" s="118" t="s">
        <v>48</v>
      </c>
      <c r="O613" s="118" t="s">
        <v>123</v>
      </c>
      <c r="P613" s="118" t="s">
        <v>155</v>
      </c>
      <c r="Q613" s="140" t="s">
        <v>38</v>
      </c>
    </row>
    <row r="614" spans="9:17" x14ac:dyDescent="0.35">
      <c r="I614" s="178" t="s">
        <v>344</v>
      </c>
      <c r="J614" s="180" t="s">
        <v>58</v>
      </c>
      <c r="K614" s="139">
        <v>1.5</v>
      </c>
      <c r="L614" s="140" t="s">
        <v>75</v>
      </c>
      <c r="M614" s="143" t="s">
        <v>49</v>
      </c>
      <c r="N614" s="118" t="s">
        <v>39</v>
      </c>
      <c r="O614" s="118" t="s">
        <v>56</v>
      </c>
      <c r="P614" s="118" t="s">
        <v>60</v>
      </c>
      <c r="Q614" s="140" t="s">
        <v>38</v>
      </c>
    </row>
    <row r="615" spans="9:17" x14ac:dyDescent="0.35">
      <c r="I615" s="178" t="s">
        <v>344</v>
      </c>
      <c r="J615" s="180" t="s">
        <v>58</v>
      </c>
      <c r="K615" s="139">
        <v>1.5</v>
      </c>
      <c r="L615" s="140" t="s">
        <v>75</v>
      </c>
      <c r="M615" s="143" t="s">
        <v>49</v>
      </c>
      <c r="N615" s="118" t="s">
        <v>55</v>
      </c>
      <c r="O615" s="118" t="s">
        <v>82</v>
      </c>
      <c r="P615" s="118" t="s">
        <v>60</v>
      </c>
      <c r="Q615" s="140" t="s">
        <v>38</v>
      </c>
    </row>
    <row r="616" spans="9:17" x14ac:dyDescent="0.35">
      <c r="I616" s="178" t="s">
        <v>344</v>
      </c>
      <c r="J616" s="180" t="s">
        <v>58</v>
      </c>
      <c r="K616" s="139">
        <v>1.5</v>
      </c>
      <c r="L616" s="140" t="s">
        <v>75</v>
      </c>
      <c r="M616" s="143" t="s">
        <v>289</v>
      </c>
      <c r="N616" s="118" t="s">
        <v>39</v>
      </c>
      <c r="O616" s="118" t="s">
        <v>61</v>
      </c>
      <c r="P616" s="118" t="s">
        <v>60</v>
      </c>
      <c r="Q616" s="140" t="s">
        <v>38</v>
      </c>
    </row>
    <row r="617" spans="9:17" x14ac:dyDescent="0.35">
      <c r="I617" s="178" t="s">
        <v>344</v>
      </c>
      <c r="J617" s="180" t="s">
        <v>58</v>
      </c>
      <c r="K617" s="139">
        <v>1.5</v>
      </c>
      <c r="L617" s="140" t="s">
        <v>75</v>
      </c>
      <c r="M617" s="143" t="s">
        <v>289</v>
      </c>
      <c r="N617" s="118" t="s">
        <v>55</v>
      </c>
      <c r="O617" s="118" t="s">
        <v>123</v>
      </c>
      <c r="P617" s="118" t="s">
        <v>60</v>
      </c>
      <c r="Q617" s="140" t="s">
        <v>38</v>
      </c>
    </row>
    <row r="618" spans="9:17" x14ac:dyDescent="0.35">
      <c r="I618" s="178" t="s">
        <v>344</v>
      </c>
      <c r="J618" s="180" t="s">
        <v>58</v>
      </c>
      <c r="K618" s="139">
        <v>1.5</v>
      </c>
      <c r="L618" s="140" t="s">
        <v>75</v>
      </c>
      <c r="M618" s="143" t="s">
        <v>272</v>
      </c>
      <c r="N618" s="118" t="s">
        <v>46</v>
      </c>
      <c r="O618" s="118" t="s">
        <v>123</v>
      </c>
      <c r="P618" s="118" t="s">
        <v>60</v>
      </c>
      <c r="Q618" s="143" t="s">
        <v>54</v>
      </c>
    </row>
    <row r="619" spans="9:17" x14ac:dyDescent="0.35">
      <c r="I619" s="178" t="s">
        <v>344</v>
      </c>
      <c r="J619" s="180" t="s">
        <v>58</v>
      </c>
      <c r="K619" s="139">
        <v>1.5</v>
      </c>
      <c r="L619" s="140" t="s">
        <v>75</v>
      </c>
      <c r="M619" s="143" t="s">
        <v>272</v>
      </c>
      <c r="N619" s="120" t="s">
        <v>55</v>
      </c>
      <c r="O619" s="118" t="s">
        <v>82</v>
      </c>
      <c r="P619" s="118" t="s">
        <v>60</v>
      </c>
      <c r="Q619" s="143" t="s">
        <v>54</v>
      </c>
    </row>
    <row r="620" spans="9:17" x14ac:dyDescent="0.35">
      <c r="I620" s="178" t="s">
        <v>344</v>
      </c>
      <c r="J620" s="178" t="s">
        <v>50</v>
      </c>
      <c r="K620" s="139">
        <v>1.5</v>
      </c>
      <c r="L620" s="140" t="s">
        <v>346</v>
      </c>
      <c r="M620" s="140" t="s">
        <v>42</v>
      </c>
      <c r="N620" s="74" t="s">
        <v>46</v>
      </c>
      <c r="O620" s="74" t="s">
        <v>511</v>
      </c>
      <c r="P620" s="74" t="s">
        <v>150</v>
      </c>
      <c r="Q620" s="140" t="s">
        <v>38</v>
      </c>
    </row>
    <row r="621" spans="9:17" x14ac:dyDescent="0.35">
      <c r="I621" s="178" t="s">
        <v>344</v>
      </c>
      <c r="J621" s="178" t="s">
        <v>50</v>
      </c>
      <c r="K621" s="139">
        <v>1.5</v>
      </c>
      <c r="L621" s="140" t="s">
        <v>346</v>
      </c>
      <c r="M621" s="140" t="s">
        <v>42</v>
      </c>
      <c r="N621" s="74" t="s">
        <v>48</v>
      </c>
      <c r="O621" s="74" t="s">
        <v>511</v>
      </c>
      <c r="P621" s="74" t="s">
        <v>133</v>
      </c>
      <c r="Q621" s="140" t="s">
        <v>38</v>
      </c>
    </row>
    <row r="622" spans="9:17" ht="14.5" customHeight="1" x14ac:dyDescent="0.35">
      <c r="I622" s="178" t="s">
        <v>344</v>
      </c>
      <c r="J622" s="178" t="s">
        <v>171</v>
      </c>
      <c r="K622" s="139">
        <v>2</v>
      </c>
      <c r="L622" s="140" t="s">
        <v>158</v>
      </c>
      <c r="M622" s="140" t="s">
        <v>90</v>
      </c>
      <c r="N622" s="74" t="s">
        <v>35</v>
      </c>
      <c r="O622" s="74" t="s">
        <v>52</v>
      </c>
      <c r="P622" s="74" t="s">
        <v>159</v>
      </c>
      <c r="Q622" s="140" t="s">
        <v>38</v>
      </c>
    </row>
    <row r="623" spans="9:17" ht="42" x14ac:dyDescent="0.35">
      <c r="I623" s="178" t="s">
        <v>344</v>
      </c>
      <c r="J623" s="178" t="s">
        <v>171</v>
      </c>
      <c r="K623" s="139">
        <v>2</v>
      </c>
      <c r="L623" s="140" t="s">
        <v>158</v>
      </c>
      <c r="M623" s="140" t="s">
        <v>90</v>
      </c>
      <c r="N623" s="74" t="s">
        <v>55</v>
      </c>
      <c r="O623" s="74" t="s">
        <v>52</v>
      </c>
      <c r="P623" s="74" t="s">
        <v>208</v>
      </c>
      <c r="Q623" s="140" t="s">
        <v>38</v>
      </c>
    </row>
    <row r="624" spans="9:17" x14ac:dyDescent="0.35">
      <c r="I624" s="178" t="s">
        <v>344</v>
      </c>
      <c r="J624" s="183" t="s">
        <v>191</v>
      </c>
      <c r="K624" s="81">
        <v>3</v>
      </c>
      <c r="L624" s="74" t="s">
        <v>75</v>
      </c>
      <c r="M624" s="74" t="s">
        <v>347</v>
      </c>
      <c r="N624" s="74" t="s">
        <v>55</v>
      </c>
      <c r="O624" s="74" t="s">
        <v>82</v>
      </c>
      <c r="P624" s="75" t="s">
        <v>78</v>
      </c>
      <c r="Q624" s="74" t="s">
        <v>93</v>
      </c>
    </row>
    <row r="625" spans="9:17" ht="14.5" customHeight="1" x14ac:dyDescent="0.35">
      <c r="I625" s="181" t="s">
        <v>498</v>
      </c>
      <c r="J625" s="178" t="s">
        <v>228</v>
      </c>
      <c r="K625" s="81">
        <v>3</v>
      </c>
      <c r="L625" s="140" t="s">
        <v>75</v>
      </c>
      <c r="M625" s="140" t="s">
        <v>101</v>
      </c>
      <c r="N625" s="74" t="s">
        <v>35</v>
      </c>
      <c r="O625" s="74" t="s">
        <v>40</v>
      </c>
      <c r="P625" s="75" t="s">
        <v>149</v>
      </c>
      <c r="Q625" s="140" t="s">
        <v>38</v>
      </c>
    </row>
    <row r="626" spans="9:17" x14ac:dyDescent="0.35">
      <c r="I626" s="181" t="s">
        <v>498</v>
      </c>
      <c r="J626" s="178" t="s">
        <v>228</v>
      </c>
      <c r="K626" s="81">
        <v>3</v>
      </c>
      <c r="L626" s="140" t="s">
        <v>75</v>
      </c>
      <c r="M626" s="140" t="s">
        <v>101</v>
      </c>
      <c r="N626" s="74" t="s">
        <v>55</v>
      </c>
      <c r="O626" s="74" t="s">
        <v>44</v>
      </c>
      <c r="P626" s="74" t="s">
        <v>174</v>
      </c>
      <c r="Q626" s="140" t="s">
        <v>38</v>
      </c>
    </row>
    <row r="627" spans="9:17" x14ac:dyDescent="0.35">
      <c r="I627" s="181" t="s">
        <v>498</v>
      </c>
      <c r="J627" s="178" t="s">
        <v>228</v>
      </c>
      <c r="K627" s="81">
        <v>3</v>
      </c>
      <c r="L627" s="140" t="s">
        <v>158</v>
      </c>
      <c r="M627" s="140" t="s">
        <v>101</v>
      </c>
      <c r="N627" s="74" t="s">
        <v>46</v>
      </c>
      <c r="O627" s="74" t="s">
        <v>44</v>
      </c>
      <c r="P627" s="75" t="s">
        <v>53</v>
      </c>
      <c r="Q627" s="140" t="s">
        <v>38</v>
      </c>
    </row>
    <row r="628" spans="9:17" x14ac:dyDescent="0.35">
      <c r="I628" s="181" t="s">
        <v>498</v>
      </c>
      <c r="J628" s="178" t="s">
        <v>228</v>
      </c>
      <c r="K628" s="81">
        <v>3</v>
      </c>
      <c r="L628" s="140" t="s">
        <v>158</v>
      </c>
      <c r="M628" s="140" t="s">
        <v>101</v>
      </c>
      <c r="N628" s="74" t="s">
        <v>48</v>
      </c>
      <c r="O628" s="74" t="s">
        <v>44</v>
      </c>
      <c r="P628" s="75" t="s">
        <v>126</v>
      </c>
      <c r="Q628" s="140" t="s">
        <v>38</v>
      </c>
    </row>
    <row r="629" spans="9:17" ht="14.5" customHeight="1" x14ac:dyDescent="0.35">
      <c r="I629" s="181" t="s">
        <v>498</v>
      </c>
      <c r="J629" s="178" t="s">
        <v>532</v>
      </c>
      <c r="K629" s="81">
        <v>3</v>
      </c>
      <c r="L629" s="140" t="s">
        <v>75</v>
      </c>
      <c r="M629" s="140" t="s">
        <v>247</v>
      </c>
      <c r="N629" s="74" t="s">
        <v>46</v>
      </c>
      <c r="O629" s="74" t="s">
        <v>40</v>
      </c>
      <c r="P629" s="75" t="s">
        <v>107</v>
      </c>
      <c r="Q629" s="140" t="s">
        <v>54</v>
      </c>
    </row>
    <row r="630" spans="9:17" ht="28" x14ac:dyDescent="0.35">
      <c r="I630" s="181" t="s">
        <v>498</v>
      </c>
      <c r="J630" s="178" t="s">
        <v>532</v>
      </c>
      <c r="K630" s="81">
        <v>3</v>
      </c>
      <c r="L630" s="140" t="s">
        <v>75</v>
      </c>
      <c r="M630" s="140" t="s">
        <v>247</v>
      </c>
      <c r="N630" s="84" t="s">
        <v>55</v>
      </c>
      <c r="O630" s="84" t="s">
        <v>511</v>
      </c>
      <c r="P630" s="111" t="s">
        <v>159</v>
      </c>
      <c r="Q630" s="140" t="s">
        <v>54</v>
      </c>
    </row>
    <row r="631" spans="9:17" ht="14.5" customHeight="1" x14ac:dyDescent="0.35">
      <c r="I631" s="181" t="s">
        <v>498</v>
      </c>
      <c r="J631" s="178" t="s">
        <v>186</v>
      </c>
      <c r="K631" s="139">
        <v>1</v>
      </c>
      <c r="L631" s="140" t="s">
        <v>63</v>
      </c>
      <c r="M631" s="140" t="s">
        <v>34</v>
      </c>
      <c r="N631" s="84" t="s">
        <v>35</v>
      </c>
      <c r="O631" s="84" t="s">
        <v>44</v>
      </c>
      <c r="P631" s="111" t="s">
        <v>155</v>
      </c>
      <c r="Q631" s="140" t="s">
        <v>38</v>
      </c>
    </row>
    <row r="632" spans="9:17" ht="28" x14ac:dyDescent="0.35">
      <c r="I632" s="181" t="s">
        <v>498</v>
      </c>
      <c r="J632" s="178" t="s">
        <v>186</v>
      </c>
      <c r="K632" s="139">
        <v>1</v>
      </c>
      <c r="L632" s="140" t="s">
        <v>63</v>
      </c>
      <c r="M632" s="140" t="s">
        <v>34</v>
      </c>
      <c r="N632" s="84" t="s">
        <v>46</v>
      </c>
      <c r="O632" s="84" t="s">
        <v>44</v>
      </c>
      <c r="P632" s="111" t="s">
        <v>155</v>
      </c>
      <c r="Q632" s="140" t="s">
        <v>38</v>
      </c>
    </row>
    <row r="633" spans="9:17" ht="14.5" customHeight="1" x14ac:dyDescent="0.35">
      <c r="I633" s="181" t="s">
        <v>498</v>
      </c>
      <c r="J633" s="178" t="s">
        <v>229</v>
      </c>
      <c r="K633" s="139">
        <v>1</v>
      </c>
      <c r="L633" s="140" t="s">
        <v>63</v>
      </c>
      <c r="M633" s="140" t="s">
        <v>64</v>
      </c>
      <c r="N633" s="84" t="s">
        <v>48</v>
      </c>
      <c r="O633" s="84" t="s">
        <v>56</v>
      </c>
      <c r="P633" s="111" t="s">
        <v>155</v>
      </c>
      <c r="Q633" s="140" t="s">
        <v>38</v>
      </c>
    </row>
    <row r="634" spans="9:17" ht="28" x14ac:dyDescent="0.35">
      <c r="I634" s="181" t="s">
        <v>498</v>
      </c>
      <c r="J634" s="178" t="s">
        <v>229</v>
      </c>
      <c r="K634" s="139">
        <v>1</v>
      </c>
      <c r="L634" s="140" t="s">
        <v>63</v>
      </c>
      <c r="M634" s="140" t="s">
        <v>64</v>
      </c>
      <c r="N634" s="84" t="s">
        <v>55</v>
      </c>
      <c r="O634" s="84" t="s">
        <v>56</v>
      </c>
      <c r="P634" s="111" t="s">
        <v>155</v>
      </c>
      <c r="Q634" s="140" t="s">
        <v>38</v>
      </c>
    </row>
    <row r="635" spans="9:17" ht="14.5" customHeight="1" x14ac:dyDescent="0.35">
      <c r="I635" s="181" t="s">
        <v>498</v>
      </c>
      <c r="J635" s="178" t="s">
        <v>279</v>
      </c>
      <c r="K635" s="139">
        <v>1.5</v>
      </c>
      <c r="L635" s="140" t="s">
        <v>68</v>
      </c>
      <c r="M635" s="140" t="s">
        <v>101</v>
      </c>
      <c r="N635" s="84" t="s">
        <v>46</v>
      </c>
      <c r="O635" s="76" t="s">
        <v>40</v>
      </c>
      <c r="P635" s="77" t="s">
        <v>111</v>
      </c>
      <c r="Q635" s="140" t="s">
        <v>38</v>
      </c>
    </row>
    <row r="636" spans="9:17" ht="28" x14ac:dyDescent="0.35">
      <c r="I636" s="181" t="s">
        <v>498</v>
      </c>
      <c r="J636" s="178" t="s">
        <v>279</v>
      </c>
      <c r="K636" s="139">
        <v>1.5</v>
      </c>
      <c r="L636" s="140" t="s">
        <v>68</v>
      </c>
      <c r="M636" s="140" t="s">
        <v>101</v>
      </c>
      <c r="N636" s="84" t="s">
        <v>48</v>
      </c>
      <c r="O636" s="76" t="s">
        <v>40</v>
      </c>
      <c r="P636" s="77" t="s">
        <v>111</v>
      </c>
      <c r="Q636" s="140" t="s">
        <v>38</v>
      </c>
    </row>
    <row r="637" spans="9:17" ht="14.5" customHeight="1" x14ac:dyDescent="0.35">
      <c r="I637" s="181" t="s">
        <v>498</v>
      </c>
      <c r="J637" s="178" t="s">
        <v>231</v>
      </c>
      <c r="K637" s="139">
        <v>1.5</v>
      </c>
      <c r="L637" s="140" t="s">
        <v>68</v>
      </c>
      <c r="M637" s="140" t="s">
        <v>64</v>
      </c>
      <c r="N637" s="74" t="s">
        <v>35</v>
      </c>
      <c r="O637" s="74" t="s">
        <v>232</v>
      </c>
      <c r="P637" s="76" t="s">
        <v>149</v>
      </c>
      <c r="Q637" s="140" t="s">
        <v>54</v>
      </c>
    </row>
    <row r="638" spans="9:17" ht="28" x14ac:dyDescent="0.35">
      <c r="I638" s="181" t="s">
        <v>498</v>
      </c>
      <c r="J638" s="178" t="s">
        <v>231</v>
      </c>
      <c r="K638" s="139">
        <v>1.5</v>
      </c>
      <c r="L638" s="140" t="s">
        <v>68</v>
      </c>
      <c r="M638" s="140" t="s">
        <v>64</v>
      </c>
      <c r="N638" s="74" t="s">
        <v>48</v>
      </c>
      <c r="O638" s="76" t="s">
        <v>232</v>
      </c>
      <c r="P638" s="76" t="s">
        <v>149</v>
      </c>
      <c r="Q638" s="140" t="s">
        <v>54</v>
      </c>
    </row>
    <row r="639" spans="9:17" x14ac:dyDescent="0.35">
      <c r="I639" s="181" t="s">
        <v>498</v>
      </c>
      <c r="J639" s="178" t="s">
        <v>161</v>
      </c>
      <c r="K639" s="139">
        <v>2</v>
      </c>
      <c r="L639" s="140" t="s">
        <v>75</v>
      </c>
      <c r="M639" s="140" t="s">
        <v>351</v>
      </c>
      <c r="N639" s="74" t="s">
        <v>46</v>
      </c>
      <c r="O639" s="74" t="s">
        <v>52</v>
      </c>
      <c r="P639" s="74" t="s">
        <v>163</v>
      </c>
      <c r="Q639" s="140" t="s">
        <v>38</v>
      </c>
    </row>
    <row r="640" spans="9:17" x14ac:dyDescent="0.35">
      <c r="I640" s="181" t="s">
        <v>498</v>
      </c>
      <c r="J640" s="178" t="s">
        <v>161</v>
      </c>
      <c r="K640" s="139">
        <v>2</v>
      </c>
      <c r="L640" s="140" t="s">
        <v>75</v>
      </c>
      <c r="M640" s="140" t="s">
        <v>351</v>
      </c>
      <c r="N640" s="74" t="s">
        <v>48</v>
      </c>
      <c r="O640" s="74" t="s">
        <v>56</v>
      </c>
      <c r="P640" s="74" t="s">
        <v>163</v>
      </c>
      <c r="Q640" s="140" t="s">
        <v>38</v>
      </c>
    </row>
    <row r="641" spans="9:17" ht="14.5" customHeight="1" x14ac:dyDescent="0.35">
      <c r="I641" s="181" t="s">
        <v>352</v>
      </c>
      <c r="J641" s="178" t="s">
        <v>353</v>
      </c>
      <c r="K641" s="139">
        <v>1.5</v>
      </c>
      <c r="L641" s="140" t="s">
        <v>51</v>
      </c>
      <c r="M641" s="140" t="s">
        <v>76</v>
      </c>
      <c r="N641" s="74" t="s">
        <v>46</v>
      </c>
      <c r="O641" s="74" t="s">
        <v>511</v>
      </c>
      <c r="P641" s="74" t="s">
        <v>405</v>
      </c>
      <c r="Q641" s="140" t="s">
        <v>38</v>
      </c>
    </row>
    <row r="642" spans="9:17" x14ac:dyDescent="0.35">
      <c r="I642" s="181" t="s">
        <v>352</v>
      </c>
      <c r="J642" s="178" t="s">
        <v>353</v>
      </c>
      <c r="K642" s="139">
        <v>1.5</v>
      </c>
      <c r="L642" s="140" t="s">
        <v>51</v>
      </c>
      <c r="M642" s="140" t="s">
        <v>76</v>
      </c>
      <c r="N642" s="74" t="s">
        <v>55</v>
      </c>
      <c r="O642" s="74" t="s">
        <v>44</v>
      </c>
      <c r="P642" s="74" t="s">
        <v>65</v>
      </c>
      <c r="Q642" s="140" t="s">
        <v>38</v>
      </c>
    </row>
    <row r="643" spans="9:17" x14ac:dyDescent="0.35">
      <c r="I643" s="181" t="s">
        <v>352</v>
      </c>
      <c r="J643" s="178" t="s">
        <v>353</v>
      </c>
      <c r="K643" s="139">
        <v>1.5</v>
      </c>
      <c r="L643" s="140" t="s">
        <v>51</v>
      </c>
      <c r="M643" s="140" t="s">
        <v>79</v>
      </c>
      <c r="N643" s="74" t="s">
        <v>46</v>
      </c>
      <c r="O643" s="74" t="s">
        <v>40</v>
      </c>
      <c r="P643" s="74" t="s">
        <v>114</v>
      </c>
      <c r="Q643" s="140" t="s">
        <v>54</v>
      </c>
    </row>
    <row r="644" spans="9:17" x14ac:dyDescent="0.35">
      <c r="I644" s="181" t="s">
        <v>352</v>
      </c>
      <c r="J644" s="178" t="s">
        <v>353</v>
      </c>
      <c r="K644" s="139">
        <v>1.5</v>
      </c>
      <c r="L644" s="140" t="s">
        <v>51</v>
      </c>
      <c r="M644" s="140" t="s">
        <v>79</v>
      </c>
      <c r="N644" s="74" t="s">
        <v>55</v>
      </c>
      <c r="O644" s="74" t="s">
        <v>44</v>
      </c>
      <c r="P644" s="74" t="s">
        <v>132</v>
      </c>
      <c r="Q644" s="140" t="s">
        <v>54</v>
      </c>
    </row>
    <row r="645" spans="9:17" x14ac:dyDescent="0.35">
      <c r="I645" s="181" t="s">
        <v>352</v>
      </c>
      <c r="J645" s="178" t="s">
        <v>525</v>
      </c>
      <c r="K645" s="139">
        <v>1.5</v>
      </c>
      <c r="L645" s="140" t="s">
        <v>51</v>
      </c>
      <c r="M645" s="140" t="s">
        <v>79</v>
      </c>
      <c r="N645" s="74" t="s">
        <v>35</v>
      </c>
      <c r="O645" s="74" t="s">
        <v>44</v>
      </c>
      <c r="P645" s="74" t="s">
        <v>196</v>
      </c>
      <c r="Q645" s="140" t="s">
        <v>38</v>
      </c>
    </row>
    <row r="646" spans="9:17" x14ac:dyDescent="0.35">
      <c r="I646" s="181" t="s">
        <v>352</v>
      </c>
      <c r="J646" s="178" t="s">
        <v>525</v>
      </c>
      <c r="K646" s="139">
        <v>1.5</v>
      </c>
      <c r="L646" s="140" t="s">
        <v>51</v>
      </c>
      <c r="M646" s="140" t="s">
        <v>79</v>
      </c>
      <c r="N646" s="74" t="s">
        <v>39</v>
      </c>
      <c r="O646" s="74" t="s">
        <v>44</v>
      </c>
      <c r="P646" s="74" t="s">
        <v>132</v>
      </c>
      <c r="Q646" s="140" t="s">
        <v>38</v>
      </c>
    </row>
    <row r="647" spans="9:17" x14ac:dyDescent="0.35">
      <c r="I647" s="181" t="s">
        <v>352</v>
      </c>
      <c r="J647" s="178" t="s">
        <v>355</v>
      </c>
      <c r="K647" s="139">
        <v>3</v>
      </c>
      <c r="L647" s="140" t="s">
        <v>51</v>
      </c>
      <c r="M647" s="140" t="s">
        <v>90</v>
      </c>
      <c r="N647" s="74" t="s">
        <v>46</v>
      </c>
      <c r="O647" s="74" t="s">
        <v>44</v>
      </c>
      <c r="P647" s="74" t="s">
        <v>124</v>
      </c>
      <c r="Q647" s="140" t="s">
        <v>54</v>
      </c>
    </row>
    <row r="648" spans="9:17" x14ac:dyDescent="0.35">
      <c r="I648" s="181" t="s">
        <v>352</v>
      </c>
      <c r="J648" s="178" t="s">
        <v>355</v>
      </c>
      <c r="K648" s="139">
        <v>3</v>
      </c>
      <c r="L648" s="140" t="s">
        <v>51</v>
      </c>
      <c r="M648" s="140" t="s">
        <v>90</v>
      </c>
      <c r="N648" s="74" t="s">
        <v>39</v>
      </c>
      <c r="O648" s="74" t="s">
        <v>91</v>
      </c>
      <c r="P648" s="74" t="s">
        <v>65</v>
      </c>
      <c r="Q648" s="140" t="s">
        <v>54</v>
      </c>
    </row>
    <row r="649" spans="9:17" x14ac:dyDescent="0.35">
      <c r="I649" s="181" t="s">
        <v>352</v>
      </c>
      <c r="J649" s="178" t="s">
        <v>50</v>
      </c>
      <c r="K649" s="139">
        <v>1.5</v>
      </c>
      <c r="L649" s="140" t="s">
        <v>158</v>
      </c>
      <c r="M649" s="140" t="s">
        <v>34</v>
      </c>
      <c r="N649" s="74" t="s">
        <v>35</v>
      </c>
      <c r="O649" s="74" t="s">
        <v>52</v>
      </c>
      <c r="P649" s="74" t="s">
        <v>78</v>
      </c>
      <c r="Q649" s="140" t="s">
        <v>38</v>
      </c>
    </row>
    <row r="650" spans="9:17" x14ac:dyDescent="0.35">
      <c r="I650" s="181" t="s">
        <v>352</v>
      </c>
      <c r="J650" s="178" t="s">
        <v>50</v>
      </c>
      <c r="K650" s="139">
        <v>1.5</v>
      </c>
      <c r="L650" s="140" t="s">
        <v>158</v>
      </c>
      <c r="M650" s="140" t="s">
        <v>34</v>
      </c>
      <c r="N650" s="74" t="s">
        <v>48</v>
      </c>
      <c r="O650" s="74" t="s">
        <v>123</v>
      </c>
      <c r="P650" s="74" t="s">
        <v>150</v>
      </c>
      <c r="Q650" s="140" t="s">
        <v>38</v>
      </c>
    </row>
    <row r="651" spans="9:17" x14ac:dyDescent="0.35">
      <c r="I651" s="181" t="s">
        <v>352</v>
      </c>
      <c r="J651" s="178" t="s">
        <v>187</v>
      </c>
      <c r="K651" s="139">
        <v>1.5</v>
      </c>
      <c r="L651" s="140" t="s">
        <v>158</v>
      </c>
      <c r="M651" s="140" t="s">
        <v>136</v>
      </c>
      <c r="N651" s="74" t="s">
        <v>35</v>
      </c>
      <c r="O651" s="74" t="s">
        <v>40</v>
      </c>
      <c r="P651" s="74" t="s">
        <v>124</v>
      </c>
      <c r="Q651" s="140" t="s">
        <v>54</v>
      </c>
    </row>
    <row r="652" spans="9:17" x14ac:dyDescent="0.35">
      <c r="I652" s="181" t="s">
        <v>352</v>
      </c>
      <c r="J652" s="178" t="s">
        <v>187</v>
      </c>
      <c r="K652" s="139">
        <v>1.5</v>
      </c>
      <c r="L652" s="140" t="s">
        <v>158</v>
      </c>
      <c r="M652" s="140" t="s">
        <v>136</v>
      </c>
      <c r="N652" s="74" t="s">
        <v>55</v>
      </c>
      <c r="O652" s="74" t="s">
        <v>66</v>
      </c>
      <c r="P652" s="74" t="s">
        <v>107</v>
      </c>
      <c r="Q652" s="140" t="s">
        <v>54</v>
      </c>
    </row>
    <row r="653" spans="9:17" x14ac:dyDescent="0.35">
      <c r="I653" s="181" t="s">
        <v>352</v>
      </c>
      <c r="J653" s="178" t="s">
        <v>62</v>
      </c>
      <c r="K653" s="139">
        <v>1.5</v>
      </c>
      <c r="L653" s="140" t="s">
        <v>63</v>
      </c>
      <c r="M653" s="140" t="s">
        <v>64</v>
      </c>
      <c r="N653" s="74" t="s">
        <v>48</v>
      </c>
      <c r="O653" s="74" t="s">
        <v>40</v>
      </c>
      <c r="P653" s="74" t="s">
        <v>65</v>
      </c>
      <c r="Q653" s="140" t="s">
        <v>38</v>
      </c>
    </row>
    <row r="654" spans="9:17" x14ac:dyDescent="0.35">
      <c r="I654" s="181" t="s">
        <v>352</v>
      </c>
      <c r="J654" s="178" t="s">
        <v>62</v>
      </c>
      <c r="K654" s="139">
        <v>1.5</v>
      </c>
      <c r="L654" s="140" t="s">
        <v>63</v>
      </c>
      <c r="M654" s="140" t="s">
        <v>64</v>
      </c>
      <c r="N654" s="74" t="s">
        <v>55</v>
      </c>
      <c r="O654" s="74" t="s">
        <v>66</v>
      </c>
      <c r="P654" s="74" t="s">
        <v>65</v>
      </c>
      <c r="Q654" s="140" t="s">
        <v>38</v>
      </c>
    </row>
    <row r="655" spans="9:17" ht="42" x14ac:dyDescent="0.35">
      <c r="I655" s="181" t="s">
        <v>352</v>
      </c>
      <c r="J655" s="178" t="s">
        <v>536</v>
      </c>
      <c r="K655" s="139">
        <v>1.5</v>
      </c>
      <c r="L655" s="140" t="s">
        <v>68</v>
      </c>
      <c r="M655" s="140" t="s">
        <v>42</v>
      </c>
      <c r="N655" s="74" t="s">
        <v>35</v>
      </c>
      <c r="O655" s="76" t="s">
        <v>511</v>
      </c>
      <c r="P655" s="76" t="s">
        <v>110</v>
      </c>
      <c r="Q655" s="140" t="s">
        <v>54</v>
      </c>
    </row>
    <row r="656" spans="9:17" ht="42" x14ac:dyDescent="0.35">
      <c r="I656" s="181" t="s">
        <v>352</v>
      </c>
      <c r="J656" s="178" t="s">
        <v>536</v>
      </c>
      <c r="K656" s="139">
        <v>1.5</v>
      </c>
      <c r="L656" s="140" t="s">
        <v>68</v>
      </c>
      <c r="M656" s="140" t="s">
        <v>42</v>
      </c>
      <c r="N656" s="74" t="s">
        <v>48</v>
      </c>
      <c r="O656" s="76" t="s">
        <v>511</v>
      </c>
      <c r="P656" s="76" t="s">
        <v>110</v>
      </c>
      <c r="Q656" s="140" t="s">
        <v>54</v>
      </c>
    </row>
    <row r="657" spans="9:17" ht="14.5" customHeight="1" x14ac:dyDescent="0.35">
      <c r="I657" s="181" t="s">
        <v>352</v>
      </c>
      <c r="J657" s="178" t="s">
        <v>231</v>
      </c>
      <c r="K657" s="139">
        <v>1.5</v>
      </c>
      <c r="L657" s="140" t="s">
        <v>68</v>
      </c>
      <c r="M657" s="140" t="s">
        <v>69</v>
      </c>
      <c r="N657" s="74" t="s">
        <v>35</v>
      </c>
      <c r="O657" s="76" t="s">
        <v>146</v>
      </c>
      <c r="P657" s="74" t="s">
        <v>71</v>
      </c>
      <c r="Q657" s="140" t="s">
        <v>54</v>
      </c>
    </row>
    <row r="658" spans="9:17" ht="28" x14ac:dyDescent="0.35">
      <c r="I658" s="181" t="s">
        <v>352</v>
      </c>
      <c r="J658" s="178" t="s">
        <v>231</v>
      </c>
      <c r="K658" s="139">
        <v>1.5</v>
      </c>
      <c r="L658" s="140" t="s">
        <v>68</v>
      </c>
      <c r="M658" s="140" t="s">
        <v>69</v>
      </c>
      <c r="N658" s="74" t="s">
        <v>48</v>
      </c>
      <c r="O658" s="76" t="s">
        <v>146</v>
      </c>
      <c r="P658" s="76" t="s">
        <v>71</v>
      </c>
      <c r="Q658" s="140" t="s">
        <v>54</v>
      </c>
    </row>
    <row r="659" spans="9:17" ht="14.5" customHeight="1" x14ac:dyDescent="0.35">
      <c r="I659" s="178" t="s">
        <v>356</v>
      </c>
      <c r="J659" s="178" t="s">
        <v>186</v>
      </c>
      <c r="K659" s="139">
        <v>3</v>
      </c>
      <c r="L659" s="140" t="s">
        <v>75</v>
      </c>
      <c r="M659" s="140" t="s">
        <v>97</v>
      </c>
      <c r="N659" s="74" t="s">
        <v>46</v>
      </c>
      <c r="O659" s="74" t="s">
        <v>108</v>
      </c>
      <c r="P659" s="74" t="s">
        <v>357</v>
      </c>
      <c r="Q659" s="140" t="s">
        <v>54</v>
      </c>
    </row>
    <row r="660" spans="9:17" ht="28" x14ac:dyDescent="0.35">
      <c r="I660" s="178" t="s">
        <v>356</v>
      </c>
      <c r="J660" s="178" t="s">
        <v>186</v>
      </c>
      <c r="K660" s="139">
        <v>3</v>
      </c>
      <c r="L660" s="140" t="s">
        <v>75</v>
      </c>
      <c r="M660" s="140" t="s">
        <v>97</v>
      </c>
      <c r="N660" s="74" t="s">
        <v>48</v>
      </c>
      <c r="O660" s="74" t="s">
        <v>108</v>
      </c>
      <c r="P660" s="74" t="s">
        <v>357</v>
      </c>
      <c r="Q660" s="140" t="s">
        <v>54</v>
      </c>
    </row>
    <row r="661" spans="9:17" ht="14.5" customHeight="1" x14ac:dyDescent="0.35">
      <c r="I661" s="178" t="s">
        <v>356</v>
      </c>
      <c r="J661" s="178" t="s">
        <v>168</v>
      </c>
      <c r="K661" s="139">
        <v>1.5</v>
      </c>
      <c r="L661" s="140" t="s">
        <v>75</v>
      </c>
      <c r="M661" s="140" t="s">
        <v>136</v>
      </c>
      <c r="N661" s="74" t="s">
        <v>46</v>
      </c>
      <c r="O661" s="74" t="s">
        <v>91</v>
      </c>
      <c r="P661" s="74" t="s">
        <v>65</v>
      </c>
      <c r="Q661" s="140" t="s">
        <v>54</v>
      </c>
    </row>
    <row r="662" spans="9:17" ht="42" x14ac:dyDescent="0.35">
      <c r="I662" s="178" t="s">
        <v>356</v>
      </c>
      <c r="J662" s="178" t="s">
        <v>168</v>
      </c>
      <c r="K662" s="139">
        <v>1.5</v>
      </c>
      <c r="L662" s="140" t="s">
        <v>75</v>
      </c>
      <c r="M662" s="140" t="s">
        <v>136</v>
      </c>
      <c r="N662" s="74" t="s">
        <v>55</v>
      </c>
      <c r="O662" s="74" t="s">
        <v>511</v>
      </c>
      <c r="P662" s="74" t="s">
        <v>152</v>
      </c>
      <c r="Q662" s="140" t="s">
        <v>54</v>
      </c>
    </row>
    <row r="663" spans="9:17" ht="14.5" customHeight="1" x14ac:dyDescent="0.35">
      <c r="I663" s="178" t="s">
        <v>356</v>
      </c>
      <c r="J663" s="178" t="s">
        <v>168</v>
      </c>
      <c r="K663" s="139">
        <v>1.5</v>
      </c>
      <c r="L663" s="140" t="s">
        <v>75</v>
      </c>
      <c r="M663" s="140" t="s">
        <v>76</v>
      </c>
      <c r="N663" s="74" t="s">
        <v>39</v>
      </c>
      <c r="O663" s="74" t="s">
        <v>66</v>
      </c>
      <c r="P663" s="74" t="s">
        <v>132</v>
      </c>
      <c r="Q663" s="140" t="s">
        <v>54</v>
      </c>
    </row>
    <row r="664" spans="9:17" ht="42" x14ac:dyDescent="0.35">
      <c r="I664" s="178" t="s">
        <v>356</v>
      </c>
      <c r="J664" s="178" t="s">
        <v>168</v>
      </c>
      <c r="K664" s="139">
        <v>1.5</v>
      </c>
      <c r="L664" s="140" t="s">
        <v>75</v>
      </c>
      <c r="M664" s="140" t="s">
        <v>76</v>
      </c>
      <c r="N664" s="74" t="s">
        <v>48</v>
      </c>
      <c r="O664" s="74" t="s">
        <v>40</v>
      </c>
      <c r="P664" s="74" t="s">
        <v>169</v>
      </c>
      <c r="Q664" s="140" t="s">
        <v>54</v>
      </c>
    </row>
    <row r="665" spans="9:17" ht="14.5" customHeight="1" x14ac:dyDescent="0.35">
      <c r="I665" s="178" t="s">
        <v>356</v>
      </c>
      <c r="J665" s="178" t="s">
        <v>168</v>
      </c>
      <c r="K665" s="139">
        <v>1.5</v>
      </c>
      <c r="L665" s="140" t="s">
        <v>75</v>
      </c>
      <c r="M665" s="140" t="s">
        <v>79</v>
      </c>
      <c r="N665" s="74" t="s">
        <v>46</v>
      </c>
      <c r="O665" s="74" t="s">
        <v>511</v>
      </c>
      <c r="P665" s="74" t="s">
        <v>170</v>
      </c>
      <c r="Q665" s="140" t="s">
        <v>54</v>
      </c>
    </row>
    <row r="666" spans="9:17" ht="42" x14ac:dyDescent="0.35">
      <c r="I666" s="178" t="s">
        <v>356</v>
      </c>
      <c r="J666" s="178" t="s">
        <v>168</v>
      </c>
      <c r="K666" s="139">
        <v>1.5</v>
      </c>
      <c r="L666" s="140" t="s">
        <v>75</v>
      </c>
      <c r="M666" s="140" t="s">
        <v>79</v>
      </c>
      <c r="N666" s="74" t="s">
        <v>55</v>
      </c>
      <c r="O666" s="74" t="s">
        <v>44</v>
      </c>
      <c r="P666" s="74" t="s">
        <v>169</v>
      </c>
      <c r="Q666" s="140" t="s">
        <v>54</v>
      </c>
    </row>
    <row r="667" spans="9:17" ht="14.5" customHeight="1" x14ac:dyDescent="0.35">
      <c r="I667" s="178" t="s">
        <v>356</v>
      </c>
      <c r="J667" s="178" t="s">
        <v>171</v>
      </c>
      <c r="K667" s="139">
        <v>1</v>
      </c>
      <c r="L667" s="140" t="s">
        <v>75</v>
      </c>
      <c r="M667" s="140" t="s">
        <v>175</v>
      </c>
      <c r="N667" s="74" t="s">
        <v>46</v>
      </c>
      <c r="O667" s="74" t="s">
        <v>123</v>
      </c>
      <c r="P667" s="75" t="s">
        <v>176</v>
      </c>
      <c r="Q667" s="140" t="s">
        <v>38</v>
      </c>
    </row>
    <row r="668" spans="9:17" ht="42" x14ac:dyDescent="0.35">
      <c r="I668" s="178" t="s">
        <v>356</v>
      </c>
      <c r="J668" s="178" t="s">
        <v>171</v>
      </c>
      <c r="K668" s="139">
        <v>1</v>
      </c>
      <c r="L668" s="140" t="s">
        <v>75</v>
      </c>
      <c r="M668" s="140" t="s">
        <v>175</v>
      </c>
      <c r="N668" s="74" t="s">
        <v>55</v>
      </c>
      <c r="O668" s="74" t="s">
        <v>56</v>
      </c>
      <c r="P668" s="75" t="s">
        <v>41</v>
      </c>
      <c r="Q668" s="140" t="s">
        <v>38</v>
      </c>
    </row>
    <row r="669" spans="9:17" ht="14.5" customHeight="1" x14ac:dyDescent="0.35">
      <c r="I669" s="178" t="s">
        <v>356</v>
      </c>
      <c r="J669" s="178" t="s">
        <v>171</v>
      </c>
      <c r="K669" s="139">
        <v>1</v>
      </c>
      <c r="L669" s="140" t="s">
        <v>75</v>
      </c>
      <c r="M669" s="140" t="s">
        <v>177</v>
      </c>
      <c r="N669" s="74" t="s">
        <v>46</v>
      </c>
      <c r="O669" s="74" t="s">
        <v>56</v>
      </c>
      <c r="P669" s="74" t="s">
        <v>78</v>
      </c>
      <c r="Q669" s="140" t="s">
        <v>38</v>
      </c>
    </row>
    <row r="670" spans="9:17" ht="42" x14ac:dyDescent="0.35">
      <c r="I670" s="178" t="s">
        <v>356</v>
      </c>
      <c r="J670" s="178" t="s">
        <v>171</v>
      </c>
      <c r="K670" s="139">
        <v>1</v>
      </c>
      <c r="L670" s="140" t="s">
        <v>75</v>
      </c>
      <c r="M670" s="140" t="s">
        <v>177</v>
      </c>
      <c r="N670" s="74" t="s">
        <v>55</v>
      </c>
      <c r="O670" s="74" t="s">
        <v>131</v>
      </c>
      <c r="P670" s="75" t="s">
        <v>47</v>
      </c>
      <c r="Q670" s="140" t="s">
        <v>38</v>
      </c>
    </row>
    <row r="671" spans="9:17" ht="14.5" customHeight="1" x14ac:dyDescent="0.35">
      <c r="I671" s="178" t="s">
        <v>356</v>
      </c>
      <c r="J671" s="178" t="s">
        <v>171</v>
      </c>
      <c r="K671" s="139">
        <v>1</v>
      </c>
      <c r="L671" s="140" t="s">
        <v>75</v>
      </c>
      <c r="M671" s="140" t="s">
        <v>178</v>
      </c>
      <c r="N671" s="74" t="s">
        <v>35</v>
      </c>
      <c r="O671" s="74" t="s">
        <v>123</v>
      </c>
      <c r="P671" s="74" t="s">
        <v>53</v>
      </c>
      <c r="Q671" s="140" t="s">
        <v>54</v>
      </c>
    </row>
    <row r="672" spans="9:17" ht="42" x14ac:dyDescent="0.35">
      <c r="I672" s="178" t="s">
        <v>356</v>
      </c>
      <c r="J672" s="178" t="s">
        <v>171</v>
      </c>
      <c r="K672" s="139">
        <v>1</v>
      </c>
      <c r="L672" s="140" t="s">
        <v>75</v>
      </c>
      <c r="M672" s="140" t="s">
        <v>178</v>
      </c>
      <c r="N672" s="74" t="s">
        <v>55</v>
      </c>
      <c r="O672" s="74" t="s">
        <v>179</v>
      </c>
      <c r="P672" s="74" t="s">
        <v>110</v>
      </c>
      <c r="Q672" s="140" t="s">
        <v>54</v>
      </c>
    </row>
    <row r="673" spans="9:17" x14ac:dyDescent="0.35">
      <c r="I673" s="178" t="s">
        <v>356</v>
      </c>
      <c r="J673" s="178" t="s">
        <v>161</v>
      </c>
      <c r="K673" s="139">
        <v>1</v>
      </c>
      <c r="L673" s="140" t="s">
        <v>63</v>
      </c>
      <c r="M673" s="145" t="s">
        <v>34</v>
      </c>
      <c r="N673" s="74" t="s">
        <v>35</v>
      </c>
      <c r="O673" s="74" t="s">
        <v>91</v>
      </c>
      <c r="P673" s="74" t="s">
        <v>53</v>
      </c>
      <c r="Q673" s="140" t="s">
        <v>54</v>
      </c>
    </row>
    <row r="674" spans="9:17" x14ac:dyDescent="0.35">
      <c r="I674" s="178" t="s">
        <v>356</v>
      </c>
      <c r="J674" s="178" t="s">
        <v>161</v>
      </c>
      <c r="K674" s="139">
        <v>1</v>
      </c>
      <c r="L674" s="140" t="s">
        <v>63</v>
      </c>
      <c r="M674" s="145" t="s">
        <v>34</v>
      </c>
      <c r="N674" s="74" t="s">
        <v>39</v>
      </c>
      <c r="O674" s="74" t="s">
        <v>44</v>
      </c>
      <c r="P674" s="74" t="s">
        <v>53</v>
      </c>
      <c r="Q674" s="140" t="s">
        <v>54</v>
      </c>
    </row>
    <row r="675" spans="9:17" ht="14.5" customHeight="1" x14ac:dyDescent="0.35">
      <c r="I675" s="178" t="s">
        <v>356</v>
      </c>
      <c r="J675" s="178" t="s">
        <v>181</v>
      </c>
      <c r="K675" s="139">
        <v>1</v>
      </c>
      <c r="L675" s="140" t="s">
        <v>63</v>
      </c>
      <c r="M675" s="145" t="s">
        <v>101</v>
      </c>
      <c r="N675" s="74" t="s">
        <v>35</v>
      </c>
      <c r="O675" s="74" t="s">
        <v>40</v>
      </c>
      <c r="P675" s="74" t="s">
        <v>169</v>
      </c>
      <c r="Q675" s="140" t="s">
        <v>54</v>
      </c>
    </row>
    <row r="676" spans="9:17" ht="42" x14ac:dyDescent="0.35">
      <c r="I676" s="178" t="s">
        <v>356</v>
      </c>
      <c r="J676" s="178" t="s">
        <v>181</v>
      </c>
      <c r="K676" s="139">
        <v>1</v>
      </c>
      <c r="L676" s="140" t="s">
        <v>63</v>
      </c>
      <c r="M676" s="145" t="s">
        <v>101</v>
      </c>
      <c r="N676" s="84" t="s">
        <v>46</v>
      </c>
      <c r="O676" s="84" t="s">
        <v>40</v>
      </c>
      <c r="P676" s="84" t="s">
        <v>149</v>
      </c>
      <c r="Q676" s="140" t="s">
        <v>54</v>
      </c>
    </row>
    <row r="677" spans="9:17" ht="14.5" customHeight="1" x14ac:dyDescent="0.35">
      <c r="I677" s="178" t="s">
        <v>356</v>
      </c>
      <c r="J677" s="178" t="s">
        <v>183</v>
      </c>
      <c r="K677" s="139">
        <v>1.5</v>
      </c>
      <c r="L677" s="140" t="s">
        <v>68</v>
      </c>
      <c r="M677" s="145" t="s">
        <v>42</v>
      </c>
      <c r="N677" s="74" t="s">
        <v>35</v>
      </c>
      <c r="O677" s="76" t="s">
        <v>44</v>
      </c>
      <c r="P677" s="76" t="s">
        <v>110</v>
      </c>
      <c r="Q677" s="146" t="s">
        <v>38</v>
      </c>
    </row>
    <row r="678" spans="9:17" ht="56" x14ac:dyDescent="0.35">
      <c r="I678" s="178" t="s">
        <v>356</v>
      </c>
      <c r="J678" s="178" t="s">
        <v>183</v>
      </c>
      <c r="K678" s="139">
        <v>1.5</v>
      </c>
      <c r="L678" s="140" t="s">
        <v>68</v>
      </c>
      <c r="M678" s="145" t="s">
        <v>42</v>
      </c>
      <c r="N678" s="74" t="s">
        <v>48</v>
      </c>
      <c r="O678" s="76" t="s">
        <v>44</v>
      </c>
      <c r="P678" s="76" t="s">
        <v>110</v>
      </c>
      <c r="Q678" s="146" t="s">
        <v>38</v>
      </c>
    </row>
    <row r="679" spans="9:17" ht="14.5" customHeight="1" x14ac:dyDescent="0.35">
      <c r="I679" s="178" t="s">
        <v>356</v>
      </c>
      <c r="J679" s="178" t="s">
        <v>536</v>
      </c>
      <c r="K679" s="139">
        <v>1.5</v>
      </c>
      <c r="L679" s="140" t="s">
        <v>68</v>
      </c>
      <c r="M679" s="145" t="s">
        <v>34</v>
      </c>
      <c r="N679" s="74" t="s">
        <v>35</v>
      </c>
      <c r="O679" s="74" t="s">
        <v>511</v>
      </c>
      <c r="P679" s="74" t="s">
        <v>53</v>
      </c>
      <c r="Q679" s="146" t="s">
        <v>54</v>
      </c>
    </row>
    <row r="680" spans="9:17" ht="42" x14ac:dyDescent="0.35">
      <c r="I680" s="178" t="s">
        <v>356</v>
      </c>
      <c r="J680" s="178" t="s">
        <v>536</v>
      </c>
      <c r="K680" s="139">
        <v>1.5</v>
      </c>
      <c r="L680" s="140" t="s">
        <v>68</v>
      </c>
      <c r="M680" s="145" t="s">
        <v>34</v>
      </c>
      <c r="N680" s="74" t="s">
        <v>48</v>
      </c>
      <c r="O680" s="74" t="s">
        <v>511</v>
      </c>
      <c r="P680" s="74" t="s">
        <v>53</v>
      </c>
      <c r="Q680" s="146" t="s">
        <v>54</v>
      </c>
    </row>
    <row r="681" spans="9:17" ht="14.5" customHeight="1" x14ac:dyDescent="0.35">
      <c r="I681" s="178" t="s">
        <v>499</v>
      </c>
      <c r="J681" s="178" t="s">
        <v>135</v>
      </c>
      <c r="K681" s="139">
        <v>3</v>
      </c>
      <c r="L681" s="140" t="s">
        <v>33</v>
      </c>
      <c r="M681" s="140" t="s">
        <v>79</v>
      </c>
      <c r="N681" s="74" t="s">
        <v>35</v>
      </c>
      <c r="O681" s="74" t="s">
        <v>40</v>
      </c>
      <c r="P681" s="74" t="s">
        <v>43</v>
      </c>
      <c r="Q681" s="140" t="s">
        <v>54</v>
      </c>
    </row>
    <row r="682" spans="9:17" ht="28" x14ac:dyDescent="0.35">
      <c r="I682" s="178" t="s">
        <v>499</v>
      </c>
      <c r="J682" s="178" t="s">
        <v>135</v>
      </c>
      <c r="K682" s="139">
        <v>3</v>
      </c>
      <c r="L682" s="140" t="s">
        <v>33</v>
      </c>
      <c r="M682" s="140" t="s">
        <v>79</v>
      </c>
      <c r="N682" s="74" t="s">
        <v>39</v>
      </c>
      <c r="O682" s="74" t="s">
        <v>40</v>
      </c>
      <c r="P682" s="74" t="s">
        <v>43</v>
      </c>
      <c r="Q682" s="140" t="s">
        <v>54</v>
      </c>
    </row>
    <row r="683" spans="9:17" ht="14.5" customHeight="1" x14ac:dyDescent="0.35">
      <c r="I683" s="178" t="s">
        <v>499</v>
      </c>
      <c r="J683" s="178" t="s">
        <v>135</v>
      </c>
      <c r="K683" s="139">
        <v>3</v>
      </c>
      <c r="L683" s="140" t="s">
        <v>33</v>
      </c>
      <c r="M683" s="140" t="s">
        <v>97</v>
      </c>
      <c r="N683" s="74" t="s">
        <v>39</v>
      </c>
      <c r="O683" s="74" t="s">
        <v>91</v>
      </c>
      <c r="P683" s="74" t="s">
        <v>43</v>
      </c>
      <c r="Q683" s="140" t="s">
        <v>54</v>
      </c>
    </row>
    <row r="684" spans="9:17" ht="28" x14ac:dyDescent="0.35">
      <c r="I684" s="178" t="s">
        <v>499</v>
      </c>
      <c r="J684" s="178" t="s">
        <v>135</v>
      </c>
      <c r="K684" s="139">
        <v>3</v>
      </c>
      <c r="L684" s="140" t="s">
        <v>33</v>
      </c>
      <c r="M684" s="140" t="s">
        <v>97</v>
      </c>
      <c r="N684" s="74" t="s">
        <v>55</v>
      </c>
      <c r="O684" s="74" t="s">
        <v>44</v>
      </c>
      <c r="P684" s="74" t="s">
        <v>43</v>
      </c>
      <c r="Q684" s="140" t="s">
        <v>54</v>
      </c>
    </row>
    <row r="685" spans="9:17" x14ac:dyDescent="0.35">
      <c r="I685" s="178" t="s">
        <v>499</v>
      </c>
      <c r="J685" s="178" t="s">
        <v>360</v>
      </c>
      <c r="K685" s="139">
        <v>3</v>
      </c>
      <c r="L685" s="140" t="s">
        <v>33</v>
      </c>
      <c r="M685" s="140" t="s">
        <v>90</v>
      </c>
      <c r="N685" s="74" t="s">
        <v>46</v>
      </c>
      <c r="O685" s="74" t="s">
        <v>511</v>
      </c>
      <c r="P685" s="74" t="s">
        <v>47</v>
      </c>
      <c r="Q685" s="140" t="s">
        <v>54</v>
      </c>
    </row>
    <row r="686" spans="9:17" x14ac:dyDescent="0.35">
      <c r="I686" s="178" t="s">
        <v>499</v>
      </c>
      <c r="J686" s="178" t="s">
        <v>360</v>
      </c>
      <c r="K686" s="139">
        <v>3</v>
      </c>
      <c r="L686" s="140" t="s">
        <v>33</v>
      </c>
      <c r="M686" s="140" t="s">
        <v>90</v>
      </c>
      <c r="N686" s="74" t="s">
        <v>48</v>
      </c>
      <c r="O686" s="74" t="s">
        <v>511</v>
      </c>
      <c r="P686" s="74" t="s">
        <v>47</v>
      </c>
      <c r="Q686" s="140" t="s">
        <v>54</v>
      </c>
    </row>
    <row r="687" spans="9:17" x14ac:dyDescent="0.35">
      <c r="I687" s="178" t="s">
        <v>499</v>
      </c>
      <c r="J687" s="178" t="s">
        <v>360</v>
      </c>
      <c r="K687" s="139">
        <v>3</v>
      </c>
      <c r="L687" s="140" t="s">
        <v>33</v>
      </c>
      <c r="M687" s="140" t="s">
        <v>173</v>
      </c>
      <c r="N687" s="74" t="s">
        <v>46</v>
      </c>
      <c r="O687" s="74" t="s">
        <v>40</v>
      </c>
      <c r="P687" s="74" t="s">
        <v>47</v>
      </c>
      <c r="Q687" s="140" t="s">
        <v>54</v>
      </c>
    </row>
    <row r="688" spans="9:17" x14ac:dyDescent="0.35">
      <c r="I688" s="178" t="s">
        <v>499</v>
      </c>
      <c r="J688" s="178" t="s">
        <v>360</v>
      </c>
      <c r="K688" s="139">
        <v>3</v>
      </c>
      <c r="L688" s="140" t="s">
        <v>33</v>
      </c>
      <c r="M688" s="140" t="s">
        <v>173</v>
      </c>
      <c r="N688" s="74" t="s">
        <v>48</v>
      </c>
      <c r="O688" s="74" t="s">
        <v>40</v>
      </c>
      <c r="P688" s="74" t="s">
        <v>47</v>
      </c>
      <c r="Q688" s="140" t="s">
        <v>54</v>
      </c>
    </row>
    <row r="689" spans="9:17" x14ac:dyDescent="0.35">
      <c r="I689" s="178" t="s">
        <v>499</v>
      </c>
      <c r="J689" s="178" t="s">
        <v>360</v>
      </c>
      <c r="K689" s="139">
        <v>3</v>
      </c>
      <c r="L689" s="140" t="s">
        <v>33</v>
      </c>
      <c r="M689" s="140" t="s">
        <v>175</v>
      </c>
      <c r="N689" s="74" t="s">
        <v>35</v>
      </c>
      <c r="O689" s="74" t="s">
        <v>511</v>
      </c>
      <c r="P689" s="74" t="s">
        <v>37</v>
      </c>
      <c r="Q689" s="140" t="s">
        <v>54</v>
      </c>
    </row>
    <row r="690" spans="9:17" x14ac:dyDescent="0.35">
      <c r="I690" s="178" t="s">
        <v>499</v>
      </c>
      <c r="J690" s="178" t="s">
        <v>360</v>
      </c>
      <c r="K690" s="139">
        <v>3</v>
      </c>
      <c r="L690" s="140" t="s">
        <v>33</v>
      </c>
      <c r="M690" s="140" t="s">
        <v>175</v>
      </c>
      <c r="N690" s="74" t="s">
        <v>55</v>
      </c>
      <c r="O690" s="74" t="s">
        <v>511</v>
      </c>
      <c r="P690" s="74" t="s">
        <v>37</v>
      </c>
      <c r="Q690" s="140" t="s">
        <v>54</v>
      </c>
    </row>
    <row r="691" spans="9:17" ht="14.5" customHeight="1" x14ac:dyDescent="0.35">
      <c r="I691" s="178" t="s">
        <v>362</v>
      </c>
      <c r="J691" s="178" t="s">
        <v>207</v>
      </c>
      <c r="K691" s="139">
        <v>2</v>
      </c>
      <c r="L691" s="140" t="s">
        <v>75</v>
      </c>
      <c r="M691" s="140" t="s">
        <v>136</v>
      </c>
      <c r="N691" s="74" t="s">
        <v>46</v>
      </c>
      <c r="O691" s="74" t="s">
        <v>123</v>
      </c>
      <c r="P691" s="74" t="s">
        <v>80</v>
      </c>
      <c r="Q691" s="140" t="s">
        <v>38</v>
      </c>
    </row>
    <row r="692" spans="9:17" ht="42" x14ac:dyDescent="0.35">
      <c r="I692" s="178" t="s">
        <v>362</v>
      </c>
      <c r="J692" s="178" t="s">
        <v>207</v>
      </c>
      <c r="K692" s="139">
        <v>2</v>
      </c>
      <c r="L692" s="140" t="s">
        <v>75</v>
      </c>
      <c r="M692" s="140" t="s">
        <v>136</v>
      </c>
      <c r="N692" s="74" t="s">
        <v>48</v>
      </c>
      <c r="O692" s="74" t="s">
        <v>56</v>
      </c>
      <c r="P692" s="74" t="s">
        <v>80</v>
      </c>
      <c r="Q692" s="140" t="s">
        <v>38</v>
      </c>
    </row>
    <row r="693" spans="9:17" ht="14.5" customHeight="1" x14ac:dyDescent="0.35">
      <c r="I693" s="178" t="s">
        <v>362</v>
      </c>
      <c r="J693" s="178" t="s">
        <v>207</v>
      </c>
      <c r="K693" s="139">
        <v>2</v>
      </c>
      <c r="L693" s="140" t="s">
        <v>75</v>
      </c>
      <c r="M693" s="140" t="s">
        <v>76</v>
      </c>
      <c r="N693" s="74" t="s">
        <v>35</v>
      </c>
      <c r="O693" s="74" t="s">
        <v>123</v>
      </c>
      <c r="P693" s="74" t="s">
        <v>80</v>
      </c>
      <c r="Q693" s="140" t="s">
        <v>38</v>
      </c>
    </row>
    <row r="694" spans="9:17" ht="42" x14ac:dyDescent="0.35">
      <c r="I694" s="178" t="s">
        <v>362</v>
      </c>
      <c r="J694" s="178" t="s">
        <v>207</v>
      </c>
      <c r="K694" s="139">
        <v>2</v>
      </c>
      <c r="L694" s="140" t="s">
        <v>75</v>
      </c>
      <c r="M694" s="140" t="s">
        <v>76</v>
      </c>
      <c r="N694" s="74" t="s">
        <v>55</v>
      </c>
      <c r="O694" s="74" t="s">
        <v>52</v>
      </c>
      <c r="P694" s="74" t="s">
        <v>152</v>
      </c>
      <c r="Q694" s="140" t="s">
        <v>38</v>
      </c>
    </row>
    <row r="695" spans="9:17" ht="14.5" customHeight="1" x14ac:dyDescent="0.35">
      <c r="I695" s="194" t="s">
        <v>363</v>
      </c>
      <c r="J695" s="178" t="s">
        <v>127</v>
      </c>
      <c r="K695" s="139">
        <v>1</v>
      </c>
      <c r="L695" s="140" t="s">
        <v>51</v>
      </c>
      <c r="M695" s="140" t="s">
        <v>64</v>
      </c>
      <c r="N695" s="74" t="s">
        <v>35</v>
      </c>
      <c r="O695" s="74" t="s">
        <v>123</v>
      </c>
      <c r="P695" s="74" t="s">
        <v>96</v>
      </c>
      <c r="Q695" s="140" t="s">
        <v>38</v>
      </c>
    </row>
    <row r="696" spans="9:17" x14ac:dyDescent="0.35">
      <c r="I696" s="194" t="s">
        <v>363</v>
      </c>
      <c r="J696" s="178" t="s">
        <v>127</v>
      </c>
      <c r="K696" s="139">
        <v>1</v>
      </c>
      <c r="L696" s="140" t="s">
        <v>51</v>
      </c>
      <c r="M696" s="140" t="s">
        <v>64</v>
      </c>
      <c r="N696" s="74" t="s">
        <v>48</v>
      </c>
      <c r="O696" s="74" t="s">
        <v>123</v>
      </c>
      <c r="P696" s="74" t="s">
        <v>96</v>
      </c>
      <c r="Q696" s="140" t="s">
        <v>38</v>
      </c>
    </row>
    <row r="697" spans="9:17" x14ac:dyDescent="0.35">
      <c r="I697" s="194" t="s">
        <v>363</v>
      </c>
      <c r="J697" s="178" t="s">
        <v>129</v>
      </c>
      <c r="K697" s="139">
        <v>3</v>
      </c>
      <c r="L697" s="140" t="s">
        <v>51</v>
      </c>
      <c r="M697" s="140" t="s">
        <v>34</v>
      </c>
      <c r="N697" s="74" t="s">
        <v>35</v>
      </c>
      <c r="O697" s="74" t="s">
        <v>40</v>
      </c>
      <c r="P697" s="74" t="s">
        <v>196</v>
      </c>
      <c r="Q697" s="140" t="s">
        <v>54</v>
      </c>
    </row>
    <row r="698" spans="9:17" x14ac:dyDescent="0.35">
      <c r="I698" s="194" t="s">
        <v>363</v>
      </c>
      <c r="J698" s="178" t="s">
        <v>129</v>
      </c>
      <c r="K698" s="139">
        <v>3</v>
      </c>
      <c r="L698" s="140" t="s">
        <v>51</v>
      </c>
      <c r="M698" s="140" t="s">
        <v>34</v>
      </c>
      <c r="N698" s="74" t="s">
        <v>48</v>
      </c>
      <c r="O698" s="74" t="s">
        <v>511</v>
      </c>
      <c r="P698" s="74" t="s">
        <v>114</v>
      </c>
      <c r="Q698" s="140" t="s">
        <v>54</v>
      </c>
    </row>
    <row r="699" spans="9:17" x14ac:dyDescent="0.35">
      <c r="I699" s="194" t="s">
        <v>363</v>
      </c>
      <c r="J699" s="178" t="s">
        <v>129</v>
      </c>
      <c r="K699" s="139">
        <v>3</v>
      </c>
      <c r="L699" s="140" t="s">
        <v>51</v>
      </c>
      <c r="M699" s="140" t="s">
        <v>42</v>
      </c>
      <c r="N699" s="74" t="s">
        <v>46</v>
      </c>
      <c r="O699" s="74" t="s">
        <v>40</v>
      </c>
      <c r="P699" s="74" t="s">
        <v>71</v>
      </c>
      <c r="Q699" s="140" t="s">
        <v>54</v>
      </c>
    </row>
    <row r="700" spans="9:17" x14ac:dyDescent="0.35">
      <c r="I700" s="194" t="s">
        <v>363</v>
      </c>
      <c r="J700" s="178" t="s">
        <v>129</v>
      </c>
      <c r="K700" s="139">
        <v>3</v>
      </c>
      <c r="L700" s="140" t="s">
        <v>51</v>
      </c>
      <c r="M700" s="140" t="s">
        <v>42</v>
      </c>
      <c r="N700" s="74" t="s">
        <v>55</v>
      </c>
      <c r="O700" s="74" t="s">
        <v>66</v>
      </c>
      <c r="P700" s="74" t="s">
        <v>365</v>
      </c>
      <c r="Q700" s="140" t="s">
        <v>54</v>
      </c>
    </row>
    <row r="701" spans="9:17" x14ac:dyDescent="0.35">
      <c r="I701" s="194" t="s">
        <v>363</v>
      </c>
      <c r="J701" s="178" t="s">
        <v>366</v>
      </c>
      <c r="K701" s="139">
        <v>3</v>
      </c>
      <c r="L701" s="140" t="s">
        <v>51</v>
      </c>
      <c r="M701" s="140" t="s">
        <v>90</v>
      </c>
      <c r="N701" s="74" t="s">
        <v>35</v>
      </c>
      <c r="O701" s="74" t="s">
        <v>146</v>
      </c>
      <c r="P701" s="74" t="s">
        <v>152</v>
      </c>
      <c r="Q701" s="140" t="s">
        <v>54</v>
      </c>
    </row>
    <row r="702" spans="9:17" x14ac:dyDescent="0.35">
      <c r="I702" s="194" t="s">
        <v>363</v>
      </c>
      <c r="J702" s="178" t="s">
        <v>366</v>
      </c>
      <c r="K702" s="139">
        <v>3</v>
      </c>
      <c r="L702" s="140" t="s">
        <v>51</v>
      </c>
      <c r="M702" s="140" t="s">
        <v>90</v>
      </c>
      <c r="N702" s="74" t="s">
        <v>48</v>
      </c>
      <c r="O702" s="74" t="s">
        <v>40</v>
      </c>
      <c r="P702" s="74" t="s">
        <v>114</v>
      </c>
      <c r="Q702" s="140" t="s">
        <v>54</v>
      </c>
    </row>
    <row r="703" spans="9:17" x14ac:dyDescent="0.35">
      <c r="I703" s="194" t="s">
        <v>363</v>
      </c>
      <c r="J703" s="181" t="s">
        <v>187</v>
      </c>
      <c r="K703" s="139">
        <v>3</v>
      </c>
      <c r="L703" s="140" t="s">
        <v>106</v>
      </c>
      <c r="M703" s="140" t="s">
        <v>90</v>
      </c>
      <c r="N703" s="74" t="s">
        <v>46</v>
      </c>
      <c r="O703" s="74" t="s">
        <v>40</v>
      </c>
      <c r="P703" s="74" t="s">
        <v>80</v>
      </c>
      <c r="Q703" s="140" t="s">
        <v>38</v>
      </c>
    </row>
    <row r="704" spans="9:17" x14ac:dyDescent="0.35">
      <c r="I704" s="194" t="s">
        <v>363</v>
      </c>
      <c r="J704" s="181" t="s">
        <v>187</v>
      </c>
      <c r="K704" s="139">
        <v>3</v>
      </c>
      <c r="L704" s="140" t="s">
        <v>106</v>
      </c>
      <c r="M704" s="140" t="s">
        <v>101</v>
      </c>
      <c r="N704" s="74" t="s">
        <v>55</v>
      </c>
      <c r="O704" s="74" t="s">
        <v>511</v>
      </c>
      <c r="P704" s="74" t="s">
        <v>80</v>
      </c>
      <c r="Q704" s="140" t="s">
        <v>38</v>
      </c>
    </row>
    <row r="705" spans="9:17" ht="14.5" customHeight="1" x14ac:dyDescent="0.35">
      <c r="I705" s="178" t="s">
        <v>500</v>
      </c>
      <c r="J705" s="178" t="s">
        <v>58</v>
      </c>
      <c r="K705" s="139">
        <v>1.5</v>
      </c>
      <c r="L705" s="140" t="s">
        <v>81</v>
      </c>
      <c r="M705" s="140" t="s">
        <v>45</v>
      </c>
      <c r="N705" s="74" t="s">
        <v>46</v>
      </c>
      <c r="O705" s="74" t="s">
        <v>82</v>
      </c>
      <c r="P705" s="74" t="s">
        <v>118</v>
      </c>
      <c r="Q705" s="140" t="s">
        <v>38</v>
      </c>
    </row>
    <row r="706" spans="9:17" x14ac:dyDescent="0.35">
      <c r="I706" s="178" t="s">
        <v>500</v>
      </c>
      <c r="J706" s="178" t="s">
        <v>58</v>
      </c>
      <c r="K706" s="139">
        <v>1.5</v>
      </c>
      <c r="L706" s="140" t="s">
        <v>81</v>
      </c>
      <c r="M706" s="140" t="s">
        <v>45</v>
      </c>
      <c r="N706" s="74" t="s">
        <v>48</v>
      </c>
      <c r="O706" s="74" t="s">
        <v>82</v>
      </c>
      <c r="P706" s="74" t="s">
        <v>118</v>
      </c>
      <c r="Q706" s="140" t="s">
        <v>38</v>
      </c>
    </row>
    <row r="707" spans="9:17" x14ac:dyDescent="0.35">
      <c r="I707" s="178" t="s">
        <v>500</v>
      </c>
      <c r="J707" s="178" t="s">
        <v>58</v>
      </c>
      <c r="K707" s="139">
        <v>1.5</v>
      </c>
      <c r="L707" s="140" t="s">
        <v>81</v>
      </c>
      <c r="M707" s="140" t="s">
        <v>289</v>
      </c>
      <c r="N707" s="74" t="s">
        <v>35</v>
      </c>
      <c r="O707" s="74" t="s">
        <v>82</v>
      </c>
      <c r="P707" s="74" t="s">
        <v>118</v>
      </c>
      <c r="Q707" s="140" t="s">
        <v>38</v>
      </c>
    </row>
    <row r="708" spans="9:17" x14ac:dyDescent="0.35">
      <c r="I708" s="178" t="s">
        <v>500</v>
      </c>
      <c r="J708" s="178" t="s">
        <v>58</v>
      </c>
      <c r="K708" s="139">
        <v>1.5</v>
      </c>
      <c r="L708" s="140" t="s">
        <v>81</v>
      </c>
      <c r="M708" s="140" t="s">
        <v>289</v>
      </c>
      <c r="N708" s="74" t="s">
        <v>48</v>
      </c>
      <c r="O708" s="74" t="s">
        <v>82</v>
      </c>
      <c r="P708" s="74" t="s">
        <v>118</v>
      </c>
      <c r="Q708" s="140" t="s">
        <v>38</v>
      </c>
    </row>
    <row r="709" spans="9:17" x14ac:dyDescent="0.35">
      <c r="I709" s="178" t="s">
        <v>500</v>
      </c>
      <c r="J709" s="178" t="s">
        <v>58</v>
      </c>
      <c r="K709" s="139">
        <v>1.5</v>
      </c>
      <c r="L709" s="140" t="s">
        <v>120</v>
      </c>
      <c r="M709" s="140" t="s">
        <v>34</v>
      </c>
      <c r="N709" s="74" t="s">
        <v>39</v>
      </c>
      <c r="O709" s="74" t="s">
        <v>82</v>
      </c>
      <c r="P709" s="74" t="s">
        <v>118</v>
      </c>
      <c r="Q709" s="140" t="s">
        <v>38</v>
      </c>
    </row>
    <row r="710" spans="9:17" x14ac:dyDescent="0.35">
      <c r="I710" s="178" t="s">
        <v>500</v>
      </c>
      <c r="J710" s="178" t="s">
        <v>58</v>
      </c>
      <c r="K710" s="139">
        <v>1.5</v>
      </c>
      <c r="L710" s="140" t="s">
        <v>120</v>
      </c>
      <c r="M710" s="140" t="s">
        <v>34</v>
      </c>
      <c r="N710" s="74" t="s">
        <v>55</v>
      </c>
      <c r="O710" s="74" t="s">
        <v>61</v>
      </c>
      <c r="P710" s="74" t="s">
        <v>118</v>
      </c>
      <c r="Q710" s="140" t="s">
        <v>38</v>
      </c>
    </row>
    <row r="711" spans="9:17" ht="14.5" customHeight="1" x14ac:dyDescent="0.35">
      <c r="I711" s="178" t="s">
        <v>500</v>
      </c>
      <c r="J711" s="178" t="s">
        <v>171</v>
      </c>
      <c r="K711" s="139">
        <v>1</v>
      </c>
      <c r="L711" s="140" t="s">
        <v>75</v>
      </c>
      <c r="M711" s="140" t="s">
        <v>90</v>
      </c>
      <c r="N711" s="74" t="s">
        <v>35</v>
      </c>
      <c r="O711" s="74" t="s">
        <v>123</v>
      </c>
      <c r="P711" s="74" t="s">
        <v>208</v>
      </c>
      <c r="Q711" s="140" t="s">
        <v>54</v>
      </c>
    </row>
    <row r="712" spans="9:17" ht="42" x14ac:dyDescent="0.35">
      <c r="I712" s="178" t="s">
        <v>500</v>
      </c>
      <c r="J712" s="178" t="s">
        <v>171</v>
      </c>
      <c r="K712" s="139">
        <v>1</v>
      </c>
      <c r="L712" s="140" t="s">
        <v>75</v>
      </c>
      <c r="M712" s="140" t="s">
        <v>90</v>
      </c>
      <c r="N712" s="74" t="s">
        <v>48</v>
      </c>
      <c r="O712" s="74" t="s">
        <v>219</v>
      </c>
      <c r="P712" s="74" t="s">
        <v>369</v>
      </c>
      <c r="Q712" s="140" t="s">
        <v>54</v>
      </c>
    </row>
    <row r="713" spans="9:17" ht="14.5" customHeight="1" x14ac:dyDescent="0.35">
      <c r="I713" s="178" t="s">
        <v>500</v>
      </c>
      <c r="J713" s="178" t="s">
        <v>171</v>
      </c>
      <c r="K713" s="139">
        <v>1</v>
      </c>
      <c r="L713" s="140" t="s">
        <v>75</v>
      </c>
      <c r="M713" s="140" t="s">
        <v>173</v>
      </c>
      <c r="N713" s="74" t="s">
        <v>46</v>
      </c>
      <c r="O713" s="74" t="s">
        <v>123</v>
      </c>
      <c r="P713" s="75" t="s">
        <v>152</v>
      </c>
      <c r="Q713" s="140" t="s">
        <v>38</v>
      </c>
    </row>
    <row r="714" spans="9:17" ht="42" x14ac:dyDescent="0.35">
      <c r="I714" s="178" t="s">
        <v>500</v>
      </c>
      <c r="J714" s="178" t="s">
        <v>171</v>
      </c>
      <c r="K714" s="139">
        <v>1</v>
      </c>
      <c r="L714" s="140" t="s">
        <v>75</v>
      </c>
      <c r="M714" s="140" t="s">
        <v>173</v>
      </c>
      <c r="N714" s="74" t="s">
        <v>48</v>
      </c>
      <c r="O714" s="74" t="s">
        <v>61</v>
      </c>
      <c r="P714" s="74" t="s">
        <v>174</v>
      </c>
      <c r="Q714" s="140" t="s">
        <v>38</v>
      </c>
    </row>
    <row r="715" spans="9:17" x14ac:dyDescent="0.35">
      <c r="I715" s="178" t="s">
        <v>500</v>
      </c>
      <c r="J715" s="178" t="s">
        <v>224</v>
      </c>
      <c r="K715" s="139">
        <v>3</v>
      </c>
      <c r="L715" s="140" t="s">
        <v>33</v>
      </c>
      <c r="M715" s="140" t="s">
        <v>101</v>
      </c>
      <c r="N715" s="74" t="s">
        <v>39</v>
      </c>
      <c r="O715" s="74" t="s">
        <v>44</v>
      </c>
      <c r="P715" s="74" t="s">
        <v>114</v>
      </c>
      <c r="Q715" s="140" t="s">
        <v>54</v>
      </c>
    </row>
    <row r="716" spans="9:17" x14ac:dyDescent="0.35">
      <c r="I716" s="178" t="s">
        <v>500</v>
      </c>
      <c r="J716" s="178" t="s">
        <v>224</v>
      </c>
      <c r="K716" s="139">
        <v>3</v>
      </c>
      <c r="L716" s="140" t="s">
        <v>33</v>
      </c>
      <c r="M716" s="140" t="s">
        <v>101</v>
      </c>
      <c r="N716" s="74" t="s">
        <v>55</v>
      </c>
      <c r="O716" s="74" t="s">
        <v>44</v>
      </c>
      <c r="P716" s="74" t="s">
        <v>114</v>
      </c>
      <c r="Q716" s="140" t="s">
        <v>54</v>
      </c>
    </row>
    <row r="717" spans="9:17" x14ac:dyDescent="0.35">
      <c r="I717" s="178" t="s">
        <v>500</v>
      </c>
      <c r="J717" s="183" t="s">
        <v>191</v>
      </c>
      <c r="K717" s="81">
        <v>3</v>
      </c>
      <c r="L717" s="74" t="s">
        <v>75</v>
      </c>
      <c r="M717" s="74" t="s">
        <v>371</v>
      </c>
      <c r="N717" s="74" t="s">
        <v>55</v>
      </c>
      <c r="O717" s="74" t="s">
        <v>82</v>
      </c>
      <c r="P717" s="75" t="s">
        <v>160</v>
      </c>
      <c r="Q717" s="74" t="s">
        <v>93</v>
      </c>
    </row>
    <row r="718" spans="9:17" ht="14.5" customHeight="1" x14ac:dyDescent="0.35">
      <c r="I718" s="178" t="s">
        <v>372</v>
      </c>
      <c r="J718" s="178" t="s">
        <v>32</v>
      </c>
      <c r="K718" s="139">
        <v>1.5</v>
      </c>
      <c r="L718" s="140" t="s">
        <v>158</v>
      </c>
      <c r="M718" s="140" t="s">
        <v>34</v>
      </c>
      <c r="N718" s="74" t="s">
        <v>46</v>
      </c>
      <c r="O718" s="74" t="s">
        <v>511</v>
      </c>
      <c r="P718" s="74" t="s">
        <v>159</v>
      </c>
      <c r="Q718" s="140" t="s">
        <v>38</v>
      </c>
    </row>
    <row r="719" spans="9:17" x14ac:dyDescent="0.35">
      <c r="I719" s="178" t="s">
        <v>372</v>
      </c>
      <c r="J719" s="178" t="s">
        <v>32</v>
      </c>
      <c r="K719" s="139">
        <v>1.5</v>
      </c>
      <c r="L719" s="140" t="s">
        <v>158</v>
      </c>
      <c r="M719" s="140" t="s">
        <v>34</v>
      </c>
      <c r="N719" s="74" t="s">
        <v>55</v>
      </c>
      <c r="O719" s="74" t="s">
        <v>511</v>
      </c>
      <c r="P719" s="74" t="s">
        <v>124</v>
      </c>
      <c r="Q719" s="140" t="s">
        <v>38</v>
      </c>
    </row>
    <row r="720" spans="9:17" x14ac:dyDescent="0.35">
      <c r="I720" s="178" t="s">
        <v>372</v>
      </c>
      <c r="J720" s="178" t="s">
        <v>32</v>
      </c>
      <c r="K720" s="139">
        <v>1.5</v>
      </c>
      <c r="L720" s="140" t="s">
        <v>75</v>
      </c>
      <c r="M720" s="140" t="s">
        <v>34</v>
      </c>
      <c r="N720" s="74" t="s">
        <v>35</v>
      </c>
      <c r="O720" s="74" t="s">
        <v>44</v>
      </c>
      <c r="P720" s="74" t="s">
        <v>126</v>
      </c>
      <c r="Q720" s="140" t="s">
        <v>38</v>
      </c>
    </row>
    <row r="721" spans="9:17" x14ac:dyDescent="0.35">
      <c r="I721" s="178" t="s">
        <v>372</v>
      </c>
      <c r="J721" s="178" t="s">
        <v>32</v>
      </c>
      <c r="K721" s="139">
        <v>1.5</v>
      </c>
      <c r="L721" s="140" t="s">
        <v>75</v>
      </c>
      <c r="M721" s="140" t="s">
        <v>34</v>
      </c>
      <c r="N721" s="74" t="s">
        <v>48</v>
      </c>
      <c r="O721" s="74" t="s">
        <v>511</v>
      </c>
      <c r="P721" s="74" t="s">
        <v>373</v>
      </c>
      <c r="Q721" s="140" t="s">
        <v>38</v>
      </c>
    </row>
    <row r="722" spans="9:17" x14ac:dyDescent="0.35">
      <c r="I722" s="178" t="s">
        <v>372</v>
      </c>
      <c r="J722" s="178" t="s">
        <v>32</v>
      </c>
      <c r="K722" s="139">
        <v>1.5</v>
      </c>
      <c r="L722" s="140" t="s">
        <v>75</v>
      </c>
      <c r="M722" s="140" t="s">
        <v>42</v>
      </c>
      <c r="N722" s="74" t="s">
        <v>46</v>
      </c>
      <c r="O722" s="74" t="s">
        <v>40</v>
      </c>
      <c r="P722" s="74" t="s">
        <v>150</v>
      </c>
      <c r="Q722" s="140" t="s">
        <v>38</v>
      </c>
    </row>
    <row r="723" spans="9:17" x14ac:dyDescent="0.35">
      <c r="I723" s="178" t="s">
        <v>372</v>
      </c>
      <c r="J723" s="178" t="s">
        <v>32</v>
      </c>
      <c r="K723" s="139">
        <v>1.5</v>
      </c>
      <c r="L723" s="140" t="s">
        <v>75</v>
      </c>
      <c r="M723" s="140" t="s">
        <v>42</v>
      </c>
      <c r="N723" s="74" t="s">
        <v>48</v>
      </c>
      <c r="O723" s="74" t="s">
        <v>40</v>
      </c>
      <c r="P723" s="74" t="s">
        <v>133</v>
      </c>
      <c r="Q723" s="140" t="s">
        <v>38</v>
      </c>
    </row>
    <row r="724" spans="9:17" x14ac:dyDescent="0.35">
      <c r="I724" s="178" t="s">
        <v>372</v>
      </c>
      <c r="J724" s="178" t="s">
        <v>32</v>
      </c>
      <c r="K724" s="139">
        <v>1.5</v>
      </c>
      <c r="L724" s="140" t="s">
        <v>75</v>
      </c>
      <c r="M724" s="140" t="s">
        <v>45</v>
      </c>
      <c r="N724" s="74" t="s">
        <v>46</v>
      </c>
      <c r="O724" s="74" t="s">
        <v>44</v>
      </c>
      <c r="P724" s="74" t="s">
        <v>65</v>
      </c>
      <c r="Q724" s="140" t="s">
        <v>38</v>
      </c>
    </row>
    <row r="725" spans="9:17" x14ac:dyDescent="0.35">
      <c r="I725" s="178" t="s">
        <v>372</v>
      </c>
      <c r="J725" s="178" t="s">
        <v>32</v>
      </c>
      <c r="K725" s="139">
        <v>1.5</v>
      </c>
      <c r="L725" s="140" t="s">
        <v>75</v>
      </c>
      <c r="M725" s="140" t="s">
        <v>45</v>
      </c>
      <c r="N725" s="74" t="s">
        <v>55</v>
      </c>
      <c r="O725" s="74" t="s">
        <v>44</v>
      </c>
      <c r="P725" s="74" t="s">
        <v>159</v>
      </c>
      <c r="Q725" s="140" t="s">
        <v>38</v>
      </c>
    </row>
    <row r="726" spans="9:17" x14ac:dyDescent="0.35">
      <c r="I726" s="178" t="s">
        <v>372</v>
      </c>
      <c r="J726" s="178" t="s">
        <v>187</v>
      </c>
      <c r="K726" s="139">
        <v>3</v>
      </c>
      <c r="L726" s="140" t="s">
        <v>75</v>
      </c>
      <c r="M726" s="140" t="s">
        <v>247</v>
      </c>
      <c r="N726" s="74" t="s">
        <v>35</v>
      </c>
      <c r="O726" s="74" t="s">
        <v>40</v>
      </c>
      <c r="P726" s="74" t="s">
        <v>110</v>
      </c>
      <c r="Q726" s="140" t="s">
        <v>38</v>
      </c>
    </row>
    <row r="727" spans="9:17" x14ac:dyDescent="0.35">
      <c r="I727" s="178" t="s">
        <v>372</v>
      </c>
      <c r="J727" s="178" t="s">
        <v>187</v>
      </c>
      <c r="K727" s="139">
        <v>3</v>
      </c>
      <c r="L727" s="140" t="s">
        <v>75</v>
      </c>
      <c r="M727" s="140" t="s">
        <v>247</v>
      </c>
      <c r="N727" s="74" t="s">
        <v>48</v>
      </c>
      <c r="O727" s="74" t="s">
        <v>44</v>
      </c>
      <c r="P727" s="74" t="s">
        <v>71</v>
      </c>
      <c r="Q727" s="140" t="s">
        <v>38</v>
      </c>
    </row>
    <row r="728" spans="9:17" x14ac:dyDescent="0.35">
      <c r="I728" s="178" t="s">
        <v>372</v>
      </c>
      <c r="J728" s="178" t="s">
        <v>374</v>
      </c>
      <c r="K728" s="139">
        <v>2</v>
      </c>
      <c r="L728" s="140" t="s">
        <v>158</v>
      </c>
      <c r="M728" s="140" t="s">
        <v>90</v>
      </c>
      <c r="N728" s="74" t="s">
        <v>35</v>
      </c>
      <c r="O728" s="74" t="s">
        <v>123</v>
      </c>
      <c r="P728" s="74" t="s">
        <v>174</v>
      </c>
      <c r="Q728" s="140" t="s">
        <v>54</v>
      </c>
    </row>
    <row r="729" spans="9:17" x14ac:dyDescent="0.35">
      <c r="I729" s="178" t="s">
        <v>372</v>
      </c>
      <c r="J729" s="178" t="s">
        <v>374</v>
      </c>
      <c r="K729" s="139">
        <v>2</v>
      </c>
      <c r="L729" s="140" t="s">
        <v>158</v>
      </c>
      <c r="M729" s="140" t="s">
        <v>90</v>
      </c>
      <c r="N729" s="74" t="s">
        <v>48</v>
      </c>
      <c r="O729" s="74" t="s">
        <v>52</v>
      </c>
      <c r="P729" s="74" t="s">
        <v>159</v>
      </c>
      <c r="Q729" s="140" t="s">
        <v>54</v>
      </c>
    </row>
    <row r="730" spans="9:17" x14ac:dyDescent="0.35">
      <c r="I730" s="178" t="s">
        <v>372</v>
      </c>
      <c r="J730" s="178" t="s">
        <v>58</v>
      </c>
      <c r="K730" s="139">
        <v>1.5</v>
      </c>
      <c r="L730" s="140" t="s">
        <v>375</v>
      </c>
      <c r="M730" s="140" t="s">
        <v>34</v>
      </c>
      <c r="N730" s="74" t="s">
        <v>39</v>
      </c>
      <c r="O730" s="74" t="s">
        <v>61</v>
      </c>
      <c r="P730" s="74" t="s">
        <v>60</v>
      </c>
      <c r="Q730" s="140" t="s">
        <v>54</v>
      </c>
    </row>
    <row r="731" spans="9:17" x14ac:dyDescent="0.35">
      <c r="I731" s="178" t="s">
        <v>372</v>
      </c>
      <c r="J731" s="178" t="s">
        <v>58</v>
      </c>
      <c r="K731" s="139">
        <v>1.5</v>
      </c>
      <c r="L731" s="140" t="s">
        <v>375</v>
      </c>
      <c r="M731" s="140" t="s">
        <v>34</v>
      </c>
      <c r="N731" s="74" t="s">
        <v>55</v>
      </c>
      <c r="O731" s="74" t="s">
        <v>82</v>
      </c>
      <c r="P731" s="74" t="s">
        <v>60</v>
      </c>
      <c r="Q731" s="140" t="s">
        <v>54</v>
      </c>
    </row>
    <row r="732" spans="9:17" x14ac:dyDescent="0.35">
      <c r="I732" s="178" t="s">
        <v>372</v>
      </c>
      <c r="J732" s="183" t="s">
        <v>89</v>
      </c>
      <c r="K732" s="81">
        <v>3</v>
      </c>
      <c r="L732" s="74" t="s">
        <v>75</v>
      </c>
      <c r="M732" s="74" t="s">
        <v>211</v>
      </c>
      <c r="N732" s="74" t="s">
        <v>35</v>
      </c>
      <c r="O732" s="74" t="s">
        <v>91</v>
      </c>
      <c r="P732" s="74" t="s">
        <v>267</v>
      </c>
      <c r="Q732" s="74" t="s">
        <v>93</v>
      </c>
    </row>
    <row r="733" spans="9:17" x14ac:dyDescent="0.35">
      <c r="I733" s="178" t="s">
        <v>376</v>
      </c>
      <c r="J733" s="178" t="s">
        <v>377</v>
      </c>
      <c r="K733" s="81">
        <v>3</v>
      </c>
      <c r="L733" s="140" t="s">
        <v>75</v>
      </c>
      <c r="M733" s="140" t="s">
        <v>101</v>
      </c>
      <c r="N733" s="74" t="s">
        <v>35</v>
      </c>
      <c r="O733" s="74" t="s">
        <v>511</v>
      </c>
      <c r="P733" s="74" t="s">
        <v>206</v>
      </c>
      <c r="Q733" s="140" t="s">
        <v>38</v>
      </c>
    </row>
    <row r="734" spans="9:17" x14ac:dyDescent="0.35">
      <c r="I734" s="178" t="s">
        <v>376</v>
      </c>
      <c r="J734" s="178" t="s">
        <v>377</v>
      </c>
      <c r="K734" s="81">
        <v>3</v>
      </c>
      <c r="L734" s="140" t="s">
        <v>75</v>
      </c>
      <c r="M734" s="140" t="s">
        <v>101</v>
      </c>
      <c r="N734" s="74" t="s">
        <v>48</v>
      </c>
      <c r="O734" s="74" t="s">
        <v>44</v>
      </c>
      <c r="P734" s="74" t="s">
        <v>133</v>
      </c>
      <c r="Q734" s="140" t="s">
        <v>38</v>
      </c>
    </row>
    <row r="735" spans="9:17" x14ac:dyDescent="0.35">
      <c r="I735" s="178" t="s">
        <v>376</v>
      </c>
      <c r="J735" s="178" t="s">
        <v>377</v>
      </c>
      <c r="K735" s="81">
        <v>3</v>
      </c>
      <c r="L735" s="140" t="s">
        <v>75</v>
      </c>
      <c r="M735" s="140" t="s">
        <v>64</v>
      </c>
      <c r="N735" s="74" t="s">
        <v>35</v>
      </c>
      <c r="O735" s="74" t="s">
        <v>44</v>
      </c>
      <c r="P735" s="74" t="s">
        <v>149</v>
      </c>
      <c r="Q735" s="140" t="s">
        <v>38</v>
      </c>
    </row>
    <row r="736" spans="9:17" x14ac:dyDescent="0.35">
      <c r="I736" s="178" t="s">
        <v>376</v>
      </c>
      <c r="J736" s="178" t="s">
        <v>377</v>
      </c>
      <c r="K736" s="81">
        <v>3</v>
      </c>
      <c r="L736" s="140" t="s">
        <v>75</v>
      </c>
      <c r="M736" s="140" t="s">
        <v>64</v>
      </c>
      <c r="N736" s="74" t="s">
        <v>55</v>
      </c>
      <c r="O736" s="74" t="s">
        <v>511</v>
      </c>
      <c r="P736" s="74" t="s">
        <v>133</v>
      </c>
      <c r="Q736" s="140" t="s">
        <v>38</v>
      </c>
    </row>
    <row r="737" spans="9:17" ht="14.5" customHeight="1" x14ac:dyDescent="0.35">
      <c r="I737" s="178" t="s">
        <v>376</v>
      </c>
      <c r="J737" s="178" t="s">
        <v>148</v>
      </c>
      <c r="K737" s="139">
        <v>1.5</v>
      </c>
      <c r="L737" s="140" t="s">
        <v>63</v>
      </c>
      <c r="M737" s="140" t="s">
        <v>34</v>
      </c>
      <c r="N737" s="74" t="s">
        <v>35</v>
      </c>
      <c r="O737" s="74" t="s">
        <v>40</v>
      </c>
      <c r="P737" s="74" t="s">
        <v>155</v>
      </c>
      <c r="Q737" s="140" t="s">
        <v>38</v>
      </c>
    </row>
    <row r="738" spans="9:17" ht="28" x14ac:dyDescent="0.35">
      <c r="I738" s="178" t="s">
        <v>376</v>
      </c>
      <c r="J738" s="178" t="s">
        <v>148</v>
      </c>
      <c r="K738" s="139">
        <v>1.5</v>
      </c>
      <c r="L738" s="140" t="s">
        <v>63</v>
      </c>
      <c r="M738" s="140" t="s">
        <v>34</v>
      </c>
      <c r="N738" s="84" t="s">
        <v>46</v>
      </c>
      <c r="O738" s="84" t="s">
        <v>40</v>
      </c>
      <c r="P738" s="84" t="s">
        <v>155</v>
      </c>
      <c r="Q738" s="140" t="s">
        <v>38</v>
      </c>
    </row>
    <row r="739" spans="9:17" ht="14.5" customHeight="1" x14ac:dyDescent="0.35">
      <c r="I739" s="178" t="s">
        <v>376</v>
      </c>
      <c r="J739" s="178" t="s">
        <v>231</v>
      </c>
      <c r="K739" s="139">
        <v>1.5</v>
      </c>
      <c r="L739" s="140" t="s">
        <v>68</v>
      </c>
      <c r="M739" s="140" t="s">
        <v>101</v>
      </c>
      <c r="N739" s="74" t="s">
        <v>35</v>
      </c>
      <c r="O739" s="76" t="s">
        <v>232</v>
      </c>
      <c r="P739" s="76" t="s">
        <v>111</v>
      </c>
      <c r="Q739" s="140" t="s">
        <v>54</v>
      </c>
    </row>
    <row r="740" spans="9:17" ht="28" x14ac:dyDescent="0.35">
      <c r="I740" s="178" t="s">
        <v>376</v>
      </c>
      <c r="J740" s="178" t="s">
        <v>231</v>
      </c>
      <c r="K740" s="139">
        <v>1.5</v>
      </c>
      <c r="L740" s="140" t="s">
        <v>68</v>
      </c>
      <c r="M740" s="140" t="s">
        <v>101</v>
      </c>
      <c r="N740" s="74" t="s">
        <v>48</v>
      </c>
      <c r="O740" s="76" t="s">
        <v>232</v>
      </c>
      <c r="P740" s="76" t="s">
        <v>111</v>
      </c>
      <c r="Q740" s="140" t="s">
        <v>54</v>
      </c>
    </row>
    <row r="741" spans="9:17" ht="14.5" customHeight="1" x14ac:dyDescent="0.35">
      <c r="I741" s="178" t="s">
        <v>376</v>
      </c>
      <c r="J741" s="178" t="s">
        <v>156</v>
      </c>
      <c r="K741" s="139">
        <v>1.5</v>
      </c>
      <c r="L741" s="140" t="s">
        <v>68</v>
      </c>
      <c r="M741" s="140" t="s">
        <v>64</v>
      </c>
      <c r="N741" s="74" t="s">
        <v>46</v>
      </c>
      <c r="O741" s="74" t="s">
        <v>511</v>
      </c>
      <c r="P741" s="76" t="s">
        <v>149</v>
      </c>
      <c r="Q741" s="140" t="s">
        <v>38</v>
      </c>
    </row>
    <row r="742" spans="9:17" ht="28" x14ac:dyDescent="0.35">
      <c r="I742" s="178" t="s">
        <v>376</v>
      </c>
      <c r="J742" s="178" t="s">
        <v>156</v>
      </c>
      <c r="K742" s="139">
        <v>1.5</v>
      </c>
      <c r="L742" s="140" t="s">
        <v>68</v>
      </c>
      <c r="M742" s="140" t="s">
        <v>64</v>
      </c>
      <c r="N742" s="74" t="s">
        <v>48</v>
      </c>
      <c r="O742" s="76" t="s">
        <v>511</v>
      </c>
      <c r="P742" s="76" t="s">
        <v>149</v>
      </c>
      <c r="Q742" s="140" t="s">
        <v>38</v>
      </c>
    </row>
    <row r="743" spans="9:17" x14ac:dyDescent="0.35">
      <c r="I743" s="178" t="s">
        <v>376</v>
      </c>
      <c r="J743" s="183" t="s">
        <v>191</v>
      </c>
      <c r="K743" s="81">
        <v>3</v>
      </c>
      <c r="L743" s="74" t="s">
        <v>75</v>
      </c>
      <c r="M743" s="85" t="s">
        <v>378</v>
      </c>
      <c r="N743" s="74" t="s">
        <v>55</v>
      </c>
      <c r="O743" s="74" t="s">
        <v>82</v>
      </c>
      <c r="P743" s="74" t="s">
        <v>197</v>
      </c>
      <c r="Q743" s="74" t="s">
        <v>93</v>
      </c>
    </row>
    <row r="744" spans="9:17" ht="14.5" customHeight="1" x14ac:dyDescent="0.35">
      <c r="I744" s="178" t="s">
        <v>379</v>
      </c>
      <c r="J744" s="178" t="s">
        <v>112</v>
      </c>
      <c r="K744" s="81">
        <v>3</v>
      </c>
      <c r="L744" s="140" t="s">
        <v>51</v>
      </c>
      <c r="M744" s="140" t="s">
        <v>101</v>
      </c>
      <c r="N744" s="74" t="s">
        <v>35</v>
      </c>
      <c r="O744" s="74" t="s">
        <v>44</v>
      </c>
      <c r="P744" s="74" t="s">
        <v>65</v>
      </c>
      <c r="Q744" s="140" t="s">
        <v>38</v>
      </c>
    </row>
    <row r="745" spans="9:17" x14ac:dyDescent="0.35">
      <c r="I745" s="178" t="s">
        <v>379</v>
      </c>
      <c r="J745" s="178" t="s">
        <v>112</v>
      </c>
      <c r="K745" s="81">
        <v>3</v>
      </c>
      <c r="L745" s="140" t="s">
        <v>51</v>
      </c>
      <c r="M745" s="140" t="s">
        <v>101</v>
      </c>
      <c r="N745" s="74" t="s">
        <v>55</v>
      </c>
      <c r="O745" s="74" t="s">
        <v>511</v>
      </c>
      <c r="P745" s="74" t="s">
        <v>57</v>
      </c>
      <c r="Q745" s="140" t="s">
        <v>38</v>
      </c>
    </row>
    <row r="746" spans="9:17" x14ac:dyDescent="0.35">
      <c r="I746" s="178" t="s">
        <v>379</v>
      </c>
      <c r="J746" s="178" t="s">
        <v>377</v>
      </c>
      <c r="K746" s="81">
        <v>3</v>
      </c>
      <c r="L746" s="140" t="s">
        <v>75</v>
      </c>
      <c r="M746" s="140" t="s">
        <v>103</v>
      </c>
      <c r="N746" s="74" t="s">
        <v>35</v>
      </c>
      <c r="O746" s="74" t="s">
        <v>40</v>
      </c>
      <c r="P746" s="74" t="s">
        <v>152</v>
      </c>
      <c r="Q746" s="140" t="s">
        <v>38</v>
      </c>
    </row>
    <row r="747" spans="9:17" x14ac:dyDescent="0.35">
      <c r="I747" s="178" t="s">
        <v>379</v>
      </c>
      <c r="J747" s="178" t="s">
        <v>377</v>
      </c>
      <c r="K747" s="81">
        <v>3</v>
      </c>
      <c r="L747" s="140" t="s">
        <v>75</v>
      </c>
      <c r="M747" s="140" t="s">
        <v>103</v>
      </c>
      <c r="N747" s="74" t="s">
        <v>55</v>
      </c>
      <c r="O747" s="74" t="s">
        <v>91</v>
      </c>
      <c r="P747" s="74" t="s">
        <v>53</v>
      </c>
      <c r="Q747" s="140" t="s">
        <v>38</v>
      </c>
    </row>
    <row r="748" spans="9:17" x14ac:dyDescent="0.35">
      <c r="I748" s="178" t="s">
        <v>379</v>
      </c>
      <c r="J748" s="178" t="s">
        <v>377</v>
      </c>
      <c r="K748" s="81">
        <v>3</v>
      </c>
      <c r="L748" s="140" t="s">
        <v>75</v>
      </c>
      <c r="M748" s="140" t="s">
        <v>104</v>
      </c>
      <c r="N748" s="74" t="s">
        <v>35</v>
      </c>
      <c r="O748" s="74" t="s">
        <v>511</v>
      </c>
      <c r="P748" s="74" t="s">
        <v>111</v>
      </c>
      <c r="Q748" s="140" t="s">
        <v>38</v>
      </c>
    </row>
    <row r="749" spans="9:17" x14ac:dyDescent="0.35">
      <c r="I749" s="178" t="s">
        <v>379</v>
      </c>
      <c r="J749" s="178" t="s">
        <v>377</v>
      </c>
      <c r="K749" s="81">
        <v>3</v>
      </c>
      <c r="L749" s="140" t="s">
        <v>75</v>
      </c>
      <c r="M749" s="140" t="s">
        <v>104</v>
      </c>
      <c r="N749" s="74" t="s">
        <v>48</v>
      </c>
      <c r="O749" s="74" t="s">
        <v>40</v>
      </c>
      <c r="P749" s="74" t="s">
        <v>405</v>
      </c>
      <c r="Q749" s="140" t="s">
        <v>38</v>
      </c>
    </row>
    <row r="750" spans="9:17" x14ac:dyDescent="0.35">
      <c r="I750" s="178" t="s">
        <v>379</v>
      </c>
      <c r="J750" s="178" t="s">
        <v>377</v>
      </c>
      <c r="K750" s="81">
        <v>3</v>
      </c>
      <c r="L750" s="140" t="s">
        <v>75</v>
      </c>
      <c r="M750" s="140" t="s">
        <v>153</v>
      </c>
      <c r="N750" s="74" t="s">
        <v>35</v>
      </c>
      <c r="O750" s="74" t="s">
        <v>511</v>
      </c>
      <c r="P750" s="74" t="s">
        <v>208</v>
      </c>
      <c r="Q750" s="140" t="s">
        <v>54</v>
      </c>
    </row>
    <row r="751" spans="9:17" x14ac:dyDescent="0.35">
      <c r="I751" s="178" t="s">
        <v>379</v>
      </c>
      <c r="J751" s="178" t="s">
        <v>377</v>
      </c>
      <c r="K751" s="81">
        <v>3</v>
      </c>
      <c r="L751" s="140" t="s">
        <v>75</v>
      </c>
      <c r="M751" s="140" t="s">
        <v>153</v>
      </c>
      <c r="N751" s="74" t="s">
        <v>55</v>
      </c>
      <c r="O751" s="74" t="s">
        <v>44</v>
      </c>
      <c r="P751" s="74" t="s">
        <v>71</v>
      </c>
      <c r="Q751" s="140" t="s">
        <v>54</v>
      </c>
    </row>
    <row r="752" spans="9:17" x14ac:dyDescent="0.35">
      <c r="I752" s="178" t="s">
        <v>379</v>
      </c>
      <c r="J752" s="178" t="s">
        <v>74</v>
      </c>
      <c r="K752" s="81">
        <v>3</v>
      </c>
      <c r="L752" s="140" t="s">
        <v>75</v>
      </c>
      <c r="M752" s="140" t="s">
        <v>247</v>
      </c>
      <c r="N752" s="74" t="s">
        <v>35</v>
      </c>
      <c r="O752" s="74" t="s">
        <v>40</v>
      </c>
      <c r="P752" s="74" t="s">
        <v>150</v>
      </c>
      <c r="Q752" s="140" t="s">
        <v>54</v>
      </c>
    </row>
    <row r="753" spans="9:17" x14ac:dyDescent="0.35">
      <c r="I753" s="178" t="s">
        <v>379</v>
      </c>
      <c r="J753" s="178" t="s">
        <v>74</v>
      </c>
      <c r="K753" s="81">
        <v>3</v>
      </c>
      <c r="L753" s="140" t="s">
        <v>75</v>
      </c>
      <c r="M753" s="140" t="s">
        <v>247</v>
      </c>
      <c r="N753" s="74" t="s">
        <v>48</v>
      </c>
      <c r="O753" s="74" t="s">
        <v>511</v>
      </c>
      <c r="P753" s="74" t="s">
        <v>159</v>
      </c>
      <c r="Q753" s="140" t="s">
        <v>54</v>
      </c>
    </row>
    <row r="754" spans="9:17" x14ac:dyDescent="0.35">
      <c r="I754" s="181" t="s">
        <v>501</v>
      </c>
      <c r="J754" s="178" t="s">
        <v>381</v>
      </c>
      <c r="K754" s="81">
        <v>3</v>
      </c>
      <c r="L754" s="140" t="s">
        <v>51</v>
      </c>
      <c r="M754" s="140" t="s">
        <v>136</v>
      </c>
      <c r="N754" s="74" t="s">
        <v>39</v>
      </c>
      <c r="O754" s="74" t="s">
        <v>44</v>
      </c>
      <c r="P754" s="74" t="s">
        <v>57</v>
      </c>
      <c r="Q754" s="140" t="s">
        <v>38</v>
      </c>
    </row>
    <row r="755" spans="9:17" x14ac:dyDescent="0.35">
      <c r="I755" s="181" t="s">
        <v>501</v>
      </c>
      <c r="J755" s="178" t="s">
        <v>381</v>
      </c>
      <c r="K755" s="81">
        <v>3</v>
      </c>
      <c r="L755" s="140" t="s">
        <v>51</v>
      </c>
      <c r="M755" s="140" t="s">
        <v>136</v>
      </c>
      <c r="N755" s="74" t="s">
        <v>48</v>
      </c>
      <c r="O755" s="74" t="s">
        <v>511</v>
      </c>
      <c r="P755" s="74" t="s">
        <v>41</v>
      </c>
      <c r="Q755" s="140" t="s">
        <v>38</v>
      </c>
    </row>
    <row r="756" spans="9:17" x14ac:dyDescent="0.35">
      <c r="I756" s="181" t="s">
        <v>501</v>
      </c>
      <c r="J756" s="178" t="s">
        <v>381</v>
      </c>
      <c r="K756" s="81">
        <v>3</v>
      </c>
      <c r="L756" s="140" t="s">
        <v>51</v>
      </c>
      <c r="M756" s="140" t="s">
        <v>76</v>
      </c>
      <c r="N756" s="74" t="s">
        <v>35</v>
      </c>
      <c r="O756" s="74" t="s">
        <v>44</v>
      </c>
      <c r="P756" s="74" t="s">
        <v>159</v>
      </c>
      <c r="Q756" s="140" t="s">
        <v>38</v>
      </c>
    </row>
    <row r="757" spans="9:17" x14ac:dyDescent="0.35">
      <c r="I757" s="181" t="s">
        <v>501</v>
      </c>
      <c r="J757" s="178" t="s">
        <v>381</v>
      </c>
      <c r="K757" s="81">
        <v>3</v>
      </c>
      <c r="L757" s="140" t="s">
        <v>51</v>
      </c>
      <c r="M757" s="140" t="s">
        <v>76</v>
      </c>
      <c r="N757" s="74" t="s">
        <v>48</v>
      </c>
      <c r="O757" s="74" t="s">
        <v>44</v>
      </c>
      <c r="P757" s="74" t="s">
        <v>41</v>
      </c>
      <c r="Q757" s="140" t="s">
        <v>38</v>
      </c>
    </row>
    <row r="758" spans="9:17" x14ac:dyDescent="0.35">
      <c r="I758" s="181" t="s">
        <v>501</v>
      </c>
      <c r="J758" s="178" t="s">
        <v>381</v>
      </c>
      <c r="K758" s="81">
        <v>3</v>
      </c>
      <c r="L758" s="140" t="s">
        <v>51</v>
      </c>
      <c r="M758" s="140" t="s">
        <v>79</v>
      </c>
      <c r="N758" s="74" t="s">
        <v>46</v>
      </c>
      <c r="O758" s="74" t="s">
        <v>44</v>
      </c>
      <c r="P758" s="74" t="s">
        <v>53</v>
      </c>
      <c r="Q758" s="140" t="s">
        <v>54</v>
      </c>
    </row>
    <row r="759" spans="9:17" x14ac:dyDescent="0.35">
      <c r="I759" s="181" t="s">
        <v>501</v>
      </c>
      <c r="J759" s="178" t="s">
        <v>381</v>
      </c>
      <c r="K759" s="81">
        <v>3</v>
      </c>
      <c r="L759" s="140" t="s">
        <v>51</v>
      </c>
      <c r="M759" s="140" t="s">
        <v>79</v>
      </c>
      <c r="N759" s="74" t="s">
        <v>55</v>
      </c>
      <c r="O759" s="74" t="s">
        <v>511</v>
      </c>
      <c r="P759" s="74" t="s">
        <v>124</v>
      </c>
      <c r="Q759" s="186" t="s">
        <v>54</v>
      </c>
    </row>
    <row r="760" spans="9:17" x14ac:dyDescent="0.35">
      <c r="I760" s="181" t="s">
        <v>501</v>
      </c>
      <c r="J760" s="178" t="s">
        <v>537</v>
      </c>
      <c r="K760" s="81">
        <v>3</v>
      </c>
      <c r="L760" s="140" t="s">
        <v>51</v>
      </c>
      <c r="M760" s="140" t="s">
        <v>90</v>
      </c>
      <c r="N760" s="74" t="s">
        <v>46</v>
      </c>
      <c r="O760" s="74" t="s">
        <v>40</v>
      </c>
      <c r="P760" s="74" t="s">
        <v>110</v>
      </c>
      <c r="Q760" s="140" t="s">
        <v>54</v>
      </c>
    </row>
    <row r="761" spans="9:17" x14ac:dyDescent="0.35">
      <c r="I761" s="181" t="s">
        <v>501</v>
      </c>
      <c r="J761" s="178" t="s">
        <v>537</v>
      </c>
      <c r="K761" s="81">
        <v>3</v>
      </c>
      <c r="L761" s="140" t="s">
        <v>51</v>
      </c>
      <c r="M761" s="140" t="s">
        <v>90</v>
      </c>
      <c r="N761" s="74" t="s">
        <v>55</v>
      </c>
      <c r="O761" s="76" t="s">
        <v>44</v>
      </c>
      <c r="P761" s="74" t="s">
        <v>155</v>
      </c>
      <c r="Q761" s="186" t="s">
        <v>54</v>
      </c>
    </row>
    <row r="762" spans="9:17" x14ac:dyDescent="0.35">
      <c r="I762" s="181" t="s">
        <v>501</v>
      </c>
      <c r="J762" s="178" t="s">
        <v>224</v>
      </c>
      <c r="K762" s="139">
        <v>1.5</v>
      </c>
      <c r="L762" s="140" t="s">
        <v>63</v>
      </c>
      <c r="M762" s="140" t="s">
        <v>101</v>
      </c>
      <c r="N762" s="74" t="s">
        <v>35</v>
      </c>
      <c r="O762" s="74" t="s">
        <v>40</v>
      </c>
      <c r="P762" s="74" t="s">
        <v>65</v>
      </c>
      <c r="Q762" s="140" t="s">
        <v>38</v>
      </c>
    </row>
    <row r="763" spans="9:17" x14ac:dyDescent="0.35">
      <c r="I763" s="181" t="s">
        <v>501</v>
      </c>
      <c r="J763" s="178" t="s">
        <v>224</v>
      </c>
      <c r="K763" s="139">
        <v>1.5</v>
      </c>
      <c r="L763" s="140" t="s">
        <v>63</v>
      </c>
      <c r="M763" s="140" t="s">
        <v>101</v>
      </c>
      <c r="N763" s="74" t="s">
        <v>46</v>
      </c>
      <c r="O763" s="74" t="s">
        <v>40</v>
      </c>
      <c r="P763" s="74" t="s">
        <v>65</v>
      </c>
      <c r="Q763" s="186" t="s">
        <v>38</v>
      </c>
    </row>
    <row r="764" spans="9:17" ht="14.5" customHeight="1" x14ac:dyDescent="0.35">
      <c r="I764" s="181" t="s">
        <v>501</v>
      </c>
      <c r="J764" s="178" t="s">
        <v>233</v>
      </c>
      <c r="K764" s="139">
        <v>1.5</v>
      </c>
      <c r="L764" s="140" t="s">
        <v>68</v>
      </c>
      <c r="M764" s="140" t="s">
        <v>69</v>
      </c>
      <c r="N764" s="74" t="s">
        <v>46</v>
      </c>
      <c r="O764" s="76" t="s">
        <v>44</v>
      </c>
      <c r="P764" s="75" t="s">
        <v>71</v>
      </c>
      <c r="Q764" s="140" t="s">
        <v>38</v>
      </c>
    </row>
    <row r="765" spans="9:17" ht="42" x14ac:dyDescent="0.35">
      <c r="I765" s="181" t="s">
        <v>501</v>
      </c>
      <c r="J765" s="178" t="s">
        <v>233</v>
      </c>
      <c r="K765" s="139">
        <v>1.5</v>
      </c>
      <c r="L765" s="140" t="s">
        <v>68</v>
      </c>
      <c r="M765" s="140" t="s">
        <v>69</v>
      </c>
      <c r="N765" s="74" t="s">
        <v>55</v>
      </c>
      <c r="O765" s="76" t="s">
        <v>44</v>
      </c>
      <c r="P765" s="77" t="s">
        <v>71</v>
      </c>
      <c r="Q765" s="186" t="s">
        <v>38</v>
      </c>
    </row>
    <row r="766" spans="9:17" x14ac:dyDescent="0.35">
      <c r="I766" s="181" t="s">
        <v>501</v>
      </c>
      <c r="J766" s="178" t="s">
        <v>67</v>
      </c>
      <c r="K766" s="139">
        <v>2</v>
      </c>
      <c r="L766" s="140" t="s">
        <v>68</v>
      </c>
      <c r="M766" s="140" t="s">
        <v>64</v>
      </c>
      <c r="N766" s="74" t="s">
        <v>35</v>
      </c>
      <c r="O766" s="76" t="s">
        <v>70</v>
      </c>
      <c r="P766" s="76" t="s">
        <v>149</v>
      </c>
      <c r="Q766" s="140" t="s">
        <v>54</v>
      </c>
    </row>
    <row r="767" spans="9:17" x14ac:dyDescent="0.35">
      <c r="I767" s="181" t="s">
        <v>501</v>
      </c>
      <c r="J767" s="178" t="s">
        <v>67</v>
      </c>
      <c r="K767" s="139">
        <v>2</v>
      </c>
      <c r="L767" s="140" t="s">
        <v>68</v>
      </c>
      <c r="M767" s="140" t="s">
        <v>64</v>
      </c>
      <c r="N767" s="74" t="s">
        <v>48</v>
      </c>
      <c r="O767" s="76" t="s">
        <v>70</v>
      </c>
      <c r="P767" s="76" t="s">
        <v>149</v>
      </c>
      <c r="Q767" s="140" t="s">
        <v>54</v>
      </c>
    </row>
    <row r="768" spans="9:17" ht="14.5" customHeight="1" x14ac:dyDescent="0.35">
      <c r="I768" s="178" t="s">
        <v>383</v>
      </c>
      <c r="J768" s="178" t="s">
        <v>276</v>
      </c>
      <c r="K768" s="139">
        <v>2</v>
      </c>
      <c r="L768" s="140" t="s">
        <v>75</v>
      </c>
      <c r="M768" s="140" t="s">
        <v>272</v>
      </c>
      <c r="N768" s="74" t="s">
        <v>46</v>
      </c>
      <c r="O768" s="74" t="s">
        <v>52</v>
      </c>
      <c r="P768" s="74" t="s">
        <v>160</v>
      </c>
      <c r="Q768" s="140" t="s">
        <v>54</v>
      </c>
    </row>
    <row r="769" spans="9:17" ht="28" x14ac:dyDescent="0.35">
      <c r="I769" s="178" t="s">
        <v>383</v>
      </c>
      <c r="J769" s="178" t="s">
        <v>276</v>
      </c>
      <c r="K769" s="139">
        <v>2</v>
      </c>
      <c r="L769" s="140" t="s">
        <v>75</v>
      </c>
      <c r="M769" s="140" t="s">
        <v>272</v>
      </c>
      <c r="N769" s="74" t="s">
        <v>55</v>
      </c>
      <c r="O769" s="74" t="s">
        <v>52</v>
      </c>
      <c r="P769" s="74" t="s">
        <v>78</v>
      </c>
      <c r="Q769" s="140" t="s">
        <v>54</v>
      </c>
    </row>
    <row r="770" spans="9:17" x14ac:dyDescent="0.35">
      <c r="I770" s="178" t="s">
        <v>383</v>
      </c>
      <c r="J770" s="178" t="s">
        <v>238</v>
      </c>
      <c r="K770" s="139">
        <v>2</v>
      </c>
      <c r="L770" s="140" t="s">
        <v>75</v>
      </c>
      <c r="M770" s="140" t="s">
        <v>247</v>
      </c>
      <c r="N770" s="74" t="s">
        <v>35</v>
      </c>
      <c r="O770" s="74" t="s">
        <v>56</v>
      </c>
      <c r="P770" s="74" t="s">
        <v>174</v>
      </c>
      <c r="Q770" s="140" t="s">
        <v>38</v>
      </c>
    </row>
    <row r="771" spans="9:17" x14ac:dyDescent="0.35">
      <c r="I771" s="178" t="s">
        <v>383</v>
      </c>
      <c r="J771" s="178" t="s">
        <v>238</v>
      </c>
      <c r="K771" s="139">
        <v>2</v>
      </c>
      <c r="L771" s="140" t="s">
        <v>75</v>
      </c>
      <c r="M771" s="140" t="s">
        <v>247</v>
      </c>
      <c r="N771" s="74" t="s">
        <v>39</v>
      </c>
      <c r="O771" s="74" t="s">
        <v>56</v>
      </c>
      <c r="P771" s="74" t="s">
        <v>174</v>
      </c>
      <c r="Q771" s="140" t="s">
        <v>38</v>
      </c>
    </row>
    <row r="772" spans="9:17" x14ac:dyDescent="0.35">
      <c r="I772" s="178" t="s">
        <v>383</v>
      </c>
      <c r="J772" s="180" t="s">
        <v>58</v>
      </c>
      <c r="K772" s="144">
        <v>1.5</v>
      </c>
      <c r="L772" s="143" t="s">
        <v>106</v>
      </c>
      <c r="M772" s="143" t="s">
        <v>42</v>
      </c>
      <c r="N772" s="118" t="s">
        <v>46</v>
      </c>
      <c r="O772" s="118" t="s">
        <v>82</v>
      </c>
      <c r="P772" s="118" t="s">
        <v>60</v>
      </c>
      <c r="Q772" s="140" t="s">
        <v>54</v>
      </c>
    </row>
    <row r="773" spans="9:17" x14ac:dyDescent="0.35">
      <c r="I773" s="178" t="s">
        <v>383</v>
      </c>
      <c r="J773" s="180" t="s">
        <v>58</v>
      </c>
      <c r="K773" s="144">
        <v>1.5</v>
      </c>
      <c r="L773" s="143" t="s">
        <v>106</v>
      </c>
      <c r="M773" s="143" t="s">
        <v>42</v>
      </c>
      <c r="N773" s="118" t="s">
        <v>55</v>
      </c>
      <c r="O773" s="118" t="s">
        <v>82</v>
      </c>
      <c r="P773" s="118" t="s">
        <v>60</v>
      </c>
      <c r="Q773" s="140" t="s">
        <v>54</v>
      </c>
    </row>
    <row r="774" spans="9:17" x14ac:dyDescent="0.35">
      <c r="I774" s="178" t="s">
        <v>383</v>
      </c>
      <c r="J774" s="178" t="s">
        <v>50</v>
      </c>
      <c r="K774" s="144">
        <v>1.5</v>
      </c>
      <c r="L774" s="143" t="s">
        <v>106</v>
      </c>
      <c r="M774" s="140" t="s">
        <v>45</v>
      </c>
      <c r="N774" s="74" t="s">
        <v>35</v>
      </c>
      <c r="O774" s="74" t="s">
        <v>131</v>
      </c>
      <c r="P774" s="74" t="s">
        <v>107</v>
      </c>
      <c r="Q774" s="140" t="s">
        <v>38</v>
      </c>
    </row>
    <row r="775" spans="9:17" x14ac:dyDescent="0.35">
      <c r="I775" s="178" t="s">
        <v>383</v>
      </c>
      <c r="J775" s="178" t="s">
        <v>50</v>
      </c>
      <c r="K775" s="144">
        <v>1.5</v>
      </c>
      <c r="L775" s="143" t="s">
        <v>106</v>
      </c>
      <c r="M775" s="140" t="s">
        <v>45</v>
      </c>
      <c r="N775" s="74" t="s">
        <v>48</v>
      </c>
      <c r="O775" s="74" t="s">
        <v>59</v>
      </c>
      <c r="P775" s="74" t="s">
        <v>143</v>
      </c>
      <c r="Q775" s="140" t="s">
        <v>38</v>
      </c>
    </row>
    <row r="776" spans="9:17" x14ac:dyDescent="0.35">
      <c r="I776" s="178" t="s">
        <v>383</v>
      </c>
      <c r="J776" s="178" t="s">
        <v>58</v>
      </c>
      <c r="K776" s="144">
        <v>1.5</v>
      </c>
      <c r="L776" s="140" t="s">
        <v>86</v>
      </c>
      <c r="M776" s="140" t="s">
        <v>34</v>
      </c>
      <c r="N776" s="74" t="s">
        <v>48</v>
      </c>
      <c r="O776" s="74" t="s">
        <v>82</v>
      </c>
      <c r="P776" s="74" t="s">
        <v>60</v>
      </c>
      <c r="Q776" s="140" t="s">
        <v>38</v>
      </c>
    </row>
    <row r="777" spans="9:17" x14ac:dyDescent="0.35">
      <c r="I777" s="178" t="s">
        <v>383</v>
      </c>
      <c r="J777" s="178" t="s">
        <v>58</v>
      </c>
      <c r="K777" s="144">
        <v>1.5</v>
      </c>
      <c r="L777" s="140" t="s">
        <v>86</v>
      </c>
      <c r="M777" s="140" t="s">
        <v>34</v>
      </c>
      <c r="N777" s="74" t="s">
        <v>55</v>
      </c>
      <c r="O777" s="74" t="s">
        <v>82</v>
      </c>
      <c r="P777" s="74" t="s">
        <v>60</v>
      </c>
      <c r="Q777" s="140" t="s">
        <v>38</v>
      </c>
    </row>
    <row r="778" spans="9:17" x14ac:dyDescent="0.35">
      <c r="I778" s="178" t="s">
        <v>383</v>
      </c>
      <c r="J778" s="178" t="s">
        <v>50</v>
      </c>
      <c r="K778" s="144">
        <v>1.5</v>
      </c>
      <c r="L778" s="140" t="s">
        <v>81</v>
      </c>
      <c r="M778" s="140" t="s">
        <v>42</v>
      </c>
      <c r="N778" s="84" t="s">
        <v>35</v>
      </c>
      <c r="O778" s="74" t="s">
        <v>219</v>
      </c>
      <c r="P778" s="74" t="s">
        <v>386</v>
      </c>
      <c r="Q778" s="140" t="s">
        <v>38</v>
      </c>
    </row>
    <row r="779" spans="9:17" x14ac:dyDescent="0.35">
      <c r="I779" s="178" t="s">
        <v>383</v>
      </c>
      <c r="J779" s="178" t="s">
        <v>50</v>
      </c>
      <c r="K779" s="144">
        <v>1.5</v>
      </c>
      <c r="L779" s="140" t="s">
        <v>81</v>
      </c>
      <c r="M779" s="140" t="s">
        <v>42</v>
      </c>
      <c r="N779" s="85" t="s">
        <v>39</v>
      </c>
      <c r="O779" s="74" t="s">
        <v>84</v>
      </c>
      <c r="P779" s="74" t="s">
        <v>387</v>
      </c>
      <c r="Q779" s="140" t="s">
        <v>38</v>
      </c>
    </row>
    <row r="780" spans="9:17" x14ac:dyDescent="0.35">
      <c r="I780" s="178" t="s">
        <v>383</v>
      </c>
      <c r="J780" s="178" t="s">
        <v>58</v>
      </c>
      <c r="K780" s="144">
        <v>1.5</v>
      </c>
      <c r="L780" s="140" t="s">
        <v>81</v>
      </c>
      <c r="M780" s="140" t="s">
        <v>49</v>
      </c>
      <c r="N780" s="84" t="s">
        <v>46</v>
      </c>
      <c r="O780" s="74" t="s">
        <v>219</v>
      </c>
      <c r="P780" s="74" t="s">
        <v>83</v>
      </c>
      <c r="Q780" s="140" t="s">
        <v>38</v>
      </c>
    </row>
    <row r="781" spans="9:17" x14ac:dyDescent="0.35">
      <c r="I781" s="178" t="s">
        <v>383</v>
      </c>
      <c r="J781" s="178" t="s">
        <v>58</v>
      </c>
      <c r="K781" s="144">
        <v>1.5</v>
      </c>
      <c r="L781" s="140" t="s">
        <v>81</v>
      </c>
      <c r="M781" s="140" t="s">
        <v>49</v>
      </c>
      <c r="N781" s="85" t="s">
        <v>48</v>
      </c>
      <c r="O781" s="74" t="s">
        <v>82</v>
      </c>
      <c r="P781" s="74" t="s">
        <v>85</v>
      </c>
      <c r="Q781" s="140" t="s">
        <v>38</v>
      </c>
    </row>
    <row r="782" spans="9:17" x14ac:dyDescent="0.35">
      <c r="I782" s="178" t="s">
        <v>383</v>
      </c>
      <c r="J782" s="192" t="s">
        <v>89</v>
      </c>
      <c r="K782" s="96">
        <v>3</v>
      </c>
      <c r="L782" s="85" t="s">
        <v>75</v>
      </c>
      <c r="M782" s="85" t="s">
        <v>177</v>
      </c>
      <c r="N782" s="85" t="s">
        <v>46</v>
      </c>
      <c r="O782" s="85" t="s">
        <v>91</v>
      </c>
      <c r="P782" s="85" t="s">
        <v>190</v>
      </c>
      <c r="Q782" s="85" t="s">
        <v>93</v>
      </c>
    </row>
    <row r="783" spans="9:17" x14ac:dyDescent="0.35">
      <c r="I783" s="181" t="s">
        <v>502</v>
      </c>
      <c r="J783" s="178" t="s">
        <v>127</v>
      </c>
      <c r="K783" s="139">
        <v>1</v>
      </c>
      <c r="L783" s="140" t="s">
        <v>51</v>
      </c>
      <c r="M783" s="140" t="s">
        <v>103</v>
      </c>
      <c r="N783" s="74" t="s">
        <v>46</v>
      </c>
      <c r="O783" s="74" t="s">
        <v>56</v>
      </c>
      <c r="P783" s="74" t="s">
        <v>110</v>
      </c>
      <c r="Q783" s="140" t="s">
        <v>54</v>
      </c>
    </row>
    <row r="784" spans="9:17" x14ac:dyDescent="0.35">
      <c r="I784" s="181" t="s">
        <v>502</v>
      </c>
      <c r="J784" s="178" t="s">
        <v>127</v>
      </c>
      <c r="K784" s="139">
        <v>1</v>
      </c>
      <c r="L784" s="140" t="s">
        <v>51</v>
      </c>
      <c r="M784" s="140" t="s">
        <v>103</v>
      </c>
      <c r="N784" s="74" t="s">
        <v>55</v>
      </c>
      <c r="O784" s="74" t="s">
        <v>179</v>
      </c>
      <c r="P784" s="74" t="s">
        <v>538</v>
      </c>
      <c r="Q784" s="140" t="s">
        <v>54</v>
      </c>
    </row>
    <row r="785" spans="9:17" x14ac:dyDescent="0.35">
      <c r="I785" s="181" t="s">
        <v>502</v>
      </c>
      <c r="J785" s="178" t="s">
        <v>525</v>
      </c>
      <c r="K785" s="139">
        <v>3</v>
      </c>
      <c r="L785" s="140" t="s">
        <v>51</v>
      </c>
      <c r="M785" s="140" t="s">
        <v>136</v>
      </c>
      <c r="N785" s="74" t="s">
        <v>35</v>
      </c>
      <c r="O785" s="74" t="s">
        <v>511</v>
      </c>
      <c r="P785" s="74" t="s">
        <v>196</v>
      </c>
      <c r="Q785" s="140" t="s">
        <v>54</v>
      </c>
    </row>
    <row r="786" spans="9:17" x14ac:dyDescent="0.35">
      <c r="I786" s="181" t="s">
        <v>502</v>
      </c>
      <c r="J786" s="178" t="s">
        <v>525</v>
      </c>
      <c r="K786" s="139">
        <v>3</v>
      </c>
      <c r="L786" s="140" t="s">
        <v>51</v>
      </c>
      <c r="M786" s="140" t="s">
        <v>136</v>
      </c>
      <c r="N786" s="74" t="s">
        <v>293</v>
      </c>
      <c r="O786" s="74" t="s">
        <v>44</v>
      </c>
      <c r="P786" s="74" t="s">
        <v>114</v>
      </c>
      <c r="Q786" s="140" t="s">
        <v>54</v>
      </c>
    </row>
    <row r="787" spans="9:17" x14ac:dyDescent="0.35">
      <c r="I787" s="181" t="s">
        <v>502</v>
      </c>
      <c r="J787" s="178" t="s">
        <v>525</v>
      </c>
      <c r="K787" s="139">
        <v>3</v>
      </c>
      <c r="L787" s="140" t="s">
        <v>51</v>
      </c>
      <c r="M787" s="140" t="s">
        <v>76</v>
      </c>
      <c r="N787" s="74" t="s">
        <v>46</v>
      </c>
      <c r="O787" s="74" t="s">
        <v>40</v>
      </c>
      <c r="P787" s="74" t="s">
        <v>132</v>
      </c>
      <c r="Q787" s="140" t="s">
        <v>54</v>
      </c>
    </row>
    <row r="788" spans="9:17" x14ac:dyDescent="0.35">
      <c r="I788" s="181" t="s">
        <v>502</v>
      </c>
      <c r="J788" s="178" t="s">
        <v>525</v>
      </c>
      <c r="K788" s="139">
        <v>3</v>
      </c>
      <c r="L788" s="140" t="s">
        <v>51</v>
      </c>
      <c r="M788" s="140" t="s">
        <v>76</v>
      </c>
      <c r="N788" s="74" t="s">
        <v>55</v>
      </c>
      <c r="O788" s="74" t="s">
        <v>511</v>
      </c>
      <c r="P788" s="74" t="s">
        <v>196</v>
      </c>
      <c r="Q788" s="140" t="s">
        <v>54</v>
      </c>
    </row>
    <row r="789" spans="9:17" ht="28" x14ac:dyDescent="0.35">
      <c r="I789" s="181" t="s">
        <v>502</v>
      </c>
      <c r="J789" s="178" t="s">
        <v>389</v>
      </c>
      <c r="K789" s="139">
        <v>3</v>
      </c>
      <c r="L789" s="140" t="s">
        <v>51</v>
      </c>
      <c r="M789" s="140" t="s">
        <v>90</v>
      </c>
      <c r="N789" s="74" t="s">
        <v>35</v>
      </c>
      <c r="O789" s="74" t="s">
        <v>511</v>
      </c>
      <c r="P789" s="74" t="s">
        <v>160</v>
      </c>
      <c r="Q789" s="140" t="s">
        <v>38</v>
      </c>
    </row>
    <row r="790" spans="9:17" ht="28" x14ac:dyDescent="0.35">
      <c r="I790" s="181" t="s">
        <v>502</v>
      </c>
      <c r="J790" s="178" t="s">
        <v>389</v>
      </c>
      <c r="K790" s="139">
        <v>3</v>
      </c>
      <c r="L790" s="140" t="s">
        <v>51</v>
      </c>
      <c r="M790" s="140" t="s">
        <v>90</v>
      </c>
      <c r="N790" s="74" t="s">
        <v>48</v>
      </c>
      <c r="O790" s="74" t="s">
        <v>511</v>
      </c>
      <c r="P790" s="74" t="s">
        <v>160</v>
      </c>
      <c r="Q790" s="140" t="s">
        <v>38</v>
      </c>
    </row>
    <row r="791" spans="9:17" x14ac:dyDescent="0.35">
      <c r="I791" s="181" t="s">
        <v>502</v>
      </c>
      <c r="J791" s="178" t="s">
        <v>224</v>
      </c>
      <c r="K791" s="139">
        <v>1.5</v>
      </c>
      <c r="L791" s="140" t="s">
        <v>63</v>
      </c>
      <c r="M791" s="140" t="s">
        <v>90</v>
      </c>
      <c r="N791" s="74" t="s">
        <v>35</v>
      </c>
      <c r="O791" s="74" t="s">
        <v>40</v>
      </c>
      <c r="P791" s="74" t="s">
        <v>65</v>
      </c>
      <c r="Q791" s="140" t="s">
        <v>38</v>
      </c>
    </row>
    <row r="792" spans="9:17" x14ac:dyDescent="0.35">
      <c r="I792" s="181" t="s">
        <v>502</v>
      </c>
      <c r="J792" s="178" t="s">
        <v>224</v>
      </c>
      <c r="K792" s="139">
        <v>1.5</v>
      </c>
      <c r="L792" s="140" t="s">
        <v>63</v>
      </c>
      <c r="M792" s="140" t="s">
        <v>90</v>
      </c>
      <c r="N792" s="74" t="s">
        <v>46</v>
      </c>
      <c r="O792" s="74" t="s">
        <v>40</v>
      </c>
      <c r="P792" s="74" t="s">
        <v>65</v>
      </c>
      <c r="Q792" s="140" t="s">
        <v>38</v>
      </c>
    </row>
    <row r="793" spans="9:17" ht="14.5" customHeight="1" x14ac:dyDescent="0.35">
      <c r="I793" s="181" t="s">
        <v>502</v>
      </c>
      <c r="J793" s="178" t="s">
        <v>145</v>
      </c>
      <c r="K793" s="139">
        <v>1.5</v>
      </c>
      <c r="L793" s="140" t="s">
        <v>68</v>
      </c>
      <c r="M793" s="140" t="s">
        <v>69</v>
      </c>
      <c r="N793" s="74" t="s">
        <v>35</v>
      </c>
      <c r="O793" s="76" t="s">
        <v>232</v>
      </c>
      <c r="P793" s="76" t="s">
        <v>71</v>
      </c>
      <c r="Q793" s="140" t="s">
        <v>54</v>
      </c>
    </row>
    <row r="794" spans="9:17" ht="28" x14ac:dyDescent="0.35">
      <c r="I794" s="181" t="s">
        <v>502</v>
      </c>
      <c r="J794" s="178" t="s">
        <v>145</v>
      </c>
      <c r="K794" s="139">
        <v>1.5</v>
      </c>
      <c r="L794" s="140" t="s">
        <v>68</v>
      </c>
      <c r="M794" s="140" t="s">
        <v>69</v>
      </c>
      <c r="N794" s="74" t="s">
        <v>48</v>
      </c>
      <c r="O794" s="76" t="s">
        <v>232</v>
      </c>
      <c r="P794" s="76" t="s">
        <v>71</v>
      </c>
      <c r="Q794" s="140" t="s">
        <v>54</v>
      </c>
    </row>
    <row r="795" spans="9:17" ht="14.5" customHeight="1" x14ac:dyDescent="0.35">
      <c r="I795" s="178" t="s">
        <v>390</v>
      </c>
      <c r="J795" s="178" t="s">
        <v>50</v>
      </c>
      <c r="K795" s="139">
        <v>1.5</v>
      </c>
      <c r="L795" s="140" t="s">
        <v>120</v>
      </c>
      <c r="M795" s="140" t="s">
        <v>34</v>
      </c>
      <c r="N795" s="74" t="s">
        <v>39</v>
      </c>
      <c r="O795" s="74" t="s">
        <v>219</v>
      </c>
      <c r="P795" s="74" t="s">
        <v>324</v>
      </c>
      <c r="Q795" s="140" t="s">
        <v>38</v>
      </c>
    </row>
    <row r="796" spans="9:17" x14ac:dyDescent="0.35">
      <c r="I796" s="178" t="s">
        <v>390</v>
      </c>
      <c r="J796" s="178" t="s">
        <v>50</v>
      </c>
      <c r="K796" s="139">
        <v>1.5</v>
      </c>
      <c r="L796" s="140" t="s">
        <v>120</v>
      </c>
      <c r="M796" s="140" t="s">
        <v>34</v>
      </c>
      <c r="N796" s="74" t="s">
        <v>55</v>
      </c>
      <c r="O796" s="74" t="s">
        <v>123</v>
      </c>
      <c r="P796" s="74" t="s">
        <v>391</v>
      </c>
      <c r="Q796" s="140" t="s">
        <v>38</v>
      </c>
    </row>
    <row r="797" spans="9:17" x14ac:dyDescent="0.35">
      <c r="I797" s="178" t="s">
        <v>390</v>
      </c>
      <c r="J797" s="178" t="s">
        <v>50</v>
      </c>
      <c r="K797" s="139">
        <v>1.5</v>
      </c>
      <c r="L797" s="140" t="s">
        <v>120</v>
      </c>
      <c r="M797" s="140" t="s">
        <v>42</v>
      </c>
      <c r="N797" s="74" t="s">
        <v>39</v>
      </c>
      <c r="O797" s="74" t="s">
        <v>219</v>
      </c>
      <c r="P797" s="74" t="s">
        <v>392</v>
      </c>
      <c r="Q797" s="140" t="s">
        <v>38</v>
      </c>
    </row>
    <row r="798" spans="9:17" x14ac:dyDescent="0.35">
      <c r="I798" s="178" t="s">
        <v>390</v>
      </c>
      <c r="J798" s="178" t="s">
        <v>50</v>
      </c>
      <c r="K798" s="139">
        <v>1.5</v>
      </c>
      <c r="L798" s="140" t="s">
        <v>120</v>
      </c>
      <c r="M798" s="140" t="s">
        <v>42</v>
      </c>
      <c r="N798" s="74" t="s">
        <v>55</v>
      </c>
      <c r="O798" s="74" t="s">
        <v>123</v>
      </c>
      <c r="P798" s="74" t="s">
        <v>386</v>
      </c>
      <c r="Q798" s="140" t="s">
        <v>38</v>
      </c>
    </row>
    <row r="799" spans="9:17" x14ac:dyDescent="0.35">
      <c r="I799" s="178" t="s">
        <v>390</v>
      </c>
      <c r="J799" s="178" t="s">
        <v>58</v>
      </c>
      <c r="K799" s="139">
        <v>1.5</v>
      </c>
      <c r="L799" s="140" t="s">
        <v>120</v>
      </c>
      <c r="M799" s="140" t="s">
        <v>45</v>
      </c>
      <c r="N799" s="74" t="s">
        <v>46</v>
      </c>
      <c r="O799" s="74" t="s">
        <v>82</v>
      </c>
      <c r="P799" s="74" t="s">
        <v>60</v>
      </c>
      <c r="Q799" s="140" t="s">
        <v>38</v>
      </c>
    </row>
    <row r="800" spans="9:17" x14ac:dyDescent="0.35">
      <c r="I800" s="178" t="s">
        <v>390</v>
      </c>
      <c r="J800" s="178" t="s">
        <v>58</v>
      </c>
      <c r="K800" s="139">
        <v>1.5</v>
      </c>
      <c r="L800" s="140" t="s">
        <v>120</v>
      </c>
      <c r="M800" s="140" t="s">
        <v>45</v>
      </c>
      <c r="N800" s="74" t="s">
        <v>48</v>
      </c>
      <c r="O800" s="74" t="s">
        <v>219</v>
      </c>
      <c r="P800" s="74" t="s">
        <v>60</v>
      </c>
      <c r="Q800" s="140" t="s">
        <v>38</v>
      </c>
    </row>
    <row r="801" spans="9:17" x14ac:dyDescent="0.35">
      <c r="I801" s="178" t="s">
        <v>390</v>
      </c>
      <c r="J801" s="178" t="s">
        <v>50</v>
      </c>
      <c r="K801" s="139">
        <v>1.5</v>
      </c>
      <c r="L801" s="140" t="s">
        <v>120</v>
      </c>
      <c r="M801" s="140" t="s">
        <v>49</v>
      </c>
      <c r="N801" s="74" t="s">
        <v>46</v>
      </c>
      <c r="O801" s="74" t="s">
        <v>59</v>
      </c>
      <c r="P801" s="74" t="s">
        <v>324</v>
      </c>
      <c r="Q801" s="140" t="s">
        <v>38</v>
      </c>
    </row>
    <row r="802" spans="9:17" x14ac:dyDescent="0.35">
      <c r="I802" s="178" t="s">
        <v>390</v>
      </c>
      <c r="J802" s="178" t="s">
        <v>50</v>
      </c>
      <c r="K802" s="139">
        <v>1.5</v>
      </c>
      <c r="L802" s="140" t="s">
        <v>120</v>
      </c>
      <c r="M802" s="140" t="s">
        <v>49</v>
      </c>
      <c r="N802" s="84" t="s">
        <v>39</v>
      </c>
      <c r="O802" s="84" t="s">
        <v>61</v>
      </c>
      <c r="P802" s="84" t="s">
        <v>322</v>
      </c>
      <c r="Q802" s="140" t="s">
        <v>38</v>
      </c>
    </row>
    <row r="803" spans="9:17" x14ac:dyDescent="0.35">
      <c r="I803" s="178" t="s">
        <v>390</v>
      </c>
      <c r="J803" s="178" t="s">
        <v>58</v>
      </c>
      <c r="K803" s="139">
        <v>1.5</v>
      </c>
      <c r="L803" s="140" t="s">
        <v>346</v>
      </c>
      <c r="M803" s="140" t="s">
        <v>34</v>
      </c>
      <c r="N803" s="74" t="s">
        <v>39</v>
      </c>
      <c r="O803" s="74" t="s">
        <v>84</v>
      </c>
      <c r="P803" s="74" t="s">
        <v>60</v>
      </c>
      <c r="Q803" s="140" t="s">
        <v>38</v>
      </c>
    </row>
    <row r="804" spans="9:17" x14ac:dyDescent="0.35">
      <c r="I804" s="178" t="s">
        <v>390</v>
      </c>
      <c r="J804" s="178" t="s">
        <v>58</v>
      </c>
      <c r="K804" s="139">
        <v>1.5</v>
      </c>
      <c r="L804" s="140" t="s">
        <v>346</v>
      </c>
      <c r="M804" s="140" t="s">
        <v>34</v>
      </c>
      <c r="N804" s="74" t="s">
        <v>55</v>
      </c>
      <c r="O804" s="74" t="s">
        <v>61</v>
      </c>
      <c r="P804" s="74" t="s">
        <v>60</v>
      </c>
      <c r="Q804" s="140" t="s">
        <v>38</v>
      </c>
    </row>
    <row r="805" spans="9:17" x14ac:dyDescent="0.35">
      <c r="I805" s="178" t="s">
        <v>390</v>
      </c>
      <c r="J805" s="178" t="s">
        <v>50</v>
      </c>
      <c r="K805" s="139">
        <v>1.5</v>
      </c>
      <c r="L805" s="140" t="s">
        <v>33</v>
      </c>
      <c r="M805" s="140" t="s">
        <v>42</v>
      </c>
      <c r="N805" s="74" t="s">
        <v>39</v>
      </c>
      <c r="O805" s="74" t="s">
        <v>61</v>
      </c>
      <c r="P805" s="74" t="s">
        <v>208</v>
      </c>
      <c r="Q805" s="140" t="s">
        <v>54</v>
      </c>
    </row>
    <row r="806" spans="9:17" x14ac:dyDescent="0.35">
      <c r="I806" s="178" t="s">
        <v>390</v>
      </c>
      <c r="J806" s="178" t="s">
        <v>50</v>
      </c>
      <c r="K806" s="139">
        <v>1.5</v>
      </c>
      <c r="L806" s="140" t="s">
        <v>33</v>
      </c>
      <c r="M806" s="140" t="s">
        <v>42</v>
      </c>
      <c r="N806" s="74" t="s">
        <v>55</v>
      </c>
      <c r="O806" s="74" t="s">
        <v>61</v>
      </c>
      <c r="P806" s="74" t="s">
        <v>143</v>
      </c>
      <c r="Q806" s="140" t="s">
        <v>54</v>
      </c>
    </row>
    <row r="807" spans="9:17" x14ac:dyDescent="0.35">
      <c r="I807" s="178" t="s">
        <v>390</v>
      </c>
      <c r="J807" s="178" t="s">
        <v>58</v>
      </c>
      <c r="K807" s="139">
        <v>1.5</v>
      </c>
      <c r="L807" s="140" t="s">
        <v>33</v>
      </c>
      <c r="M807" s="140" t="s">
        <v>34</v>
      </c>
      <c r="N807" s="74" t="s">
        <v>48</v>
      </c>
      <c r="O807" s="74" t="s">
        <v>61</v>
      </c>
      <c r="P807" s="74" t="s">
        <v>60</v>
      </c>
      <c r="Q807" s="140" t="s">
        <v>54</v>
      </c>
    </row>
    <row r="808" spans="9:17" x14ac:dyDescent="0.35">
      <c r="I808" s="178" t="s">
        <v>390</v>
      </c>
      <c r="J808" s="178" t="s">
        <v>58</v>
      </c>
      <c r="K808" s="139">
        <v>1.5</v>
      </c>
      <c r="L808" s="140" t="s">
        <v>33</v>
      </c>
      <c r="M808" s="140" t="s">
        <v>34</v>
      </c>
      <c r="N808" s="74" t="s">
        <v>35</v>
      </c>
      <c r="O808" s="74" t="s">
        <v>61</v>
      </c>
      <c r="P808" s="74" t="s">
        <v>60</v>
      </c>
      <c r="Q808" s="140" t="s">
        <v>54</v>
      </c>
    </row>
    <row r="809" spans="9:17" ht="14.5" customHeight="1" x14ac:dyDescent="0.35">
      <c r="I809" s="178" t="s">
        <v>393</v>
      </c>
      <c r="J809" s="178" t="s">
        <v>122</v>
      </c>
      <c r="K809" s="139">
        <v>2</v>
      </c>
      <c r="L809" s="140" t="s">
        <v>75</v>
      </c>
      <c r="M809" s="140" t="s">
        <v>34</v>
      </c>
      <c r="N809" s="67" t="s">
        <v>46</v>
      </c>
      <c r="O809" s="74" t="s">
        <v>52</v>
      </c>
      <c r="P809" s="74" t="s">
        <v>133</v>
      </c>
      <c r="Q809" s="140" t="s">
        <v>54</v>
      </c>
    </row>
    <row r="810" spans="9:17" x14ac:dyDescent="0.35">
      <c r="I810" s="178" t="s">
        <v>393</v>
      </c>
      <c r="J810" s="178" t="s">
        <v>122</v>
      </c>
      <c r="K810" s="139">
        <v>2</v>
      </c>
      <c r="L810" s="140" t="s">
        <v>75</v>
      </c>
      <c r="M810" s="140" t="s">
        <v>34</v>
      </c>
      <c r="N810" s="74" t="s">
        <v>48</v>
      </c>
      <c r="O810" s="74" t="s">
        <v>56</v>
      </c>
      <c r="P810" s="74" t="s">
        <v>160</v>
      </c>
      <c r="Q810" s="140" t="s">
        <v>54</v>
      </c>
    </row>
    <row r="811" spans="9:17" x14ac:dyDescent="0.35">
      <c r="I811" s="178" t="s">
        <v>393</v>
      </c>
      <c r="J811" s="178" t="s">
        <v>122</v>
      </c>
      <c r="K811" s="139">
        <v>2</v>
      </c>
      <c r="L811" s="140" t="s">
        <v>75</v>
      </c>
      <c r="M811" s="140" t="s">
        <v>289</v>
      </c>
      <c r="N811" s="74" t="s">
        <v>46</v>
      </c>
      <c r="O811" s="74" t="s">
        <v>219</v>
      </c>
      <c r="P811" s="74" t="s">
        <v>78</v>
      </c>
      <c r="Q811" s="140" t="s">
        <v>54</v>
      </c>
    </row>
    <row r="812" spans="9:17" x14ac:dyDescent="0.35">
      <c r="I812" s="178" t="s">
        <v>393</v>
      </c>
      <c r="J812" s="178" t="s">
        <v>122</v>
      </c>
      <c r="K812" s="139">
        <v>2</v>
      </c>
      <c r="L812" s="140" t="s">
        <v>75</v>
      </c>
      <c r="M812" s="140" t="s">
        <v>289</v>
      </c>
      <c r="N812" s="74" t="s">
        <v>48</v>
      </c>
      <c r="O812" s="74" t="s">
        <v>52</v>
      </c>
      <c r="P812" s="74" t="s">
        <v>155</v>
      </c>
      <c r="Q812" s="140" t="s">
        <v>54</v>
      </c>
    </row>
    <row r="813" spans="9:17" ht="14.5" customHeight="1" x14ac:dyDescent="0.35">
      <c r="I813" s="178" t="s">
        <v>393</v>
      </c>
      <c r="J813" s="178" t="s">
        <v>185</v>
      </c>
      <c r="K813" s="139">
        <v>2</v>
      </c>
      <c r="L813" s="140" t="s">
        <v>158</v>
      </c>
      <c r="M813" s="140" t="s">
        <v>101</v>
      </c>
      <c r="N813" s="74" t="s">
        <v>35</v>
      </c>
      <c r="O813" s="74" t="s">
        <v>44</v>
      </c>
      <c r="P813" s="74" t="s">
        <v>114</v>
      </c>
      <c r="Q813" s="140" t="s">
        <v>54</v>
      </c>
    </row>
    <row r="814" spans="9:17" ht="28" x14ac:dyDescent="0.35">
      <c r="I814" s="178" t="s">
        <v>393</v>
      </c>
      <c r="J814" s="178" t="s">
        <v>185</v>
      </c>
      <c r="K814" s="139">
        <v>2</v>
      </c>
      <c r="L814" s="140" t="s">
        <v>158</v>
      </c>
      <c r="M814" s="140" t="s">
        <v>101</v>
      </c>
      <c r="N814" s="74" t="s">
        <v>55</v>
      </c>
      <c r="O814" s="74" t="s">
        <v>511</v>
      </c>
      <c r="P814" s="74" t="s">
        <v>206</v>
      </c>
      <c r="Q814" s="140" t="s">
        <v>54</v>
      </c>
    </row>
    <row r="815" spans="9:17" ht="14.5" customHeight="1" x14ac:dyDescent="0.35">
      <c r="I815" s="178" t="s">
        <v>393</v>
      </c>
      <c r="J815" s="178" t="s">
        <v>185</v>
      </c>
      <c r="K815" s="139">
        <v>2</v>
      </c>
      <c r="L815" s="140" t="s">
        <v>75</v>
      </c>
      <c r="M815" s="140" t="s">
        <v>101</v>
      </c>
      <c r="N815" s="74" t="s">
        <v>35</v>
      </c>
      <c r="O815" s="74" t="s">
        <v>40</v>
      </c>
      <c r="P815" s="74" t="s">
        <v>208</v>
      </c>
      <c r="Q815" s="140" t="s">
        <v>54</v>
      </c>
    </row>
    <row r="816" spans="9:17" ht="28" x14ac:dyDescent="0.35">
      <c r="I816" s="178" t="s">
        <v>393</v>
      </c>
      <c r="J816" s="178" t="s">
        <v>185</v>
      </c>
      <c r="K816" s="139">
        <v>2</v>
      </c>
      <c r="L816" s="140" t="s">
        <v>75</v>
      </c>
      <c r="M816" s="140" t="s">
        <v>101</v>
      </c>
      <c r="N816" s="74" t="s">
        <v>55</v>
      </c>
      <c r="O816" s="74" t="s">
        <v>44</v>
      </c>
      <c r="P816" s="74" t="s">
        <v>126</v>
      </c>
      <c r="Q816" s="140" t="s">
        <v>54</v>
      </c>
    </row>
    <row r="817" spans="9:17" ht="14.5" customHeight="1" x14ac:dyDescent="0.35">
      <c r="I817" s="178" t="s">
        <v>393</v>
      </c>
      <c r="J817" s="178" t="s">
        <v>335</v>
      </c>
      <c r="K817" s="139">
        <v>2</v>
      </c>
      <c r="L817" s="140" t="s">
        <v>158</v>
      </c>
      <c r="M817" s="140" t="s">
        <v>101</v>
      </c>
      <c r="N817" s="74" t="s">
        <v>35</v>
      </c>
      <c r="O817" s="74" t="s">
        <v>56</v>
      </c>
      <c r="P817" s="74" t="s">
        <v>206</v>
      </c>
      <c r="Q817" s="140" t="s">
        <v>54</v>
      </c>
    </row>
    <row r="818" spans="9:17" ht="42" x14ac:dyDescent="0.35">
      <c r="I818" s="178" t="s">
        <v>393</v>
      </c>
      <c r="J818" s="178" t="s">
        <v>335</v>
      </c>
      <c r="K818" s="139">
        <v>2</v>
      </c>
      <c r="L818" s="140" t="s">
        <v>158</v>
      </c>
      <c r="M818" s="140" t="s">
        <v>101</v>
      </c>
      <c r="N818" s="74" t="s">
        <v>48</v>
      </c>
      <c r="O818" s="74" t="s">
        <v>123</v>
      </c>
      <c r="P818" s="74" t="s">
        <v>159</v>
      </c>
      <c r="Q818" s="140" t="s">
        <v>54</v>
      </c>
    </row>
    <row r="819" spans="9:17" x14ac:dyDescent="0.35">
      <c r="I819" s="178" t="s">
        <v>393</v>
      </c>
      <c r="J819" s="182" t="s">
        <v>89</v>
      </c>
      <c r="K819" s="124">
        <v>3</v>
      </c>
      <c r="L819" s="84" t="s">
        <v>75</v>
      </c>
      <c r="M819" s="84" t="s">
        <v>178</v>
      </c>
      <c r="N819" s="74" t="s">
        <v>46</v>
      </c>
      <c r="O819" s="74" t="s">
        <v>91</v>
      </c>
      <c r="P819" s="74" t="s">
        <v>163</v>
      </c>
      <c r="Q819" s="85" t="s">
        <v>93</v>
      </c>
    </row>
    <row r="820" spans="9:17" ht="14.5" customHeight="1" x14ac:dyDescent="0.35">
      <c r="I820" s="178" t="s">
        <v>394</v>
      </c>
      <c r="J820" s="178" t="s">
        <v>58</v>
      </c>
      <c r="K820" s="139">
        <v>1.5</v>
      </c>
      <c r="L820" s="140" t="s">
        <v>75</v>
      </c>
      <c r="M820" s="140" t="s">
        <v>34</v>
      </c>
      <c r="N820" s="118" t="s">
        <v>39</v>
      </c>
      <c r="O820" s="118" t="s">
        <v>61</v>
      </c>
      <c r="P820" s="127" t="s">
        <v>60</v>
      </c>
      <c r="Q820" s="140" t="s">
        <v>38</v>
      </c>
    </row>
    <row r="821" spans="9:17" x14ac:dyDescent="0.35">
      <c r="I821" s="178" t="s">
        <v>394</v>
      </c>
      <c r="J821" s="178" t="s">
        <v>58</v>
      </c>
      <c r="K821" s="139">
        <v>1.5</v>
      </c>
      <c r="L821" s="140" t="s">
        <v>75</v>
      </c>
      <c r="M821" s="140" t="s">
        <v>34</v>
      </c>
      <c r="N821" s="118" t="s">
        <v>55</v>
      </c>
      <c r="O821" s="118" t="s">
        <v>61</v>
      </c>
      <c r="P821" s="127" t="s">
        <v>60</v>
      </c>
      <c r="Q821" s="140" t="s">
        <v>38</v>
      </c>
    </row>
    <row r="822" spans="9:17" x14ac:dyDescent="0.35">
      <c r="I822" s="178" t="s">
        <v>394</v>
      </c>
      <c r="J822" s="178" t="s">
        <v>58</v>
      </c>
      <c r="K822" s="139">
        <v>1.5</v>
      </c>
      <c r="L822" s="140" t="s">
        <v>75</v>
      </c>
      <c r="M822" s="140" t="s">
        <v>42</v>
      </c>
      <c r="N822" s="74" t="s">
        <v>46</v>
      </c>
      <c r="O822" s="118" t="s">
        <v>61</v>
      </c>
      <c r="P822" s="127" t="s">
        <v>60</v>
      </c>
      <c r="Q822" s="140" t="s">
        <v>38</v>
      </c>
    </row>
    <row r="823" spans="9:17" x14ac:dyDescent="0.35">
      <c r="I823" s="178" t="s">
        <v>394</v>
      </c>
      <c r="J823" s="178" t="s">
        <v>58</v>
      </c>
      <c r="K823" s="139">
        <v>1.5</v>
      </c>
      <c r="L823" s="140" t="s">
        <v>75</v>
      </c>
      <c r="M823" s="140" t="s">
        <v>42</v>
      </c>
      <c r="N823" s="74" t="s">
        <v>48</v>
      </c>
      <c r="O823" s="118" t="s">
        <v>61</v>
      </c>
      <c r="P823" s="127" t="s">
        <v>60</v>
      </c>
      <c r="Q823" s="140" t="s">
        <v>38</v>
      </c>
    </row>
    <row r="824" spans="9:17" x14ac:dyDescent="0.35">
      <c r="I824" s="178" t="s">
        <v>394</v>
      </c>
      <c r="J824" s="178" t="s">
        <v>58</v>
      </c>
      <c r="K824" s="139">
        <v>1.5</v>
      </c>
      <c r="L824" s="140" t="s">
        <v>75</v>
      </c>
      <c r="M824" s="143" t="s">
        <v>45</v>
      </c>
      <c r="N824" s="118" t="s">
        <v>39</v>
      </c>
      <c r="O824" s="118" t="s">
        <v>56</v>
      </c>
      <c r="P824" s="118" t="s">
        <v>60</v>
      </c>
      <c r="Q824" s="140" t="s">
        <v>38</v>
      </c>
    </row>
    <row r="825" spans="9:17" x14ac:dyDescent="0.35">
      <c r="I825" s="178" t="s">
        <v>394</v>
      </c>
      <c r="J825" s="178" t="s">
        <v>58</v>
      </c>
      <c r="K825" s="139">
        <v>1.5</v>
      </c>
      <c r="L825" s="140" t="s">
        <v>75</v>
      </c>
      <c r="M825" s="143" t="s">
        <v>45</v>
      </c>
      <c r="N825" s="118" t="s">
        <v>55</v>
      </c>
      <c r="O825" s="118" t="s">
        <v>52</v>
      </c>
      <c r="P825" s="118" t="s">
        <v>60</v>
      </c>
      <c r="Q825" s="140" t="s">
        <v>38</v>
      </c>
    </row>
    <row r="826" spans="9:17" x14ac:dyDescent="0.35">
      <c r="I826" s="178" t="s">
        <v>394</v>
      </c>
      <c r="J826" s="180" t="s">
        <v>50</v>
      </c>
      <c r="K826" s="139">
        <v>1.5</v>
      </c>
      <c r="L826" s="140" t="s">
        <v>75</v>
      </c>
      <c r="M826" s="143" t="s">
        <v>49</v>
      </c>
      <c r="N826" s="118" t="s">
        <v>35</v>
      </c>
      <c r="O826" s="118" t="s">
        <v>61</v>
      </c>
      <c r="P826" s="118" t="s">
        <v>395</v>
      </c>
      <c r="Q826" s="140" t="s">
        <v>38</v>
      </c>
    </row>
    <row r="827" spans="9:17" x14ac:dyDescent="0.35">
      <c r="I827" s="178" t="s">
        <v>394</v>
      </c>
      <c r="J827" s="180" t="s">
        <v>50</v>
      </c>
      <c r="K827" s="139">
        <v>1.5</v>
      </c>
      <c r="L827" s="140" t="s">
        <v>75</v>
      </c>
      <c r="M827" s="143" t="s">
        <v>49</v>
      </c>
      <c r="N827" s="118" t="s">
        <v>39</v>
      </c>
      <c r="O827" s="118" t="s">
        <v>61</v>
      </c>
      <c r="P827" s="118" t="s">
        <v>169</v>
      </c>
      <c r="Q827" s="140" t="s">
        <v>38</v>
      </c>
    </row>
    <row r="828" spans="9:17" x14ac:dyDescent="0.35">
      <c r="I828" s="178" t="s">
        <v>394</v>
      </c>
      <c r="J828" s="180" t="s">
        <v>50</v>
      </c>
      <c r="K828" s="139">
        <v>1.5</v>
      </c>
      <c r="L828" s="140" t="s">
        <v>75</v>
      </c>
      <c r="M828" s="143" t="s">
        <v>289</v>
      </c>
      <c r="N828" s="118" t="s">
        <v>46</v>
      </c>
      <c r="O828" s="118" t="s">
        <v>123</v>
      </c>
      <c r="P828" s="118" t="s">
        <v>396</v>
      </c>
      <c r="Q828" s="140" t="s">
        <v>38</v>
      </c>
    </row>
    <row r="829" spans="9:17" x14ac:dyDescent="0.35">
      <c r="I829" s="178" t="s">
        <v>394</v>
      </c>
      <c r="J829" s="180" t="s">
        <v>50</v>
      </c>
      <c r="K829" s="139">
        <v>1.5</v>
      </c>
      <c r="L829" s="140" t="s">
        <v>75</v>
      </c>
      <c r="M829" s="143" t="s">
        <v>289</v>
      </c>
      <c r="N829" s="118" t="s">
        <v>55</v>
      </c>
      <c r="O829" s="118" t="s">
        <v>56</v>
      </c>
      <c r="P829" s="118" t="s">
        <v>113</v>
      </c>
      <c r="Q829" s="140" t="s">
        <v>38</v>
      </c>
    </row>
    <row r="830" spans="9:17" x14ac:dyDescent="0.35">
      <c r="I830" s="178" t="s">
        <v>394</v>
      </c>
      <c r="J830" s="180" t="s">
        <v>50</v>
      </c>
      <c r="K830" s="139">
        <v>1.5</v>
      </c>
      <c r="L830" s="140" t="s">
        <v>75</v>
      </c>
      <c r="M830" s="143" t="s">
        <v>272</v>
      </c>
      <c r="N830" s="195" t="s">
        <v>35</v>
      </c>
      <c r="O830" s="118" t="s">
        <v>56</v>
      </c>
      <c r="P830" s="118" t="s">
        <v>133</v>
      </c>
      <c r="Q830" s="143" t="s">
        <v>54</v>
      </c>
    </row>
    <row r="831" spans="9:17" x14ac:dyDescent="0.35">
      <c r="I831" s="178" t="s">
        <v>394</v>
      </c>
      <c r="J831" s="180" t="s">
        <v>50</v>
      </c>
      <c r="K831" s="139">
        <v>1.5</v>
      </c>
      <c r="L831" s="140" t="s">
        <v>75</v>
      </c>
      <c r="M831" s="143" t="s">
        <v>272</v>
      </c>
      <c r="N831" s="120" t="s">
        <v>55</v>
      </c>
      <c r="O831" s="118" t="s">
        <v>123</v>
      </c>
      <c r="P831" s="118" t="s">
        <v>124</v>
      </c>
      <c r="Q831" s="143" t="s">
        <v>54</v>
      </c>
    </row>
    <row r="832" spans="9:17" x14ac:dyDescent="0.35">
      <c r="I832" s="178" t="s">
        <v>394</v>
      </c>
      <c r="J832" s="178" t="s">
        <v>32</v>
      </c>
      <c r="K832" s="139">
        <v>3</v>
      </c>
      <c r="L832" s="140" t="s">
        <v>75</v>
      </c>
      <c r="M832" s="140" t="s">
        <v>49</v>
      </c>
      <c r="N832" s="74" t="s">
        <v>35</v>
      </c>
      <c r="O832" s="74" t="s">
        <v>40</v>
      </c>
      <c r="P832" s="74" t="s">
        <v>395</v>
      </c>
      <c r="Q832" s="140" t="s">
        <v>38</v>
      </c>
    </row>
    <row r="833" spans="9:17" x14ac:dyDescent="0.35">
      <c r="I833" s="178" t="s">
        <v>394</v>
      </c>
      <c r="J833" s="178" t="s">
        <v>32</v>
      </c>
      <c r="K833" s="139">
        <v>3</v>
      </c>
      <c r="L833" s="140" t="s">
        <v>75</v>
      </c>
      <c r="M833" s="140" t="s">
        <v>49</v>
      </c>
      <c r="N833" s="74" t="s">
        <v>55</v>
      </c>
      <c r="O833" s="74" t="s">
        <v>44</v>
      </c>
      <c r="P833" s="74" t="s">
        <v>206</v>
      </c>
      <c r="Q833" s="140" t="s">
        <v>38</v>
      </c>
    </row>
    <row r="834" spans="9:17" x14ac:dyDescent="0.35">
      <c r="I834" s="178" t="s">
        <v>394</v>
      </c>
      <c r="J834" s="183" t="s">
        <v>191</v>
      </c>
      <c r="K834" s="139">
        <v>3</v>
      </c>
      <c r="L834" s="74" t="s">
        <v>75</v>
      </c>
      <c r="M834" s="74" t="s">
        <v>397</v>
      </c>
      <c r="N834" s="74" t="s">
        <v>55</v>
      </c>
      <c r="O834" s="74" t="s">
        <v>82</v>
      </c>
      <c r="P834" s="74" t="s">
        <v>196</v>
      </c>
      <c r="Q834" s="74" t="s">
        <v>93</v>
      </c>
    </row>
    <row r="835" spans="9:17" x14ac:dyDescent="0.35">
      <c r="I835" s="178" t="s">
        <v>398</v>
      </c>
      <c r="J835" s="178" t="s">
        <v>399</v>
      </c>
      <c r="K835" s="139">
        <v>3</v>
      </c>
      <c r="L835" s="140" t="s">
        <v>106</v>
      </c>
      <c r="M835" s="140" t="s">
        <v>76</v>
      </c>
      <c r="N835" s="74" t="s">
        <v>46</v>
      </c>
      <c r="O835" s="74" t="s">
        <v>108</v>
      </c>
      <c r="P835" s="74" t="s">
        <v>143</v>
      </c>
      <c r="Q835" s="140" t="s">
        <v>54</v>
      </c>
    </row>
    <row r="836" spans="9:17" x14ac:dyDescent="0.35">
      <c r="I836" s="178" t="s">
        <v>398</v>
      </c>
      <c r="J836" s="178" t="s">
        <v>399</v>
      </c>
      <c r="K836" s="139">
        <v>3</v>
      </c>
      <c r="L836" s="74" t="s">
        <v>75</v>
      </c>
      <c r="M836" s="140" t="s">
        <v>76</v>
      </c>
      <c r="N836" s="74" t="s">
        <v>48</v>
      </c>
      <c r="O836" s="74" t="s">
        <v>40</v>
      </c>
      <c r="P836" s="74" t="s">
        <v>107</v>
      </c>
      <c r="Q836" s="140" t="s">
        <v>54</v>
      </c>
    </row>
    <row r="837" spans="9:17" x14ac:dyDescent="0.35">
      <c r="I837" s="178" t="s">
        <v>398</v>
      </c>
      <c r="J837" s="178" t="s">
        <v>32</v>
      </c>
      <c r="K837" s="139">
        <v>3</v>
      </c>
      <c r="L837" s="140" t="s">
        <v>106</v>
      </c>
      <c r="M837" s="140" t="s">
        <v>42</v>
      </c>
      <c r="N837" s="74" t="s">
        <v>46</v>
      </c>
      <c r="O837" s="74" t="s">
        <v>44</v>
      </c>
      <c r="P837" s="74" t="s">
        <v>400</v>
      </c>
      <c r="Q837" s="140" t="s">
        <v>38</v>
      </c>
    </row>
    <row r="838" spans="9:17" x14ac:dyDescent="0.35">
      <c r="I838" s="178" t="s">
        <v>398</v>
      </c>
      <c r="J838" s="178" t="s">
        <v>32</v>
      </c>
      <c r="K838" s="139">
        <v>3</v>
      </c>
      <c r="L838" s="74" t="s">
        <v>75</v>
      </c>
      <c r="M838" s="140" t="s">
        <v>42</v>
      </c>
      <c r="N838" s="74" t="s">
        <v>55</v>
      </c>
      <c r="O838" s="74" t="s">
        <v>66</v>
      </c>
      <c r="P838" s="74" t="s">
        <v>114</v>
      </c>
      <c r="Q838" s="140" t="s">
        <v>38</v>
      </c>
    </row>
    <row r="839" spans="9:17" ht="14.5" customHeight="1" x14ac:dyDescent="0.35">
      <c r="I839" s="178" t="s">
        <v>398</v>
      </c>
      <c r="J839" s="178" t="s">
        <v>401</v>
      </c>
      <c r="K839" s="139">
        <v>3</v>
      </c>
      <c r="L839" s="140" t="s">
        <v>106</v>
      </c>
      <c r="M839" s="140" t="s">
        <v>136</v>
      </c>
      <c r="N839" s="74" t="s">
        <v>39</v>
      </c>
      <c r="O839" s="74" t="s">
        <v>511</v>
      </c>
      <c r="P839" s="74" t="s">
        <v>98</v>
      </c>
      <c r="Q839" s="140" t="s">
        <v>38</v>
      </c>
    </row>
    <row r="840" spans="9:17" ht="28" x14ac:dyDescent="0.35">
      <c r="I840" s="178" t="s">
        <v>398</v>
      </c>
      <c r="J840" s="178" t="s">
        <v>401</v>
      </c>
      <c r="K840" s="139">
        <v>3</v>
      </c>
      <c r="L840" s="74" t="s">
        <v>75</v>
      </c>
      <c r="M840" s="140" t="s">
        <v>136</v>
      </c>
      <c r="N840" s="74" t="s">
        <v>55</v>
      </c>
      <c r="O840" s="74" t="s">
        <v>44</v>
      </c>
      <c r="P840" s="74" t="s">
        <v>98</v>
      </c>
      <c r="Q840" s="140" t="s">
        <v>38</v>
      </c>
    </row>
    <row r="841" spans="9:17" x14ac:dyDescent="0.35">
      <c r="I841" s="178" t="s">
        <v>398</v>
      </c>
      <c r="J841" s="178" t="s">
        <v>402</v>
      </c>
      <c r="K841" s="139">
        <v>3</v>
      </c>
      <c r="L841" s="140" t="s">
        <v>51</v>
      </c>
      <c r="M841" s="140" t="s">
        <v>173</v>
      </c>
      <c r="N841" s="74" t="s">
        <v>46</v>
      </c>
      <c r="O841" s="74" t="s">
        <v>511</v>
      </c>
      <c r="P841" s="74" t="s">
        <v>221</v>
      </c>
      <c r="Q841" s="140" t="s">
        <v>38</v>
      </c>
    </row>
    <row r="842" spans="9:17" x14ac:dyDescent="0.35">
      <c r="I842" s="178" t="s">
        <v>398</v>
      </c>
      <c r="J842" s="178" t="s">
        <v>402</v>
      </c>
      <c r="K842" s="139">
        <v>3</v>
      </c>
      <c r="L842" s="140" t="s">
        <v>51</v>
      </c>
      <c r="M842" s="140" t="s">
        <v>173</v>
      </c>
      <c r="N842" s="74" t="s">
        <v>48</v>
      </c>
      <c r="O842" s="74" t="s">
        <v>511</v>
      </c>
      <c r="P842" s="74" t="s">
        <v>221</v>
      </c>
      <c r="Q842" s="140" t="s">
        <v>38</v>
      </c>
    </row>
    <row r="843" spans="9:17" ht="14.5" customHeight="1" x14ac:dyDescent="0.35">
      <c r="I843" s="178" t="s">
        <v>403</v>
      </c>
      <c r="J843" s="178" t="s">
        <v>303</v>
      </c>
      <c r="K843" s="139">
        <v>1.5</v>
      </c>
      <c r="L843" s="140" t="s">
        <v>51</v>
      </c>
      <c r="M843" s="140" t="s">
        <v>101</v>
      </c>
      <c r="N843" s="74" t="s">
        <v>35</v>
      </c>
      <c r="O843" s="74" t="s">
        <v>40</v>
      </c>
      <c r="P843" s="74" t="s">
        <v>132</v>
      </c>
      <c r="Q843" s="140" t="s">
        <v>54</v>
      </c>
    </row>
    <row r="844" spans="9:17" ht="28" x14ac:dyDescent="0.35">
      <c r="I844" s="178" t="s">
        <v>403</v>
      </c>
      <c r="J844" s="178" t="s">
        <v>303</v>
      </c>
      <c r="K844" s="139">
        <v>1.5</v>
      </c>
      <c r="L844" s="140" t="s">
        <v>51</v>
      </c>
      <c r="M844" s="140" t="s">
        <v>101</v>
      </c>
      <c r="N844" s="74" t="s">
        <v>39</v>
      </c>
      <c r="O844" s="74" t="s">
        <v>108</v>
      </c>
      <c r="P844" s="74" t="s">
        <v>150</v>
      </c>
      <c r="Q844" s="140" t="s">
        <v>54</v>
      </c>
    </row>
    <row r="845" spans="9:17" ht="14.5" customHeight="1" x14ac:dyDescent="0.35">
      <c r="I845" s="178" t="s">
        <v>403</v>
      </c>
      <c r="J845" s="178" t="s">
        <v>303</v>
      </c>
      <c r="K845" s="139">
        <v>1.5</v>
      </c>
      <c r="L845" s="140" t="s">
        <v>51</v>
      </c>
      <c r="M845" s="140" t="s">
        <v>64</v>
      </c>
      <c r="N845" s="74" t="s">
        <v>46</v>
      </c>
      <c r="O845" s="74" t="s">
        <v>40</v>
      </c>
      <c r="P845" s="74" t="s">
        <v>404</v>
      </c>
      <c r="Q845" s="140" t="s">
        <v>54</v>
      </c>
    </row>
    <row r="846" spans="9:17" ht="28" x14ac:dyDescent="0.35">
      <c r="I846" s="178" t="s">
        <v>403</v>
      </c>
      <c r="J846" s="178" t="s">
        <v>303</v>
      </c>
      <c r="K846" s="139">
        <v>1.5</v>
      </c>
      <c r="L846" s="140" t="s">
        <v>51</v>
      </c>
      <c r="M846" s="140" t="s">
        <v>64</v>
      </c>
      <c r="N846" s="74" t="s">
        <v>39</v>
      </c>
      <c r="O846" s="74" t="s">
        <v>91</v>
      </c>
      <c r="P846" s="74" t="s">
        <v>133</v>
      </c>
      <c r="Q846" s="140" t="s">
        <v>54</v>
      </c>
    </row>
    <row r="847" spans="9:17" x14ac:dyDescent="0.35">
      <c r="I847" s="178" t="s">
        <v>403</v>
      </c>
      <c r="J847" s="178" t="s">
        <v>224</v>
      </c>
      <c r="K847" s="139">
        <v>1.5</v>
      </c>
      <c r="L847" s="140" t="s">
        <v>51</v>
      </c>
      <c r="M847" s="140" t="s">
        <v>64</v>
      </c>
      <c r="N847" s="74" t="s">
        <v>46</v>
      </c>
      <c r="O847" s="74" t="s">
        <v>44</v>
      </c>
      <c r="P847" s="74" t="s">
        <v>133</v>
      </c>
      <c r="Q847" s="140" t="s">
        <v>54</v>
      </c>
    </row>
    <row r="848" spans="9:17" x14ac:dyDescent="0.35">
      <c r="I848" s="178" t="s">
        <v>403</v>
      </c>
      <c r="J848" s="178" t="s">
        <v>224</v>
      </c>
      <c r="K848" s="139">
        <v>1.5</v>
      </c>
      <c r="L848" s="140" t="s">
        <v>51</v>
      </c>
      <c r="M848" s="140" t="s">
        <v>64</v>
      </c>
      <c r="N848" s="74" t="s">
        <v>55</v>
      </c>
      <c r="O848" s="74" t="s">
        <v>511</v>
      </c>
      <c r="P848" s="74" t="s">
        <v>133</v>
      </c>
      <c r="Q848" s="140" t="s">
        <v>54</v>
      </c>
    </row>
    <row r="849" spans="9:17" x14ac:dyDescent="0.35">
      <c r="I849" s="178" t="s">
        <v>403</v>
      </c>
      <c r="J849" s="178" t="s">
        <v>225</v>
      </c>
      <c r="K849" s="139">
        <v>1.5</v>
      </c>
      <c r="L849" s="140" t="s">
        <v>51</v>
      </c>
      <c r="M849" s="140" t="s">
        <v>76</v>
      </c>
      <c r="N849" s="74" t="s">
        <v>46</v>
      </c>
      <c r="O849" s="74" t="s">
        <v>40</v>
      </c>
      <c r="P849" s="74" t="s">
        <v>405</v>
      </c>
      <c r="Q849" s="140" t="s">
        <v>38</v>
      </c>
    </row>
    <row r="850" spans="9:17" x14ac:dyDescent="0.35">
      <c r="I850" s="178" t="s">
        <v>403</v>
      </c>
      <c r="J850" s="178" t="s">
        <v>225</v>
      </c>
      <c r="K850" s="139">
        <v>1.5</v>
      </c>
      <c r="L850" s="140" t="s">
        <v>51</v>
      </c>
      <c r="M850" s="140" t="s">
        <v>76</v>
      </c>
      <c r="N850" s="74" t="s">
        <v>48</v>
      </c>
      <c r="O850" s="74" t="s">
        <v>40</v>
      </c>
      <c r="P850" s="74" t="s">
        <v>406</v>
      </c>
      <c r="Q850" s="140" t="s">
        <v>38</v>
      </c>
    </row>
    <row r="851" spans="9:17" x14ac:dyDescent="0.35">
      <c r="I851" s="178" t="s">
        <v>403</v>
      </c>
      <c r="J851" s="178" t="s">
        <v>225</v>
      </c>
      <c r="K851" s="139">
        <v>1.5</v>
      </c>
      <c r="L851" s="140" t="s">
        <v>51</v>
      </c>
      <c r="M851" s="140" t="s">
        <v>79</v>
      </c>
      <c r="N851" s="74" t="s">
        <v>35</v>
      </c>
      <c r="O851" s="74" t="s">
        <v>44</v>
      </c>
      <c r="P851" s="74" t="s">
        <v>407</v>
      </c>
      <c r="Q851" s="140" t="s">
        <v>54</v>
      </c>
    </row>
    <row r="852" spans="9:17" x14ac:dyDescent="0.35">
      <c r="I852" s="178" t="s">
        <v>403</v>
      </c>
      <c r="J852" s="178" t="s">
        <v>225</v>
      </c>
      <c r="K852" s="139">
        <v>1.5</v>
      </c>
      <c r="L852" s="140" t="s">
        <v>51</v>
      </c>
      <c r="M852" s="140" t="s">
        <v>79</v>
      </c>
      <c r="N852" s="74" t="s">
        <v>48</v>
      </c>
      <c r="O852" s="74" t="s">
        <v>40</v>
      </c>
      <c r="P852" s="74" t="s">
        <v>406</v>
      </c>
      <c r="Q852" s="140" t="s">
        <v>54</v>
      </c>
    </row>
    <row r="853" spans="9:17" x14ac:dyDescent="0.35">
      <c r="I853" s="178" t="s">
        <v>403</v>
      </c>
      <c r="J853" s="180" t="s">
        <v>58</v>
      </c>
      <c r="K853" s="139">
        <v>1.5</v>
      </c>
      <c r="L853" s="143" t="s">
        <v>106</v>
      </c>
      <c r="M853" s="143" t="s">
        <v>34</v>
      </c>
      <c r="N853" s="118" t="s">
        <v>46</v>
      </c>
      <c r="O853" s="118" t="s">
        <v>61</v>
      </c>
      <c r="P853" s="127" t="s">
        <v>60</v>
      </c>
      <c r="Q853" s="140" t="s">
        <v>54</v>
      </c>
    </row>
    <row r="854" spans="9:17" x14ac:dyDescent="0.35">
      <c r="I854" s="178" t="s">
        <v>403</v>
      </c>
      <c r="J854" s="180" t="s">
        <v>58</v>
      </c>
      <c r="K854" s="139">
        <v>1.5</v>
      </c>
      <c r="L854" s="143" t="s">
        <v>106</v>
      </c>
      <c r="M854" s="143" t="s">
        <v>34</v>
      </c>
      <c r="N854" s="118" t="s">
        <v>48</v>
      </c>
      <c r="O854" s="118" t="s">
        <v>131</v>
      </c>
      <c r="P854" s="127" t="s">
        <v>60</v>
      </c>
      <c r="Q854" s="140" t="s">
        <v>54</v>
      </c>
    </row>
    <row r="855" spans="9:17" x14ac:dyDescent="0.35">
      <c r="I855" s="178" t="s">
        <v>403</v>
      </c>
      <c r="J855" s="178" t="s">
        <v>50</v>
      </c>
      <c r="K855" s="139">
        <v>1.5</v>
      </c>
      <c r="L855" s="140" t="s">
        <v>346</v>
      </c>
      <c r="M855" s="140" t="s">
        <v>34</v>
      </c>
      <c r="N855" s="74" t="s">
        <v>35</v>
      </c>
      <c r="O855" s="74" t="s">
        <v>82</v>
      </c>
      <c r="P855" s="74" t="s">
        <v>408</v>
      </c>
      <c r="Q855" s="140" t="s">
        <v>38</v>
      </c>
    </row>
    <row r="856" spans="9:17" x14ac:dyDescent="0.35">
      <c r="I856" s="178" t="s">
        <v>403</v>
      </c>
      <c r="J856" s="178" t="s">
        <v>50</v>
      </c>
      <c r="K856" s="139">
        <v>1.5</v>
      </c>
      <c r="L856" s="140" t="s">
        <v>346</v>
      </c>
      <c r="M856" s="140" t="s">
        <v>34</v>
      </c>
      <c r="N856" s="74" t="s">
        <v>48</v>
      </c>
      <c r="O856" s="74" t="s">
        <v>84</v>
      </c>
      <c r="P856" s="74" t="s">
        <v>391</v>
      </c>
      <c r="Q856" s="140" t="s">
        <v>38</v>
      </c>
    </row>
    <row r="857" spans="9:17" x14ac:dyDescent="0.35">
      <c r="I857" s="178" t="s">
        <v>403</v>
      </c>
      <c r="J857" s="178" t="s">
        <v>58</v>
      </c>
      <c r="K857" s="139">
        <v>1.5</v>
      </c>
      <c r="L857" s="140" t="s">
        <v>346</v>
      </c>
      <c r="M857" s="140" t="s">
        <v>42</v>
      </c>
      <c r="N857" s="74" t="s">
        <v>48</v>
      </c>
      <c r="O857" s="74" t="s">
        <v>82</v>
      </c>
      <c r="P857" s="74" t="s">
        <v>60</v>
      </c>
      <c r="Q857" s="140" t="s">
        <v>38</v>
      </c>
    </row>
    <row r="858" spans="9:17" x14ac:dyDescent="0.35">
      <c r="I858" s="178" t="s">
        <v>403</v>
      </c>
      <c r="J858" s="178" t="s">
        <v>58</v>
      </c>
      <c r="K858" s="139">
        <v>1.5</v>
      </c>
      <c r="L858" s="140" t="s">
        <v>346</v>
      </c>
      <c r="M858" s="140" t="s">
        <v>42</v>
      </c>
      <c r="N858" s="74" t="s">
        <v>55</v>
      </c>
      <c r="O858" s="74" t="s">
        <v>82</v>
      </c>
      <c r="P858" s="74" t="s">
        <v>60</v>
      </c>
      <c r="Q858" s="140" t="s">
        <v>38</v>
      </c>
    </row>
    <row r="859" spans="9:17" ht="28" x14ac:dyDescent="0.35">
      <c r="I859" s="178" t="s">
        <v>409</v>
      </c>
      <c r="J859" s="178" t="s">
        <v>410</v>
      </c>
      <c r="K859" s="139">
        <v>3</v>
      </c>
      <c r="L859" s="140" t="s">
        <v>51</v>
      </c>
      <c r="M859" s="140" t="s">
        <v>103</v>
      </c>
      <c r="N859" s="74" t="s">
        <v>35</v>
      </c>
      <c r="O859" s="74" t="s">
        <v>44</v>
      </c>
      <c r="P859" s="74" t="s">
        <v>124</v>
      </c>
      <c r="Q859" s="140" t="s">
        <v>38</v>
      </c>
    </row>
    <row r="860" spans="9:17" ht="28" x14ac:dyDescent="0.35">
      <c r="I860" s="178" t="s">
        <v>409</v>
      </c>
      <c r="J860" s="178" t="s">
        <v>410</v>
      </c>
      <c r="K860" s="139">
        <v>3</v>
      </c>
      <c r="L860" s="140" t="s">
        <v>51</v>
      </c>
      <c r="M860" s="140" t="s">
        <v>103</v>
      </c>
      <c r="N860" s="74" t="s">
        <v>55</v>
      </c>
      <c r="O860" s="74" t="s">
        <v>44</v>
      </c>
      <c r="P860" s="74" t="s">
        <v>107</v>
      </c>
      <c r="Q860" s="140" t="s">
        <v>38</v>
      </c>
    </row>
    <row r="861" spans="9:17" x14ac:dyDescent="0.35">
      <c r="I861" s="178" t="s">
        <v>409</v>
      </c>
      <c r="J861" s="178" t="s">
        <v>32</v>
      </c>
      <c r="K861" s="139">
        <v>3</v>
      </c>
      <c r="L861" s="140" t="s">
        <v>51</v>
      </c>
      <c r="M861" s="140" t="s">
        <v>34</v>
      </c>
      <c r="N861" s="74" t="s">
        <v>46</v>
      </c>
      <c r="O861" s="74" t="s">
        <v>44</v>
      </c>
      <c r="P861" s="74" t="s">
        <v>159</v>
      </c>
      <c r="Q861" s="140" t="s">
        <v>38</v>
      </c>
    </row>
    <row r="862" spans="9:17" x14ac:dyDescent="0.35">
      <c r="I862" s="178" t="s">
        <v>409</v>
      </c>
      <c r="J862" s="178" t="s">
        <v>32</v>
      </c>
      <c r="K862" s="139">
        <v>3</v>
      </c>
      <c r="L862" s="140" t="s">
        <v>51</v>
      </c>
      <c r="M862" s="140" t="s">
        <v>34</v>
      </c>
      <c r="N862" s="74" t="s">
        <v>48</v>
      </c>
      <c r="O862" s="74" t="s">
        <v>511</v>
      </c>
      <c r="P862" s="74" t="s">
        <v>405</v>
      </c>
      <c r="Q862" s="140" t="s">
        <v>38</v>
      </c>
    </row>
    <row r="863" spans="9:17" x14ac:dyDescent="0.35">
      <c r="I863" s="178" t="s">
        <v>409</v>
      </c>
      <c r="J863" s="178" t="s">
        <v>32</v>
      </c>
      <c r="K863" s="139">
        <v>3</v>
      </c>
      <c r="L863" s="140" t="s">
        <v>51</v>
      </c>
      <c r="M863" s="140" t="s">
        <v>42</v>
      </c>
      <c r="N863" s="74" t="s">
        <v>46</v>
      </c>
      <c r="O863" s="74" t="s">
        <v>40</v>
      </c>
      <c r="P863" s="74" t="s">
        <v>152</v>
      </c>
      <c r="Q863" s="140" t="s">
        <v>38</v>
      </c>
    </row>
    <row r="864" spans="9:17" x14ac:dyDescent="0.35">
      <c r="I864" s="178" t="s">
        <v>409</v>
      </c>
      <c r="J864" s="178" t="s">
        <v>32</v>
      </c>
      <c r="K864" s="139">
        <v>3</v>
      </c>
      <c r="L864" s="140" t="s">
        <v>51</v>
      </c>
      <c r="M864" s="140" t="s">
        <v>42</v>
      </c>
      <c r="N864" s="74" t="s">
        <v>48</v>
      </c>
      <c r="O864" s="74" t="s">
        <v>44</v>
      </c>
      <c r="P864" s="74" t="s">
        <v>124</v>
      </c>
      <c r="Q864" s="140" t="s">
        <v>38</v>
      </c>
    </row>
    <row r="865" spans="9:17" x14ac:dyDescent="0.35">
      <c r="I865" s="178" t="s">
        <v>409</v>
      </c>
      <c r="J865" s="178" t="s">
        <v>32</v>
      </c>
      <c r="K865" s="139">
        <v>3</v>
      </c>
      <c r="L865" s="140" t="s">
        <v>51</v>
      </c>
      <c r="M865" s="140" t="s">
        <v>45</v>
      </c>
      <c r="N865" s="67" t="s">
        <v>46</v>
      </c>
      <c r="O865" s="74" t="s">
        <v>40</v>
      </c>
      <c r="P865" s="74" t="s">
        <v>126</v>
      </c>
      <c r="Q865" s="140" t="s">
        <v>54</v>
      </c>
    </row>
    <row r="866" spans="9:17" x14ac:dyDescent="0.35">
      <c r="I866" s="178" t="s">
        <v>409</v>
      </c>
      <c r="J866" s="178" t="s">
        <v>32</v>
      </c>
      <c r="K866" s="139">
        <v>3</v>
      </c>
      <c r="L866" s="140" t="s">
        <v>51</v>
      </c>
      <c r="M866" s="140" t="s">
        <v>45</v>
      </c>
      <c r="N866" s="67" t="s">
        <v>48</v>
      </c>
      <c r="O866" s="74" t="s">
        <v>511</v>
      </c>
      <c r="P866" s="67" t="s">
        <v>412</v>
      </c>
      <c r="Q866" s="140" t="s">
        <v>54</v>
      </c>
    </row>
    <row r="867" spans="9:17" ht="14.5" customHeight="1" x14ac:dyDescent="0.35">
      <c r="I867" s="178" t="s">
        <v>409</v>
      </c>
      <c r="J867" s="178" t="s">
        <v>413</v>
      </c>
      <c r="K867" s="139">
        <v>1.5</v>
      </c>
      <c r="L867" s="140" t="s">
        <v>63</v>
      </c>
      <c r="M867" s="140" t="s">
        <v>101</v>
      </c>
      <c r="N867" s="85" t="s">
        <v>35</v>
      </c>
      <c r="O867" s="85" t="s">
        <v>511</v>
      </c>
      <c r="P867" s="85" t="s">
        <v>65</v>
      </c>
      <c r="Q867" s="140" t="s">
        <v>54</v>
      </c>
    </row>
    <row r="868" spans="9:17" ht="28" x14ac:dyDescent="0.35">
      <c r="I868" s="178" t="s">
        <v>409</v>
      </c>
      <c r="J868" s="178" t="s">
        <v>413</v>
      </c>
      <c r="K868" s="139">
        <v>1.5</v>
      </c>
      <c r="L868" s="140" t="s">
        <v>63</v>
      </c>
      <c r="M868" s="140" t="s">
        <v>101</v>
      </c>
      <c r="N868" s="84" t="s">
        <v>46</v>
      </c>
      <c r="O868" s="128" t="s">
        <v>511</v>
      </c>
      <c r="P868" s="128" t="s">
        <v>111</v>
      </c>
      <c r="Q868" s="140" t="s">
        <v>54</v>
      </c>
    </row>
    <row r="869" spans="9:17" ht="14.5" customHeight="1" x14ac:dyDescent="0.35">
      <c r="I869" s="178" t="s">
        <v>409</v>
      </c>
      <c r="J869" s="178" t="s">
        <v>231</v>
      </c>
      <c r="K869" s="139">
        <v>1.5</v>
      </c>
      <c r="L869" s="140" t="s">
        <v>68</v>
      </c>
      <c r="M869" s="140" t="s">
        <v>101</v>
      </c>
      <c r="N869" s="85" t="s">
        <v>35</v>
      </c>
      <c r="O869" s="76" t="s">
        <v>232</v>
      </c>
      <c r="P869" s="76" t="s">
        <v>111</v>
      </c>
      <c r="Q869" s="140" t="s">
        <v>54</v>
      </c>
    </row>
    <row r="870" spans="9:17" ht="28" x14ac:dyDescent="0.35">
      <c r="I870" s="178" t="s">
        <v>409</v>
      </c>
      <c r="J870" s="178" t="s">
        <v>231</v>
      </c>
      <c r="K870" s="139">
        <v>1.5</v>
      </c>
      <c r="L870" s="140" t="s">
        <v>68</v>
      </c>
      <c r="M870" s="140" t="s">
        <v>101</v>
      </c>
      <c r="N870" s="74" t="s">
        <v>48</v>
      </c>
      <c r="O870" s="76" t="s">
        <v>232</v>
      </c>
      <c r="P870" s="76" t="s">
        <v>111</v>
      </c>
      <c r="Q870" s="140" t="s">
        <v>54</v>
      </c>
    </row>
    <row r="871" spans="9:17" ht="14.5" customHeight="1" x14ac:dyDescent="0.35">
      <c r="I871" s="178" t="s">
        <v>409</v>
      </c>
      <c r="J871" s="178" t="s">
        <v>156</v>
      </c>
      <c r="K871" s="139">
        <v>1.5</v>
      </c>
      <c r="L871" s="140" t="s">
        <v>68</v>
      </c>
      <c r="M871" s="140" t="s">
        <v>69</v>
      </c>
      <c r="N871" s="67" t="s">
        <v>46</v>
      </c>
      <c r="O871" s="76" t="s">
        <v>511</v>
      </c>
      <c r="P871" s="76" t="s">
        <v>71</v>
      </c>
      <c r="Q871" s="140" t="s">
        <v>38</v>
      </c>
    </row>
    <row r="872" spans="9:17" ht="28" x14ac:dyDescent="0.35">
      <c r="I872" s="178" t="s">
        <v>409</v>
      </c>
      <c r="J872" s="178" t="s">
        <v>156</v>
      </c>
      <c r="K872" s="139">
        <v>1.5</v>
      </c>
      <c r="L872" s="140" t="s">
        <v>68</v>
      </c>
      <c r="M872" s="140" t="s">
        <v>69</v>
      </c>
      <c r="N872" s="74" t="s">
        <v>55</v>
      </c>
      <c r="O872" s="76" t="s">
        <v>511</v>
      </c>
      <c r="P872" s="76" t="s">
        <v>71</v>
      </c>
      <c r="Q872" s="140" t="s">
        <v>38</v>
      </c>
    </row>
    <row r="873" spans="9:17" ht="14.5" customHeight="1" x14ac:dyDescent="0.35">
      <c r="I873" s="178" t="s">
        <v>503</v>
      </c>
      <c r="J873" s="178" t="s">
        <v>276</v>
      </c>
      <c r="K873" s="139">
        <v>2</v>
      </c>
      <c r="L873" s="140" t="s">
        <v>75</v>
      </c>
      <c r="M873" s="140" t="s">
        <v>289</v>
      </c>
      <c r="N873" s="85" t="s">
        <v>35</v>
      </c>
      <c r="O873" s="74" t="s">
        <v>56</v>
      </c>
      <c r="P873" s="74" t="s">
        <v>208</v>
      </c>
      <c r="Q873" s="140" t="s">
        <v>38</v>
      </c>
    </row>
    <row r="874" spans="9:17" ht="28" x14ac:dyDescent="0.35">
      <c r="I874" s="178" t="s">
        <v>503</v>
      </c>
      <c r="J874" s="178" t="s">
        <v>276</v>
      </c>
      <c r="K874" s="139">
        <v>2</v>
      </c>
      <c r="L874" s="140" t="s">
        <v>75</v>
      </c>
      <c r="M874" s="140" t="s">
        <v>289</v>
      </c>
      <c r="N874" s="85" t="s">
        <v>48</v>
      </c>
      <c r="O874" s="74" t="s">
        <v>52</v>
      </c>
      <c r="P874" s="74" t="s">
        <v>159</v>
      </c>
      <c r="Q874" s="140" t="s">
        <v>38</v>
      </c>
    </row>
    <row r="875" spans="9:17" ht="14.5" customHeight="1" x14ac:dyDescent="0.35">
      <c r="I875" s="178" t="s">
        <v>503</v>
      </c>
      <c r="J875" s="178" t="s">
        <v>186</v>
      </c>
      <c r="K875" s="139">
        <v>3</v>
      </c>
      <c r="L875" s="140" t="s">
        <v>75</v>
      </c>
      <c r="M875" s="140" t="s">
        <v>79</v>
      </c>
      <c r="N875" s="74" t="s">
        <v>35</v>
      </c>
      <c r="O875" s="74" t="s">
        <v>108</v>
      </c>
      <c r="P875" s="74" t="s">
        <v>417</v>
      </c>
      <c r="Q875" s="140" t="s">
        <v>54</v>
      </c>
    </row>
    <row r="876" spans="9:17" ht="28" x14ac:dyDescent="0.35">
      <c r="I876" s="178" t="s">
        <v>503</v>
      </c>
      <c r="J876" s="178" t="s">
        <v>186</v>
      </c>
      <c r="K876" s="139">
        <v>3</v>
      </c>
      <c r="L876" s="140" t="s">
        <v>75</v>
      </c>
      <c r="M876" s="140" t="s">
        <v>79</v>
      </c>
      <c r="N876" s="74" t="s">
        <v>39</v>
      </c>
      <c r="O876" s="74" t="s">
        <v>40</v>
      </c>
      <c r="P876" s="74" t="s">
        <v>172</v>
      </c>
      <c r="Q876" s="140" t="s">
        <v>54</v>
      </c>
    </row>
    <row r="877" spans="9:17" x14ac:dyDescent="0.35">
      <c r="I877" s="178" t="s">
        <v>503</v>
      </c>
      <c r="J877" s="178" t="s">
        <v>50</v>
      </c>
      <c r="K877" s="139">
        <v>1.5</v>
      </c>
      <c r="L877" s="140" t="s">
        <v>33</v>
      </c>
      <c r="M877" s="140" t="s">
        <v>45</v>
      </c>
      <c r="N877" s="84" t="s">
        <v>39</v>
      </c>
      <c r="O877" s="74" t="s">
        <v>56</v>
      </c>
      <c r="P877" s="74" t="s">
        <v>57</v>
      </c>
      <c r="Q877" s="140" t="s">
        <v>54</v>
      </c>
    </row>
    <row r="878" spans="9:17" x14ac:dyDescent="0.35">
      <c r="I878" s="178" t="s">
        <v>503</v>
      </c>
      <c r="J878" s="178" t="s">
        <v>50</v>
      </c>
      <c r="K878" s="139">
        <v>1.5</v>
      </c>
      <c r="L878" s="140" t="s">
        <v>33</v>
      </c>
      <c r="M878" s="140" t="s">
        <v>45</v>
      </c>
      <c r="N878" s="85" t="s">
        <v>55</v>
      </c>
      <c r="O878" s="74" t="s">
        <v>131</v>
      </c>
      <c r="P878" s="74" t="s">
        <v>197</v>
      </c>
      <c r="Q878" s="140" t="s">
        <v>54</v>
      </c>
    </row>
    <row r="879" spans="9:17" x14ac:dyDescent="0.35">
      <c r="I879" s="178" t="s">
        <v>503</v>
      </c>
      <c r="J879" s="178" t="s">
        <v>58</v>
      </c>
      <c r="K879" s="139">
        <v>1.5</v>
      </c>
      <c r="L879" s="140" t="s">
        <v>33</v>
      </c>
      <c r="M879" s="140" t="s">
        <v>45</v>
      </c>
      <c r="N879" s="101" t="s">
        <v>46</v>
      </c>
      <c r="O879" s="74" t="s">
        <v>123</v>
      </c>
      <c r="P879" s="74" t="s">
        <v>60</v>
      </c>
      <c r="Q879" s="140" t="s">
        <v>54</v>
      </c>
    </row>
    <row r="880" spans="9:17" x14ac:dyDescent="0.35">
      <c r="I880" s="178" t="s">
        <v>503</v>
      </c>
      <c r="J880" s="178" t="s">
        <v>58</v>
      </c>
      <c r="K880" s="139">
        <v>1.5</v>
      </c>
      <c r="L880" s="140" t="s">
        <v>33</v>
      </c>
      <c r="M880" s="140" t="s">
        <v>45</v>
      </c>
      <c r="N880" s="101" t="s">
        <v>48</v>
      </c>
      <c r="O880" s="74" t="s">
        <v>61</v>
      </c>
      <c r="P880" s="74" t="s">
        <v>60</v>
      </c>
      <c r="Q880" s="140" t="s">
        <v>54</v>
      </c>
    </row>
    <row r="881" spans="9:17" x14ac:dyDescent="0.35">
      <c r="I881" s="178" t="s">
        <v>503</v>
      </c>
      <c r="J881" s="178" t="s">
        <v>58</v>
      </c>
      <c r="K881" s="139">
        <v>1.5</v>
      </c>
      <c r="L881" s="140" t="s">
        <v>81</v>
      </c>
      <c r="M881" s="140" t="s">
        <v>34</v>
      </c>
      <c r="N881" s="74" t="s">
        <v>35</v>
      </c>
      <c r="O881" s="74" t="s">
        <v>82</v>
      </c>
      <c r="P881" s="74" t="s">
        <v>60</v>
      </c>
      <c r="Q881" s="140" t="s">
        <v>38</v>
      </c>
    </row>
    <row r="882" spans="9:17" x14ac:dyDescent="0.35">
      <c r="I882" s="178" t="s">
        <v>503</v>
      </c>
      <c r="J882" s="178" t="s">
        <v>58</v>
      </c>
      <c r="K882" s="139">
        <v>1.5</v>
      </c>
      <c r="L882" s="140" t="s">
        <v>81</v>
      </c>
      <c r="M882" s="140" t="s">
        <v>34</v>
      </c>
      <c r="N882" s="74" t="s">
        <v>39</v>
      </c>
      <c r="O882" s="74" t="s">
        <v>82</v>
      </c>
      <c r="P882" s="74" t="s">
        <v>60</v>
      </c>
      <c r="Q882" s="140" t="s">
        <v>38</v>
      </c>
    </row>
    <row r="883" spans="9:17" x14ac:dyDescent="0.35">
      <c r="I883" s="178" t="s">
        <v>503</v>
      </c>
      <c r="J883" s="178" t="s">
        <v>58</v>
      </c>
      <c r="K883" s="139">
        <v>1.5</v>
      </c>
      <c r="L883" s="140" t="s">
        <v>260</v>
      </c>
      <c r="M883" s="140" t="s">
        <v>289</v>
      </c>
      <c r="N883" s="74" t="s">
        <v>46</v>
      </c>
      <c r="O883" s="74" t="s">
        <v>61</v>
      </c>
      <c r="P883" s="74" t="s">
        <v>290</v>
      </c>
      <c r="Q883" s="140" t="s">
        <v>54</v>
      </c>
    </row>
    <row r="884" spans="9:17" x14ac:dyDescent="0.35">
      <c r="I884" s="178" t="s">
        <v>503</v>
      </c>
      <c r="J884" s="178" t="s">
        <v>58</v>
      </c>
      <c r="K884" s="139">
        <v>1.5</v>
      </c>
      <c r="L884" s="140" t="s">
        <v>260</v>
      </c>
      <c r="M884" s="140" t="s">
        <v>289</v>
      </c>
      <c r="N884" s="74" t="s">
        <v>293</v>
      </c>
      <c r="O884" s="74" t="s">
        <v>61</v>
      </c>
      <c r="P884" s="74" t="s">
        <v>291</v>
      </c>
      <c r="Q884" s="140" t="s">
        <v>54</v>
      </c>
    </row>
    <row r="885" spans="9:17" x14ac:dyDescent="0.35">
      <c r="I885" s="178" t="s">
        <v>503</v>
      </c>
      <c r="J885" s="178" t="s">
        <v>50</v>
      </c>
      <c r="K885" s="139">
        <v>1.5</v>
      </c>
      <c r="L885" s="140" t="s">
        <v>250</v>
      </c>
      <c r="M885" s="140" t="s">
        <v>45</v>
      </c>
      <c r="N885" s="74" t="s">
        <v>35</v>
      </c>
      <c r="O885" s="74" t="s">
        <v>131</v>
      </c>
      <c r="P885" s="74" t="s">
        <v>292</v>
      </c>
      <c r="Q885" s="140" t="s">
        <v>54</v>
      </c>
    </row>
    <row r="886" spans="9:17" x14ac:dyDescent="0.35">
      <c r="I886" s="178" t="s">
        <v>503</v>
      </c>
      <c r="J886" s="178" t="s">
        <v>50</v>
      </c>
      <c r="K886" s="139">
        <v>1.5</v>
      </c>
      <c r="L886" s="140" t="s">
        <v>250</v>
      </c>
      <c r="M886" s="140" t="s">
        <v>45</v>
      </c>
      <c r="N886" s="74" t="s">
        <v>39</v>
      </c>
      <c r="O886" s="74" t="s">
        <v>131</v>
      </c>
      <c r="P886" s="74" t="s">
        <v>292</v>
      </c>
      <c r="Q886" s="140" t="s">
        <v>54</v>
      </c>
    </row>
    <row r="887" spans="9:17" x14ac:dyDescent="0.35">
      <c r="I887" s="178" t="s">
        <v>503</v>
      </c>
      <c r="J887" s="178" t="s">
        <v>58</v>
      </c>
      <c r="K887" s="139">
        <v>1.5</v>
      </c>
      <c r="L887" s="140" t="s">
        <v>294</v>
      </c>
      <c r="M887" s="140" t="s">
        <v>34</v>
      </c>
      <c r="N887" s="74" t="s">
        <v>39</v>
      </c>
      <c r="O887" s="74" t="s">
        <v>82</v>
      </c>
      <c r="P887" s="74" t="s">
        <v>60</v>
      </c>
      <c r="Q887" s="140" t="s">
        <v>54</v>
      </c>
    </row>
    <row r="888" spans="9:17" x14ac:dyDescent="0.35">
      <c r="I888" s="178" t="s">
        <v>503</v>
      </c>
      <c r="J888" s="178" t="s">
        <v>58</v>
      </c>
      <c r="K888" s="139">
        <v>1.5</v>
      </c>
      <c r="L888" s="140" t="s">
        <v>294</v>
      </c>
      <c r="M888" s="140" t="s">
        <v>34</v>
      </c>
      <c r="N888" s="74" t="s">
        <v>55</v>
      </c>
      <c r="O888" s="74" t="s">
        <v>61</v>
      </c>
      <c r="P888" s="74" t="s">
        <v>60</v>
      </c>
      <c r="Q888" s="140" t="s">
        <v>54</v>
      </c>
    </row>
    <row r="889" spans="9:17" x14ac:dyDescent="0.35">
      <c r="I889" s="178" t="s">
        <v>503</v>
      </c>
      <c r="J889" s="178" t="s">
        <v>50</v>
      </c>
      <c r="K889" s="139">
        <v>1.5</v>
      </c>
      <c r="L889" s="140" t="s">
        <v>294</v>
      </c>
      <c r="M889" s="140" t="s">
        <v>49</v>
      </c>
      <c r="N889" s="74" t="s">
        <v>39</v>
      </c>
      <c r="O889" s="74" t="s">
        <v>44</v>
      </c>
      <c r="P889" s="74" t="s">
        <v>338</v>
      </c>
      <c r="Q889" s="140" t="s">
        <v>54</v>
      </c>
    </row>
    <row r="890" spans="9:17" x14ac:dyDescent="0.35">
      <c r="I890" s="178" t="s">
        <v>503</v>
      </c>
      <c r="J890" s="178" t="s">
        <v>50</v>
      </c>
      <c r="K890" s="139">
        <v>1.5</v>
      </c>
      <c r="L890" s="140" t="s">
        <v>294</v>
      </c>
      <c r="M890" s="140" t="s">
        <v>49</v>
      </c>
      <c r="N890" s="74" t="s">
        <v>55</v>
      </c>
      <c r="O890" s="74" t="s">
        <v>511</v>
      </c>
      <c r="P890" s="67" t="s">
        <v>327</v>
      </c>
      <c r="Q890" s="140" t="s">
        <v>54</v>
      </c>
    </row>
    <row r="891" spans="9:17" ht="14.5" customHeight="1" x14ac:dyDescent="0.35">
      <c r="I891" s="196" t="s">
        <v>418</v>
      </c>
      <c r="J891" s="178" t="s">
        <v>248</v>
      </c>
      <c r="K891" s="139">
        <v>2</v>
      </c>
      <c r="L891" s="140" t="s">
        <v>75</v>
      </c>
      <c r="M891" s="140" t="s">
        <v>90</v>
      </c>
      <c r="N891" s="74" t="s">
        <v>46</v>
      </c>
      <c r="O891" s="74" t="s">
        <v>131</v>
      </c>
      <c r="P891" s="74" t="s">
        <v>132</v>
      </c>
      <c r="Q891" s="140" t="s">
        <v>38</v>
      </c>
    </row>
    <row r="892" spans="9:17" ht="28" x14ac:dyDescent="0.35">
      <c r="I892" s="196" t="s">
        <v>418</v>
      </c>
      <c r="J892" s="178" t="s">
        <v>248</v>
      </c>
      <c r="K892" s="139">
        <v>2</v>
      </c>
      <c r="L892" s="140" t="s">
        <v>75</v>
      </c>
      <c r="M892" s="140" t="s">
        <v>90</v>
      </c>
      <c r="N892" s="74" t="s">
        <v>48</v>
      </c>
      <c r="O892" s="74" t="s">
        <v>59</v>
      </c>
      <c r="P892" s="74" t="s">
        <v>43</v>
      </c>
      <c r="Q892" s="140" t="s">
        <v>38</v>
      </c>
    </row>
    <row r="893" spans="9:17" ht="14.5" customHeight="1" x14ac:dyDescent="0.35">
      <c r="I893" s="196" t="s">
        <v>418</v>
      </c>
      <c r="J893" s="178" t="s">
        <v>248</v>
      </c>
      <c r="K893" s="139">
        <v>2</v>
      </c>
      <c r="L893" s="140" t="s">
        <v>75</v>
      </c>
      <c r="M893" s="140" t="s">
        <v>173</v>
      </c>
      <c r="N893" s="74" t="s">
        <v>35</v>
      </c>
      <c r="O893" s="74" t="s">
        <v>123</v>
      </c>
      <c r="P893" s="74" t="s">
        <v>47</v>
      </c>
      <c r="Q893" s="140" t="s">
        <v>38</v>
      </c>
    </row>
    <row r="894" spans="9:17" ht="28" x14ac:dyDescent="0.35">
      <c r="I894" s="196" t="s">
        <v>418</v>
      </c>
      <c r="J894" s="178" t="s">
        <v>248</v>
      </c>
      <c r="K894" s="139">
        <v>2</v>
      </c>
      <c r="L894" s="140" t="s">
        <v>75</v>
      </c>
      <c r="M894" s="140" t="s">
        <v>173</v>
      </c>
      <c r="N894" s="74" t="s">
        <v>48</v>
      </c>
      <c r="O894" s="74" t="s">
        <v>123</v>
      </c>
      <c r="P894" s="74" t="s">
        <v>80</v>
      </c>
      <c r="Q894" s="140" t="s">
        <v>38</v>
      </c>
    </row>
    <row r="895" spans="9:17" x14ac:dyDescent="0.35">
      <c r="I895" s="196" t="s">
        <v>418</v>
      </c>
      <c r="J895" s="178" t="s">
        <v>50</v>
      </c>
      <c r="K895" s="139">
        <v>1.5</v>
      </c>
      <c r="L895" s="140" t="s">
        <v>260</v>
      </c>
      <c r="M895" s="140" t="s">
        <v>42</v>
      </c>
      <c r="N895" s="74" t="s">
        <v>46</v>
      </c>
      <c r="O895" s="74" t="s">
        <v>59</v>
      </c>
      <c r="P895" s="74" t="s">
        <v>262</v>
      </c>
      <c r="Q895" s="140" t="s">
        <v>54</v>
      </c>
    </row>
    <row r="896" spans="9:17" x14ac:dyDescent="0.35">
      <c r="I896" s="196" t="s">
        <v>418</v>
      </c>
      <c r="J896" s="178" t="s">
        <v>50</v>
      </c>
      <c r="K896" s="139">
        <v>1.5</v>
      </c>
      <c r="L896" s="140" t="s">
        <v>260</v>
      </c>
      <c r="M896" s="140" t="s">
        <v>42</v>
      </c>
      <c r="N896" s="74" t="s">
        <v>48</v>
      </c>
      <c r="O896" s="74" t="s">
        <v>123</v>
      </c>
      <c r="P896" s="74" t="s">
        <v>263</v>
      </c>
      <c r="Q896" s="140" t="s">
        <v>54</v>
      </c>
    </row>
    <row r="897" spans="9:17" x14ac:dyDescent="0.35">
      <c r="I897" s="196" t="s">
        <v>418</v>
      </c>
      <c r="J897" s="178" t="s">
        <v>58</v>
      </c>
      <c r="K897" s="139">
        <v>1.5</v>
      </c>
      <c r="L897" s="140" t="s">
        <v>260</v>
      </c>
      <c r="M897" s="140" t="s">
        <v>45</v>
      </c>
      <c r="N897" s="74" t="s">
        <v>39</v>
      </c>
      <c r="O897" s="74" t="s">
        <v>56</v>
      </c>
      <c r="P897" s="74" t="s">
        <v>264</v>
      </c>
      <c r="Q897" s="140" t="s">
        <v>54</v>
      </c>
    </row>
    <row r="898" spans="9:17" x14ac:dyDescent="0.35">
      <c r="I898" s="196" t="s">
        <v>418</v>
      </c>
      <c r="J898" s="178" t="s">
        <v>58</v>
      </c>
      <c r="K898" s="139">
        <v>1.5</v>
      </c>
      <c r="L898" s="140" t="s">
        <v>260</v>
      </c>
      <c r="M898" s="140" t="s">
        <v>45</v>
      </c>
      <c r="N898" s="74" t="s">
        <v>55</v>
      </c>
      <c r="O898" s="74" t="s">
        <v>123</v>
      </c>
      <c r="P898" s="74" t="s">
        <v>265</v>
      </c>
      <c r="Q898" s="140" t="s">
        <v>54</v>
      </c>
    </row>
    <row r="899" spans="9:17" x14ac:dyDescent="0.35">
      <c r="I899" s="196" t="s">
        <v>418</v>
      </c>
      <c r="J899" s="178" t="s">
        <v>161</v>
      </c>
      <c r="K899" s="139">
        <v>2</v>
      </c>
      <c r="L899" s="140" t="s">
        <v>75</v>
      </c>
      <c r="M899" s="140" t="s">
        <v>419</v>
      </c>
      <c r="N899" s="74" t="s">
        <v>46</v>
      </c>
      <c r="O899" s="74" t="s">
        <v>56</v>
      </c>
      <c r="P899" s="83" t="s">
        <v>163</v>
      </c>
      <c r="Q899" s="140" t="s">
        <v>38</v>
      </c>
    </row>
    <row r="900" spans="9:17" x14ac:dyDescent="0.35">
      <c r="I900" s="196" t="s">
        <v>418</v>
      </c>
      <c r="J900" s="178" t="s">
        <v>161</v>
      </c>
      <c r="K900" s="139">
        <v>2</v>
      </c>
      <c r="L900" s="140" t="s">
        <v>75</v>
      </c>
      <c r="M900" s="140" t="s">
        <v>419</v>
      </c>
      <c r="N900" s="74" t="s">
        <v>48</v>
      </c>
      <c r="O900" s="74" t="s">
        <v>131</v>
      </c>
      <c r="P900" s="83" t="s">
        <v>267</v>
      </c>
      <c r="Q900" s="140" t="s">
        <v>38</v>
      </c>
    </row>
    <row r="901" spans="9:17" x14ac:dyDescent="0.35">
      <c r="I901" s="196" t="s">
        <v>418</v>
      </c>
      <c r="J901" s="183" t="s">
        <v>191</v>
      </c>
      <c r="K901" s="81">
        <v>3</v>
      </c>
      <c r="L901" s="74" t="s">
        <v>75</v>
      </c>
      <c r="M901" s="74" t="s">
        <v>421</v>
      </c>
      <c r="N901" s="74" t="s">
        <v>55</v>
      </c>
      <c r="O901" s="74" t="s">
        <v>82</v>
      </c>
      <c r="P901" s="74" t="s">
        <v>150</v>
      </c>
      <c r="Q901" s="95" t="s">
        <v>93</v>
      </c>
    </row>
    <row r="902" spans="9:17" ht="14.5" customHeight="1" x14ac:dyDescent="0.35">
      <c r="I902" s="156" t="s">
        <v>422</v>
      </c>
      <c r="J902" s="178" t="s">
        <v>276</v>
      </c>
      <c r="K902" s="139">
        <v>2</v>
      </c>
      <c r="L902" s="140" t="s">
        <v>106</v>
      </c>
      <c r="M902" s="140" t="s">
        <v>34</v>
      </c>
      <c r="N902" s="74" t="s">
        <v>35</v>
      </c>
      <c r="O902" s="74" t="s">
        <v>123</v>
      </c>
      <c r="P902" s="74" t="s">
        <v>197</v>
      </c>
      <c r="Q902" s="140" t="s">
        <v>38</v>
      </c>
    </row>
    <row r="903" spans="9:17" ht="28" x14ac:dyDescent="0.35">
      <c r="I903" s="156" t="s">
        <v>422</v>
      </c>
      <c r="J903" s="178" t="s">
        <v>276</v>
      </c>
      <c r="K903" s="139">
        <v>2</v>
      </c>
      <c r="L903" s="140" t="s">
        <v>106</v>
      </c>
      <c r="M903" s="140" t="s">
        <v>34</v>
      </c>
      <c r="N903" s="74" t="s">
        <v>39</v>
      </c>
      <c r="O903" s="74" t="s">
        <v>59</v>
      </c>
      <c r="P903" s="74" t="s">
        <v>107</v>
      </c>
      <c r="Q903" s="140" t="s">
        <v>38</v>
      </c>
    </row>
    <row r="904" spans="9:17" x14ac:dyDescent="0.35">
      <c r="I904" s="156" t="s">
        <v>422</v>
      </c>
      <c r="J904" s="178" t="s">
        <v>308</v>
      </c>
      <c r="K904" s="139">
        <v>3</v>
      </c>
      <c r="L904" s="140" t="s">
        <v>106</v>
      </c>
      <c r="M904" s="140" t="s">
        <v>64</v>
      </c>
      <c r="N904" s="74" t="s">
        <v>35</v>
      </c>
      <c r="O904" s="74" t="s">
        <v>59</v>
      </c>
      <c r="P904" s="74" t="s">
        <v>369</v>
      </c>
      <c r="Q904" s="140" t="s">
        <v>38</v>
      </c>
    </row>
    <row r="905" spans="9:17" x14ac:dyDescent="0.35">
      <c r="I905" s="156" t="s">
        <v>422</v>
      </c>
      <c r="J905" s="178" t="s">
        <v>308</v>
      </c>
      <c r="K905" s="139">
        <v>3</v>
      </c>
      <c r="L905" s="140" t="s">
        <v>106</v>
      </c>
      <c r="M905" s="140" t="s">
        <v>64</v>
      </c>
      <c r="N905" s="74" t="s">
        <v>39</v>
      </c>
      <c r="O905" s="74" t="s">
        <v>59</v>
      </c>
      <c r="P905" s="74" t="s">
        <v>96</v>
      </c>
      <c r="Q905" s="140" t="s">
        <v>38</v>
      </c>
    </row>
    <row r="906" spans="9:17" x14ac:dyDescent="0.35">
      <c r="I906" s="156" t="s">
        <v>422</v>
      </c>
      <c r="J906" s="178" t="s">
        <v>424</v>
      </c>
      <c r="K906" s="139">
        <v>2</v>
      </c>
      <c r="L906" s="140" t="s">
        <v>106</v>
      </c>
      <c r="M906" s="140" t="s">
        <v>76</v>
      </c>
      <c r="N906" s="74" t="s">
        <v>39</v>
      </c>
      <c r="O906" s="74" t="s">
        <v>56</v>
      </c>
      <c r="P906" s="74" t="s">
        <v>96</v>
      </c>
      <c r="Q906" s="140" t="s">
        <v>38</v>
      </c>
    </row>
    <row r="907" spans="9:17" x14ac:dyDescent="0.35">
      <c r="I907" s="156" t="s">
        <v>422</v>
      </c>
      <c r="J907" s="178" t="s">
        <v>424</v>
      </c>
      <c r="K907" s="139">
        <v>2</v>
      </c>
      <c r="L907" s="140" t="s">
        <v>106</v>
      </c>
      <c r="M907" s="140" t="s">
        <v>76</v>
      </c>
      <c r="N907" s="74" t="s">
        <v>55</v>
      </c>
      <c r="O907" s="74" t="s">
        <v>52</v>
      </c>
      <c r="P907" s="74" t="s">
        <v>98</v>
      </c>
      <c r="Q907" s="140" t="s">
        <v>38</v>
      </c>
    </row>
    <row r="908" spans="9:17" x14ac:dyDescent="0.35">
      <c r="I908" s="156" t="s">
        <v>422</v>
      </c>
      <c r="J908" s="178" t="s">
        <v>425</v>
      </c>
      <c r="K908" s="139">
        <v>2</v>
      </c>
      <c r="L908" s="140" t="s">
        <v>106</v>
      </c>
      <c r="M908" s="140" t="s">
        <v>76</v>
      </c>
      <c r="N908" s="74" t="s">
        <v>46</v>
      </c>
      <c r="O908" s="74" t="s">
        <v>82</v>
      </c>
      <c r="P908" s="74" t="s">
        <v>128</v>
      </c>
      <c r="Q908" s="140" t="s">
        <v>38</v>
      </c>
    </row>
    <row r="909" spans="9:17" x14ac:dyDescent="0.35">
      <c r="I909" s="156" t="s">
        <v>422</v>
      </c>
      <c r="J909" s="178" t="s">
        <v>425</v>
      </c>
      <c r="K909" s="139">
        <v>2</v>
      </c>
      <c r="L909" s="140" t="s">
        <v>106</v>
      </c>
      <c r="M909" s="140" t="s">
        <v>76</v>
      </c>
      <c r="N909" s="74" t="s">
        <v>48</v>
      </c>
      <c r="O909" s="74" t="s">
        <v>82</v>
      </c>
      <c r="P909" s="74" t="s">
        <v>128</v>
      </c>
      <c r="Q909" s="140" t="s">
        <v>38</v>
      </c>
    </row>
    <row r="910" spans="9:17" x14ac:dyDescent="0.35">
      <c r="I910" s="156" t="s">
        <v>422</v>
      </c>
      <c r="J910" s="178" t="s">
        <v>402</v>
      </c>
      <c r="K910" s="139">
        <v>3</v>
      </c>
      <c r="L910" s="140" t="s">
        <v>51</v>
      </c>
      <c r="M910" s="140" t="s">
        <v>90</v>
      </c>
      <c r="N910" s="74" t="s">
        <v>46</v>
      </c>
      <c r="O910" s="74" t="s">
        <v>511</v>
      </c>
      <c r="P910" s="74" t="s">
        <v>126</v>
      </c>
      <c r="Q910" s="140" t="s">
        <v>38</v>
      </c>
    </row>
    <row r="911" spans="9:17" x14ac:dyDescent="0.35">
      <c r="I911" s="156" t="s">
        <v>422</v>
      </c>
      <c r="J911" s="178" t="s">
        <v>402</v>
      </c>
      <c r="K911" s="139">
        <v>3</v>
      </c>
      <c r="L911" s="140" t="s">
        <v>51</v>
      </c>
      <c r="M911" s="140" t="s">
        <v>90</v>
      </c>
      <c r="N911" s="74" t="s">
        <v>39</v>
      </c>
      <c r="O911" s="74" t="s">
        <v>44</v>
      </c>
      <c r="P911" s="74" t="s">
        <v>159</v>
      </c>
      <c r="Q911" s="140" t="s">
        <v>38</v>
      </c>
    </row>
    <row r="912" spans="9:17" x14ac:dyDescent="0.35">
      <c r="I912" s="179" t="s">
        <v>504</v>
      </c>
      <c r="J912" s="178" t="s">
        <v>353</v>
      </c>
      <c r="K912" s="139">
        <v>1.5</v>
      </c>
      <c r="L912" s="140" t="s">
        <v>51</v>
      </c>
      <c r="M912" s="140" t="s">
        <v>76</v>
      </c>
      <c r="N912" s="74" t="s">
        <v>46</v>
      </c>
      <c r="O912" s="74" t="s">
        <v>511</v>
      </c>
      <c r="P912" s="74" t="s">
        <v>405</v>
      </c>
      <c r="Q912" s="140" t="s">
        <v>38</v>
      </c>
    </row>
    <row r="913" spans="9:17" x14ac:dyDescent="0.35">
      <c r="I913" s="179" t="s">
        <v>504</v>
      </c>
      <c r="J913" s="178" t="s">
        <v>353</v>
      </c>
      <c r="K913" s="139">
        <v>1.5</v>
      </c>
      <c r="L913" s="140" t="s">
        <v>51</v>
      </c>
      <c r="M913" s="140" t="s">
        <v>76</v>
      </c>
      <c r="N913" s="74" t="s">
        <v>55</v>
      </c>
      <c r="O913" s="74" t="s">
        <v>44</v>
      </c>
      <c r="P913" s="74" t="s">
        <v>65</v>
      </c>
      <c r="Q913" s="140" t="s">
        <v>38</v>
      </c>
    </row>
    <row r="914" spans="9:17" x14ac:dyDescent="0.35">
      <c r="I914" s="179" t="s">
        <v>504</v>
      </c>
      <c r="J914" s="178" t="s">
        <v>353</v>
      </c>
      <c r="K914" s="139">
        <v>1.5</v>
      </c>
      <c r="L914" s="140" t="s">
        <v>51</v>
      </c>
      <c r="M914" s="140" t="s">
        <v>79</v>
      </c>
      <c r="N914" s="74" t="s">
        <v>46</v>
      </c>
      <c r="O914" s="74" t="s">
        <v>40</v>
      </c>
      <c r="P914" s="74" t="s">
        <v>114</v>
      </c>
      <c r="Q914" s="140" t="s">
        <v>54</v>
      </c>
    </row>
    <row r="915" spans="9:17" x14ac:dyDescent="0.35">
      <c r="I915" s="179" t="s">
        <v>504</v>
      </c>
      <c r="J915" s="178" t="s">
        <v>353</v>
      </c>
      <c r="K915" s="139">
        <v>1.5</v>
      </c>
      <c r="L915" s="140" t="s">
        <v>51</v>
      </c>
      <c r="M915" s="140" t="s">
        <v>79</v>
      </c>
      <c r="N915" s="74" t="s">
        <v>55</v>
      </c>
      <c r="O915" s="74" t="s">
        <v>44</v>
      </c>
      <c r="P915" s="74" t="s">
        <v>132</v>
      </c>
      <c r="Q915" s="140" t="s">
        <v>54</v>
      </c>
    </row>
    <row r="916" spans="9:17" x14ac:dyDescent="0.35">
      <c r="I916" s="179" t="s">
        <v>504</v>
      </c>
      <c r="J916" s="178" t="s">
        <v>525</v>
      </c>
      <c r="K916" s="139">
        <v>1.5</v>
      </c>
      <c r="L916" s="140" t="s">
        <v>51</v>
      </c>
      <c r="M916" s="140" t="s">
        <v>79</v>
      </c>
      <c r="N916" s="74" t="s">
        <v>35</v>
      </c>
      <c r="O916" s="74" t="s">
        <v>44</v>
      </c>
      <c r="P916" s="74" t="s">
        <v>196</v>
      </c>
      <c r="Q916" s="140" t="s">
        <v>38</v>
      </c>
    </row>
    <row r="917" spans="9:17" x14ac:dyDescent="0.35">
      <c r="I917" s="179" t="s">
        <v>504</v>
      </c>
      <c r="J917" s="178" t="s">
        <v>525</v>
      </c>
      <c r="K917" s="139">
        <v>1.5</v>
      </c>
      <c r="L917" s="140" t="s">
        <v>51</v>
      </c>
      <c r="M917" s="140" t="s">
        <v>79</v>
      </c>
      <c r="N917" s="74" t="s">
        <v>39</v>
      </c>
      <c r="O917" s="74" t="s">
        <v>44</v>
      </c>
      <c r="P917" s="74" t="s">
        <v>132</v>
      </c>
      <c r="Q917" s="140" t="s">
        <v>38</v>
      </c>
    </row>
    <row r="918" spans="9:17" x14ac:dyDescent="0.35">
      <c r="I918" s="179" t="s">
        <v>504</v>
      </c>
      <c r="J918" s="178" t="s">
        <v>58</v>
      </c>
      <c r="K918" s="139">
        <v>1.5</v>
      </c>
      <c r="L918" s="140" t="s">
        <v>158</v>
      </c>
      <c r="M918" s="140" t="s">
        <v>34</v>
      </c>
      <c r="N918" s="74" t="s">
        <v>46</v>
      </c>
      <c r="O918" s="74" t="s">
        <v>61</v>
      </c>
      <c r="P918" s="74" t="s">
        <v>60</v>
      </c>
      <c r="Q918" s="140" t="s">
        <v>38</v>
      </c>
    </row>
    <row r="919" spans="9:17" x14ac:dyDescent="0.35">
      <c r="I919" s="179" t="s">
        <v>504</v>
      </c>
      <c r="J919" s="178" t="s">
        <v>58</v>
      </c>
      <c r="K919" s="139">
        <v>1.5</v>
      </c>
      <c r="L919" s="140" t="s">
        <v>158</v>
      </c>
      <c r="M919" s="140" t="s">
        <v>34</v>
      </c>
      <c r="N919" s="74" t="s">
        <v>55</v>
      </c>
      <c r="O919" s="74" t="s">
        <v>61</v>
      </c>
      <c r="P919" s="74" t="s">
        <v>60</v>
      </c>
      <c r="Q919" s="140" t="s">
        <v>38</v>
      </c>
    </row>
    <row r="920" spans="9:17" x14ac:dyDescent="0.35">
      <c r="I920" s="179" t="s">
        <v>504</v>
      </c>
      <c r="J920" s="178" t="s">
        <v>187</v>
      </c>
      <c r="K920" s="139">
        <v>1.5</v>
      </c>
      <c r="L920" s="140" t="s">
        <v>158</v>
      </c>
      <c r="M920" s="140" t="s">
        <v>136</v>
      </c>
      <c r="N920" s="74" t="s">
        <v>35</v>
      </c>
      <c r="O920" s="74" t="s">
        <v>40</v>
      </c>
      <c r="P920" s="74" t="s">
        <v>124</v>
      </c>
      <c r="Q920" s="140" t="s">
        <v>54</v>
      </c>
    </row>
    <row r="921" spans="9:17" x14ac:dyDescent="0.35">
      <c r="I921" s="179" t="s">
        <v>504</v>
      </c>
      <c r="J921" s="178" t="s">
        <v>187</v>
      </c>
      <c r="K921" s="139">
        <v>1.5</v>
      </c>
      <c r="L921" s="140" t="s">
        <v>158</v>
      </c>
      <c r="M921" s="140" t="s">
        <v>136</v>
      </c>
      <c r="N921" s="74" t="s">
        <v>55</v>
      </c>
      <c r="O921" s="74" t="s">
        <v>66</v>
      </c>
      <c r="P921" s="74" t="s">
        <v>107</v>
      </c>
      <c r="Q921" s="140" t="s">
        <v>54</v>
      </c>
    </row>
    <row r="922" spans="9:17" x14ac:dyDescent="0.35">
      <c r="I922" s="179" t="s">
        <v>504</v>
      </c>
      <c r="J922" s="178" t="s">
        <v>224</v>
      </c>
      <c r="K922" s="139">
        <v>3</v>
      </c>
      <c r="L922" s="140" t="s">
        <v>33</v>
      </c>
      <c r="M922" s="140" t="s">
        <v>64</v>
      </c>
      <c r="N922" s="74" t="s">
        <v>46</v>
      </c>
      <c r="O922" s="74" t="s">
        <v>146</v>
      </c>
      <c r="P922" s="74" t="s">
        <v>37</v>
      </c>
      <c r="Q922" s="140" t="s">
        <v>54</v>
      </c>
    </row>
    <row r="923" spans="9:17" x14ac:dyDescent="0.35">
      <c r="I923" s="179" t="s">
        <v>504</v>
      </c>
      <c r="J923" s="178" t="s">
        <v>224</v>
      </c>
      <c r="K923" s="139">
        <v>3</v>
      </c>
      <c r="L923" s="140" t="s">
        <v>33</v>
      </c>
      <c r="M923" s="140" t="s">
        <v>64</v>
      </c>
      <c r="N923" s="74" t="s">
        <v>48</v>
      </c>
      <c r="O923" s="74" t="s">
        <v>108</v>
      </c>
      <c r="P923" s="74" t="s">
        <v>37</v>
      </c>
      <c r="Q923" s="140" t="s">
        <v>54</v>
      </c>
    </row>
    <row r="924" spans="9:17" x14ac:dyDescent="0.35">
      <c r="I924" s="179" t="s">
        <v>504</v>
      </c>
      <c r="J924" s="178" t="s">
        <v>224</v>
      </c>
      <c r="K924" s="139">
        <v>3</v>
      </c>
      <c r="L924" s="140" t="s">
        <v>33</v>
      </c>
      <c r="M924" s="140" t="s">
        <v>103</v>
      </c>
      <c r="N924" s="74" t="s">
        <v>35</v>
      </c>
      <c r="O924" s="74" t="s">
        <v>146</v>
      </c>
      <c r="P924" s="74" t="s">
        <v>110</v>
      </c>
      <c r="Q924" s="140" t="s">
        <v>54</v>
      </c>
    </row>
    <row r="925" spans="9:17" x14ac:dyDescent="0.35">
      <c r="I925" s="179" t="s">
        <v>504</v>
      </c>
      <c r="J925" s="178" t="s">
        <v>224</v>
      </c>
      <c r="K925" s="139">
        <v>3</v>
      </c>
      <c r="L925" s="140" t="s">
        <v>33</v>
      </c>
      <c r="M925" s="140" t="s">
        <v>103</v>
      </c>
      <c r="N925" s="74" t="s">
        <v>39</v>
      </c>
      <c r="O925" s="74" t="s">
        <v>123</v>
      </c>
      <c r="P925" s="74" t="s">
        <v>110</v>
      </c>
      <c r="Q925" s="140" t="s">
        <v>54</v>
      </c>
    </row>
    <row r="926" spans="9:17" ht="14.5" customHeight="1" x14ac:dyDescent="0.35">
      <c r="I926" s="178" t="s">
        <v>505</v>
      </c>
      <c r="J926" s="178" t="s">
        <v>151</v>
      </c>
      <c r="K926" s="139">
        <v>2</v>
      </c>
      <c r="L926" s="140" t="s">
        <v>158</v>
      </c>
      <c r="M926" s="140" t="s">
        <v>101</v>
      </c>
      <c r="N926" s="74" t="s">
        <v>35</v>
      </c>
      <c r="O926" s="74" t="s">
        <v>123</v>
      </c>
      <c r="P926" s="74" t="s">
        <v>169</v>
      </c>
      <c r="Q926" s="140" t="s">
        <v>38</v>
      </c>
    </row>
    <row r="927" spans="9:17" x14ac:dyDescent="0.35">
      <c r="I927" s="178" t="s">
        <v>505</v>
      </c>
      <c r="J927" s="178" t="s">
        <v>151</v>
      </c>
      <c r="K927" s="139">
        <v>2</v>
      </c>
      <c r="L927" s="140" t="s">
        <v>158</v>
      </c>
      <c r="M927" s="140" t="s">
        <v>101</v>
      </c>
      <c r="N927" s="74" t="s">
        <v>39</v>
      </c>
      <c r="O927" s="74" t="s">
        <v>123</v>
      </c>
      <c r="P927" s="74" t="s">
        <v>114</v>
      </c>
      <c r="Q927" s="140" t="s">
        <v>38</v>
      </c>
    </row>
    <row r="928" spans="9:17" x14ac:dyDescent="0.35">
      <c r="I928" s="178" t="s">
        <v>505</v>
      </c>
      <c r="J928" s="178" t="s">
        <v>151</v>
      </c>
      <c r="K928" s="139">
        <v>2</v>
      </c>
      <c r="L928" s="140" t="s">
        <v>75</v>
      </c>
      <c r="M928" s="140" t="s">
        <v>101</v>
      </c>
      <c r="N928" s="74" t="s">
        <v>46</v>
      </c>
      <c r="O928" s="74" t="s">
        <v>123</v>
      </c>
      <c r="P928" s="74" t="s">
        <v>110</v>
      </c>
      <c r="Q928" s="140" t="s">
        <v>38</v>
      </c>
    </row>
    <row r="929" spans="9:17" x14ac:dyDescent="0.35">
      <c r="I929" s="178" t="s">
        <v>505</v>
      </c>
      <c r="J929" s="178" t="s">
        <v>151</v>
      </c>
      <c r="K929" s="139">
        <v>2</v>
      </c>
      <c r="L929" s="140" t="s">
        <v>75</v>
      </c>
      <c r="M929" s="140" t="s">
        <v>101</v>
      </c>
      <c r="N929" s="74" t="s">
        <v>55</v>
      </c>
      <c r="O929" s="74" t="s">
        <v>52</v>
      </c>
      <c r="P929" s="74" t="s">
        <v>53</v>
      </c>
      <c r="Q929" s="140" t="s">
        <v>38</v>
      </c>
    </row>
    <row r="930" spans="9:17" x14ac:dyDescent="0.35">
      <c r="I930" s="178" t="s">
        <v>505</v>
      </c>
      <c r="J930" s="178" t="s">
        <v>151</v>
      </c>
      <c r="K930" s="139">
        <v>2</v>
      </c>
      <c r="L930" s="140" t="s">
        <v>75</v>
      </c>
      <c r="M930" s="140" t="s">
        <v>64</v>
      </c>
      <c r="N930" s="74" t="s">
        <v>35</v>
      </c>
      <c r="O930" s="74" t="s">
        <v>52</v>
      </c>
      <c r="P930" s="74" t="s">
        <v>150</v>
      </c>
      <c r="Q930" s="140" t="s">
        <v>38</v>
      </c>
    </row>
    <row r="931" spans="9:17" x14ac:dyDescent="0.35">
      <c r="I931" s="178" t="s">
        <v>505</v>
      </c>
      <c r="J931" s="178" t="s">
        <v>151</v>
      </c>
      <c r="K931" s="139">
        <v>2</v>
      </c>
      <c r="L931" s="140" t="s">
        <v>75</v>
      </c>
      <c r="M931" s="140" t="s">
        <v>64</v>
      </c>
      <c r="N931" s="74" t="s">
        <v>48</v>
      </c>
      <c r="O931" s="74" t="s">
        <v>61</v>
      </c>
      <c r="P931" s="74" t="s">
        <v>169</v>
      </c>
      <c r="Q931" s="140" t="s">
        <v>38</v>
      </c>
    </row>
    <row r="932" spans="9:17" ht="14.5" customHeight="1" x14ac:dyDescent="0.35">
      <c r="I932" s="178" t="s">
        <v>505</v>
      </c>
      <c r="J932" s="178" t="s">
        <v>185</v>
      </c>
      <c r="K932" s="139">
        <v>3</v>
      </c>
      <c r="L932" s="140" t="s">
        <v>75</v>
      </c>
      <c r="M932" s="140" t="s">
        <v>104</v>
      </c>
      <c r="N932" s="74" t="s">
        <v>35</v>
      </c>
      <c r="O932" s="74" t="s">
        <v>511</v>
      </c>
      <c r="P932" s="74" t="s">
        <v>80</v>
      </c>
      <c r="Q932" s="140" t="s">
        <v>54</v>
      </c>
    </row>
    <row r="933" spans="9:17" ht="28" x14ac:dyDescent="0.35">
      <c r="I933" s="178" t="s">
        <v>505</v>
      </c>
      <c r="J933" s="178" t="s">
        <v>185</v>
      </c>
      <c r="K933" s="139">
        <v>3</v>
      </c>
      <c r="L933" s="140" t="s">
        <v>75</v>
      </c>
      <c r="M933" s="140" t="s">
        <v>104</v>
      </c>
      <c r="N933" s="84" t="s">
        <v>48</v>
      </c>
      <c r="O933" s="84" t="s">
        <v>108</v>
      </c>
      <c r="P933" s="84" t="s">
        <v>53</v>
      </c>
      <c r="Q933" s="140" t="s">
        <v>54</v>
      </c>
    </row>
    <row r="934" spans="9:17" x14ac:dyDescent="0.35">
      <c r="I934" s="178" t="s">
        <v>505</v>
      </c>
      <c r="J934" s="178" t="s">
        <v>161</v>
      </c>
      <c r="K934" s="139">
        <v>1</v>
      </c>
      <c r="L934" s="140" t="s">
        <v>63</v>
      </c>
      <c r="M934" s="140" t="s">
        <v>34</v>
      </c>
      <c r="N934" s="74" t="s">
        <v>35</v>
      </c>
      <c r="O934" s="74" t="s">
        <v>91</v>
      </c>
      <c r="P934" s="74" t="s">
        <v>53</v>
      </c>
      <c r="Q934" s="140" t="s">
        <v>54</v>
      </c>
    </row>
    <row r="935" spans="9:17" x14ac:dyDescent="0.35">
      <c r="I935" s="178" t="s">
        <v>505</v>
      </c>
      <c r="J935" s="178" t="s">
        <v>161</v>
      </c>
      <c r="K935" s="139">
        <v>1</v>
      </c>
      <c r="L935" s="140" t="s">
        <v>63</v>
      </c>
      <c r="M935" s="140" t="s">
        <v>34</v>
      </c>
      <c r="N935" s="74" t="s">
        <v>39</v>
      </c>
      <c r="O935" s="74" t="s">
        <v>44</v>
      </c>
      <c r="P935" s="74" t="s">
        <v>53</v>
      </c>
      <c r="Q935" s="140" t="s">
        <v>54</v>
      </c>
    </row>
    <row r="936" spans="9:17" ht="14.5" customHeight="1" x14ac:dyDescent="0.35">
      <c r="I936" s="178" t="s">
        <v>505</v>
      </c>
      <c r="J936" s="178" t="s">
        <v>245</v>
      </c>
      <c r="K936" s="139">
        <v>1.5</v>
      </c>
      <c r="L936" s="140" t="s">
        <v>63</v>
      </c>
      <c r="M936" s="140" t="s">
        <v>34</v>
      </c>
      <c r="N936" s="74" t="s">
        <v>35</v>
      </c>
      <c r="O936" s="74" t="s">
        <v>66</v>
      </c>
      <c r="P936" s="74" t="s">
        <v>152</v>
      </c>
      <c r="Q936" s="140" t="s">
        <v>54</v>
      </c>
    </row>
    <row r="937" spans="9:17" ht="28" x14ac:dyDescent="0.35">
      <c r="I937" s="178" t="s">
        <v>505</v>
      </c>
      <c r="J937" s="178" t="s">
        <v>245</v>
      </c>
      <c r="K937" s="139">
        <v>1.5</v>
      </c>
      <c r="L937" s="140" t="s">
        <v>63</v>
      </c>
      <c r="M937" s="140" t="s">
        <v>34</v>
      </c>
      <c r="N937" s="74" t="s">
        <v>46</v>
      </c>
      <c r="O937" s="74" t="s">
        <v>66</v>
      </c>
      <c r="P937" s="74" t="s">
        <v>152</v>
      </c>
      <c r="Q937" s="140" t="s">
        <v>54</v>
      </c>
    </row>
    <row r="938" spans="9:17" ht="14.5" customHeight="1" x14ac:dyDescent="0.35">
      <c r="I938" s="178" t="s">
        <v>505</v>
      </c>
      <c r="J938" s="178" t="s">
        <v>279</v>
      </c>
      <c r="K938" s="139">
        <v>1.5</v>
      </c>
      <c r="L938" s="140" t="s">
        <v>68</v>
      </c>
      <c r="M938" s="140" t="s">
        <v>101</v>
      </c>
      <c r="N938" s="74" t="s">
        <v>46</v>
      </c>
      <c r="O938" s="76" t="s">
        <v>40</v>
      </c>
      <c r="P938" s="76" t="s">
        <v>111</v>
      </c>
      <c r="Q938" s="140" t="s">
        <v>38</v>
      </c>
    </row>
    <row r="939" spans="9:17" ht="28" x14ac:dyDescent="0.35">
      <c r="I939" s="178" t="s">
        <v>505</v>
      </c>
      <c r="J939" s="178" t="s">
        <v>279</v>
      </c>
      <c r="K939" s="139">
        <v>1.5</v>
      </c>
      <c r="L939" s="140" t="s">
        <v>68</v>
      </c>
      <c r="M939" s="140" t="s">
        <v>101</v>
      </c>
      <c r="N939" s="74" t="s">
        <v>48</v>
      </c>
      <c r="O939" s="76" t="s">
        <v>40</v>
      </c>
      <c r="P939" s="76" t="s">
        <v>111</v>
      </c>
      <c r="Q939" s="140" t="s">
        <v>38</v>
      </c>
    </row>
    <row r="940" spans="9:17" x14ac:dyDescent="0.35">
      <c r="I940" s="178" t="s">
        <v>505</v>
      </c>
      <c r="J940" s="178" t="s">
        <v>67</v>
      </c>
      <c r="K940" s="139">
        <v>2</v>
      </c>
      <c r="L940" s="140" t="s">
        <v>68</v>
      </c>
      <c r="M940" s="140" t="s">
        <v>64</v>
      </c>
      <c r="N940" s="74" t="s">
        <v>35</v>
      </c>
      <c r="O940" s="76" t="s">
        <v>70</v>
      </c>
      <c r="P940" s="76" t="s">
        <v>149</v>
      </c>
      <c r="Q940" s="140" t="s">
        <v>54</v>
      </c>
    </row>
    <row r="941" spans="9:17" x14ac:dyDescent="0.35">
      <c r="I941" s="178" t="s">
        <v>505</v>
      </c>
      <c r="J941" s="178" t="s">
        <v>67</v>
      </c>
      <c r="K941" s="139">
        <v>2</v>
      </c>
      <c r="L941" s="140" t="s">
        <v>68</v>
      </c>
      <c r="M941" s="140" t="s">
        <v>64</v>
      </c>
      <c r="N941" s="74" t="s">
        <v>48</v>
      </c>
      <c r="O941" s="76" t="s">
        <v>70</v>
      </c>
      <c r="P941" s="76" t="s">
        <v>149</v>
      </c>
      <c r="Q941" s="140" t="s">
        <v>54</v>
      </c>
    </row>
    <row r="942" spans="9:17" ht="14.5" customHeight="1" x14ac:dyDescent="0.35">
      <c r="I942" s="178" t="s">
        <v>505</v>
      </c>
      <c r="J942" s="178" t="s">
        <v>156</v>
      </c>
      <c r="K942" s="139">
        <v>1.5</v>
      </c>
      <c r="L942" s="140" t="s">
        <v>68</v>
      </c>
      <c r="M942" s="140" t="s">
        <v>69</v>
      </c>
      <c r="N942" s="74" t="s">
        <v>46</v>
      </c>
      <c r="O942" s="76" t="s">
        <v>511</v>
      </c>
      <c r="P942" s="76" t="s">
        <v>71</v>
      </c>
      <c r="Q942" s="140" t="s">
        <v>38</v>
      </c>
    </row>
    <row r="943" spans="9:17" ht="28" x14ac:dyDescent="0.35">
      <c r="I943" s="178" t="s">
        <v>505</v>
      </c>
      <c r="J943" s="178" t="s">
        <v>156</v>
      </c>
      <c r="K943" s="139">
        <v>1.5</v>
      </c>
      <c r="L943" s="140" t="s">
        <v>68</v>
      </c>
      <c r="M943" s="140" t="s">
        <v>69</v>
      </c>
      <c r="N943" s="74" t="s">
        <v>55</v>
      </c>
      <c r="O943" s="76" t="s">
        <v>511</v>
      </c>
      <c r="P943" s="76" t="s">
        <v>71</v>
      </c>
      <c r="Q943" s="140" t="s">
        <v>38</v>
      </c>
    </row>
    <row r="944" spans="9:17" x14ac:dyDescent="0.35">
      <c r="I944" s="178" t="s">
        <v>430</v>
      </c>
      <c r="J944" s="178" t="s">
        <v>122</v>
      </c>
      <c r="K944" s="139">
        <v>2</v>
      </c>
      <c r="L944" s="140" t="s">
        <v>33</v>
      </c>
      <c r="M944" s="140" t="s">
        <v>34</v>
      </c>
      <c r="N944" s="74" t="s">
        <v>39</v>
      </c>
      <c r="O944" s="74" t="s">
        <v>61</v>
      </c>
      <c r="P944" s="74" t="s">
        <v>47</v>
      </c>
      <c r="Q944" s="140" t="s">
        <v>54</v>
      </c>
    </row>
    <row r="945" spans="9:17" x14ac:dyDescent="0.35">
      <c r="I945" s="178" t="s">
        <v>430</v>
      </c>
      <c r="J945" s="178" t="s">
        <v>122</v>
      </c>
      <c r="K945" s="139">
        <v>2</v>
      </c>
      <c r="L945" s="140" t="s">
        <v>33</v>
      </c>
      <c r="M945" s="140" t="s">
        <v>34</v>
      </c>
      <c r="N945" s="74" t="s">
        <v>55</v>
      </c>
      <c r="O945" s="74" t="s">
        <v>56</v>
      </c>
      <c r="P945" s="74" t="s">
        <v>47</v>
      </c>
      <c r="Q945" s="140" t="s">
        <v>54</v>
      </c>
    </row>
    <row r="946" spans="9:17" x14ac:dyDescent="0.35">
      <c r="I946" s="178" t="s">
        <v>430</v>
      </c>
      <c r="J946" s="178" t="s">
        <v>122</v>
      </c>
      <c r="K946" s="139">
        <v>2</v>
      </c>
      <c r="L946" s="140" t="s">
        <v>33</v>
      </c>
      <c r="M946" s="140" t="s">
        <v>42</v>
      </c>
      <c r="N946" s="74" t="s">
        <v>39</v>
      </c>
      <c r="O946" s="74" t="s">
        <v>123</v>
      </c>
      <c r="P946" s="74" t="s">
        <v>107</v>
      </c>
      <c r="Q946" s="140" t="s">
        <v>54</v>
      </c>
    </row>
    <row r="947" spans="9:17" x14ac:dyDescent="0.35">
      <c r="I947" s="178" t="s">
        <v>430</v>
      </c>
      <c r="J947" s="178" t="s">
        <v>122</v>
      </c>
      <c r="K947" s="139">
        <v>2</v>
      </c>
      <c r="L947" s="140" t="s">
        <v>33</v>
      </c>
      <c r="M947" s="140" t="s">
        <v>42</v>
      </c>
      <c r="N947" s="74" t="s">
        <v>55</v>
      </c>
      <c r="O947" s="74" t="s">
        <v>52</v>
      </c>
      <c r="P947" s="74" t="s">
        <v>37</v>
      </c>
      <c r="Q947" s="140" t="s">
        <v>54</v>
      </c>
    </row>
    <row r="948" spans="9:17" x14ac:dyDescent="0.35">
      <c r="I948" s="178" t="s">
        <v>430</v>
      </c>
      <c r="J948" s="178" t="s">
        <v>122</v>
      </c>
      <c r="K948" s="139">
        <v>2</v>
      </c>
      <c r="L948" s="140" t="s">
        <v>33</v>
      </c>
      <c r="M948" s="140" t="s">
        <v>45</v>
      </c>
      <c r="N948" s="74" t="s">
        <v>35</v>
      </c>
      <c r="O948" s="74" t="s">
        <v>52</v>
      </c>
      <c r="P948" s="74" t="s">
        <v>431</v>
      </c>
      <c r="Q948" s="140" t="s">
        <v>54</v>
      </c>
    </row>
    <row r="949" spans="9:17" x14ac:dyDescent="0.35">
      <c r="I949" s="178" t="s">
        <v>430</v>
      </c>
      <c r="J949" s="178" t="s">
        <v>122</v>
      </c>
      <c r="K949" s="139">
        <v>2</v>
      </c>
      <c r="L949" s="140" t="s">
        <v>33</v>
      </c>
      <c r="M949" s="140" t="s">
        <v>45</v>
      </c>
      <c r="N949" s="74" t="s">
        <v>48</v>
      </c>
      <c r="O949" s="74" t="s">
        <v>219</v>
      </c>
      <c r="P949" s="74" t="s">
        <v>431</v>
      </c>
      <c r="Q949" s="140" t="s">
        <v>54</v>
      </c>
    </row>
    <row r="950" spans="9:17" x14ac:dyDescent="0.35">
      <c r="I950" s="178" t="s">
        <v>430</v>
      </c>
      <c r="J950" s="178" t="s">
        <v>122</v>
      </c>
      <c r="K950" s="139">
        <v>2</v>
      </c>
      <c r="L950" s="140" t="s">
        <v>33</v>
      </c>
      <c r="M950" s="140" t="s">
        <v>49</v>
      </c>
      <c r="N950" s="74" t="s">
        <v>35</v>
      </c>
      <c r="O950" s="74" t="s">
        <v>61</v>
      </c>
      <c r="P950" s="74" t="s">
        <v>77</v>
      </c>
      <c r="Q950" s="140" t="s">
        <v>54</v>
      </c>
    </row>
    <row r="951" spans="9:17" x14ac:dyDescent="0.35">
      <c r="I951" s="178" t="s">
        <v>430</v>
      </c>
      <c r="J951" s="178" t="s">
        <v>122</v>
      </c>
      <c r="K951" s="139">
        <v>2</v>
      </c>
      <c r="L951" s="140" t="s">
        <v>33</v>
      </c>
      <c r="M951" s="140" t="s">
        <v>49</v>
      </c>
      <c r="N951" s="74" t="s">
        <v>48</v>
      </c>
      <c r="O951" s="74" t="s">
        <v>61</v>
      </c>
      <c r="P951" s="74" t="s">
        <v>77</v>
      </c>
      <c r="Q951" s="140" t="s">
        <v>54</v>
      </c>
    </row>
    <row r="952" spans="9:17" ht="14.5" customHeight="1" x14ac:dyDescent="0.35">
      <c r="I952" s="178" t="s">
        <v>430</v>
      </c>
      <c r="J952" s="178" t="s">
        <v>432</v>
      </c>
      <c r="K952" s="139">
        <v>3</v>
      </c>
      <c r="L952" s="140" t="s">
        <v>33</v>
      </c>
      <c r="M952" s="140" t="s">
        <v>34</v>
      </c>
      <c r="N952" s="74" t="s">
        <v>46</v>
      </c>
      <c r="O952" s="74" t="s">
        <v>40</v>
      </c>
      <c r="P952" s="74" t="s">
        <v>98</v>
      </c>
      <c r="Q952" s="140" t="s">
        <v>38</v>
      </c>
    </row>
    <row r="953" spans="9:17" ht="28" x14ac:dyDescent="0.35">
      <c r="I953" s="178" t="s">
        <v>430</v>
      </c>
      <c r="J953" s="178" t="s">
        <v>432</v>
      </c>
      <c r="K953" s="139">
        <v>3</v>
      </c>
      <c r="L953" s="140" t="s">
        <v>33</v>
      </c>
      <c r="M953" s="140" t="s">
        <v>34</v>
      </c>
      <c r="N953" s="74" t="s">
        <v>48</v>
      </c>
      <c r="O953" s="74" t="s">
        <v>44</v>
      </c>
      <c r="P953" s="74" t="s">
        <v>98</v>
      </c>
      <c r="Q953" s="140" t="s">
        <v>38</v>
      </c>
    </row>
    <row r="954" spans="9:17" ht="14.5" customHeight="1" x14ac:dyDescent="0.35">
      <c r="I954" s="178" t="s">
        <v>430</v>
      </c>
      <c r="J954" s="178" t="s">
        <v>432</v>
      </c>
      <c r="K954" s="139">
        <v>3</v>
      </c>
      <c r="L954" s="140" t="s">
        <v>33</v>
      </c>
      <c r="M954" s="140" t="s">
        <v>42</v>
      </c>
      <c r="N954" s="74" t="s">
        <v>46</v>
      </c>
      <c r="O954" s="74" t="s">
        <v>44</v>
      </c>
      <c r="P954" s="74" t="s">
        <v>96</v>
      </c>
      <c r="Q954" s="140" t="s">
        <v>38</v>
      </c>
    </row>
    <row r="955" spans="9:17" ht="28" x14ac:dyDescent="0.35">
      <c r="I955" s="178" t="s">
        <v>430</v>
      </c>
      <c r="J955" s="178" t="s">
        <v>432</v>
      </c>
      <c r="K955" s="139">
        <v>3</v>
      </c>
      <c r="L955" s="140" t="s">
        <v>33</v>
      </c>
      <c r="M955" s="140" t="s">
        <v>42</v>
      </c>
      <c r="N955" s="74" t="s">
        <v>55</v>
      </c>
      <c r="O955" s="74" t="s">
        <v>511</v>
      </c>
      <c r="P955" s="74" t="s">
        <v>96</v>
      </c>
      <c r="Q955" s="140" t="s">
        <v>38</v>
      </c>
    </row>
    <row r="956" spans="9:17" ht="14.5" customHeight="1" x14ac:dyDescent="0.35">
      <c r="I956" s="178" t="s">
        <v>430</v>
      </c>
      <c r="J956" s="178" t="s">
        <v>432</v>
      </c>
      <c r="K956" s="139">
        <v>3</v>
      </c>
      <c r="L956" s="140" t="s">
        <v>33</v>
      </c>
      <c r="M956" s="140" t="s">
        <v>45</v>
      </c>
      <c r="N956" s="74" t="s">
        <v>46</v>
      </c>
      <c r="O956" s="74" t="s">
        <v>511</v>
      </c>
      <c r="P956" s="74" t="s">
        <v>128</v>
      </c>
      <c r="Q956" s="140" t="s">
        <v>38</v>
      </c>
    </row>
    <row r="957" spans="9:17" ht="28" x14ac:dyDescent="0.35">
      <c r="I957" s="178" t="s">
        <v>430</v>
      </c>
      <c r="J957" s="178" t="s">
        <v>432</v>
      </c>
      <c r="K957" s="139">
        <v>3</v>
      </c>
      <c r="L957" s="140" t="s">
        <v>33</v>
      </c>
      <c r="M957" s="140" t="s">
        <v>45</v>
      </c>
      <c r="N957" s="74" t="s">
        <v>55</v>
      </c>
      <c r="O957" s="74" t="s">
        <v>44</v>
      </c>
      <c r="P957" s="74" t="s">
        <v>128</v>
      </c>
      <c r="Q957" s="140" t="s">
        <v>38</v>
      </c>
    </row>
    <row r="958" spans="9:17" ht="14.5" customHeight="1" x14ac:dyDescent="0.35">
      <c r="I958" s="178" t="s">
        <v>430</v>
      </c>
      <c r="J958" s="178" t="s">
        <v>432</v>
      </c>
      <c r="K958" s="139">
        <v>3</v>
      </c>
      <c r="L958" s="140" t="s">
        <v>33</v>
      </c>
      <c r="M958" s="140" t="s">
        <v>49</v>
      </c>
      <c r="N958" s="74" t="s">
        <v>35</v>
      </c>
      <c r="O958" s="74" t="s">
        <v>40</v>
      </c>
      <c r="P958" s="74" t="s">
        <v>128</v>
      </c>
      <c r="Q958" s="140" t="s">
        <v>38</v>
      </c>
    </row>
    <row r="959" spans="9:17" ht="28" x14ac:dyDescent="0.35">
      <c r="I959" s="178" t="s">
        <v>430</v>
      </c>
      <c r="J959" s="178" t="s">
        <v>432</v>
      </c>
      <c r="K959" s="139">
        <v>3</v>
      </c>
      <c r="L959" s="140" t="s">
        <v>33</v>
      </c>
      <c r="M959" s="140" t="s">
        <v>49</v>
      </c>
      <c r="N959" s="74" t="s">
        <v>39</v>
      </c>
      <c r="O959" s="74" t="s">
        <v>44</v>
      </c>
      <c r="P959" s="74" t="s">
        <v>128</v>
      </c>
      <c r="Q959" s="140" t="s">
        <v>38</v>
      </c>
    </row>
    <row r="960" spans="9:17" x14ac:dyDescent="0.35">
      <c r="I960" s="178" t="s">
        <v>430</v>
      </c>
      <c r="J960" s="183" t="s">
        <v>89</v>
      </c>
      <c r="K960" s="81">
        <v>3</v>
      </c>
      <c r="L960" s="85" t="s">
        <v>33</v>
      </c>
      <c r="M960" s="85" t="s">
        <v>175</v>
      </c>
      <c r="N960" s="74" t="s">
        <v>46</v>
      </c>
      <c r="O960" s="74" t="s">
        <v>91</v>
      </c>
      <c r="P960" s="74" t="s">
        <v>41</v>
      </c>
      <c r="Q960" s="85" t="s">
        <v>93</v>
      </c>
    </row>
    <row r="961" spans="9:17" ht="14.5" customHeight="1" x14ac:dyDescent="0.35">
      <c r="I961" s="178" t="s">
        <v>433</v>
      </c>
      <c r="J961" s="184" t="s">
        <v>307</v>
      </c>
      <c r="K961" s="139">
        <v>2</v>
      </c>
      <c r="L961" s="140" t="s">
        <v>106</v>
      </c>
      <c r="M961" s="140" t="s">
        <v>101</v>
      </c>
      <c r="N961" s="85" t="s">
        <v>35</v>
      </c>
      <c r="O961" s="74" t="s">
        <v>123</v>
      </c>
      <c r="P961" s="74" t="s">
        <v>98</v>
      </c>
      <c r="Q961" s="140" t="s">
        <v>54</v>
      </c>
    </row>
    <row r="962" spans="9:17" ht="28" x14ac:dyDescent="0.35">
      <c r="I962" s="178" t="s">
        <v>433</v>
      </c>
      <c r="J962" s="184" t="s">
        <v>307</v>
      </c>
      <c r="K962" s="139">
        <v>2</v>
      </c>
      <c r="L962" s="140" t="s">
        <v>106</v>
      </c>
      <c r="M962" s="140" t="s">
        <v>101</v>
      </c>
      <c r="N962" s="85" t="s">
        <v>55</v>
      </c>
      <c r="O962" s="74" t="s">
        <v>52</v>
      </c>
      <c r="P962" s="74" t="s">
        <v>96</v>
      </c>
      <c r="Q962" s="140" t="s">
        <v>54</v>
      </c>
    </row>
    <row r="963" spans="9:17" x14ac:dyDescent="0.35">
      <c r="I963" s="178" t="s">
        <v>433</v>
      </c>
      <c r="J963" s="184" t="s">
        <v>425</v>
      </c>
      <c r="K963" s="139">
        <v>2</v>
      </c>
      <c r="L963" s="140" t="s">
        <v>106</v>
      </c>
      <c r="M963" s="140" t="s">
        <v>136</v>
      </c>
      <c r="N963" s="74" t="s">
        <v>46</v>
      </c>
      <c r="O963" s="74" t="s">
        <v>61</v>
      </c>
      <c r="P963" s="74" t="s">
        <v>128</v>
      </c>
      <c r="Q963" s="140" t="s">
        <v>54</v>
      </c>
    </row>
    <row r="964" spans="9:17" x14ac:dyDescent="0.35">
      <c r="I964" s="178" t="s">
        <v>433</v>
      </c>
      <c r="J964" s="184" t="s">
        <v>425</v>
      </c>
      <c r="K964" s="139">
        <v>2</v>
      </c>
      <c r="L964" s="140" t="s">
        <v>106</v>
      </c>
      <c r="M964" s="140" t="s">
        <v>136</v>
      </c>
      <c r="N964" s="74" t="s">
        <v>39</v>
      </c>
      <c r="O964" s="74" t="s">
        <v>52</v>
      </c>
      <c r="P964" s="74" t="s">
        <v>128</v>
      </c>
      <c r="Q964" s="140" t="s">
        <v>54</v>
      </c>
    </row>
    <row r="965" spans="9:17" ht="14.5" customHeight="1" x14ac:dyDescent="0.35">
      <c r="I965" s="178" t="s">
        <v>433</v>
      </c>
      <c r="J965" s="184" t="s">
        <v>401</v>
      </c>
      <c r="K965" s="139">
        <v>3</v>
      </c>
      <c r="L965" s="140" t="s">
        <v>106</v>
      </c>
      <c r="M965" s="140" t="s">
        <v>76</v>
      </c>
      <c r="N965" s="74" t="s">
        <v>35</v>
      </c>
      <c r="O965" s="74" t="s">
        <v>511</v>
      </c>
      <c r="P965" s="74" t="s">
        <v>128</v>
      </c>
      <c r="Q965" s="140" t="s">
        <v>54</v>
      </c>
    </row>
    <row r="966" spans="9:17" ht="28" x14ac:dyDescent="0.35">
      <c r="I966" s="178" t="s">
        <v>433</v>
      </c>
      <c r="J966" s="184" t="s">
        <v>401</v>
      </c>
      <c r="K966" s="139">
        <v>3</v>
      </c>
      <c r="L966" s="140" t="s">
        <v>106</v>
      </c>
      <c r="M966" s="140" t="s">
        <v>76</v>
      </c>
      <c r="N966" s="74" t="s">
        <v>39</v>
      </c>
      <c r="O966" s="74" t="s">
        <v>511</v>
      </c>
      <c r="P966" s="74" t="s">
        <v>128</v>
      </c>
      <c r="Q966" s="140" t="s">
        <v>54</v>
      </c>
    </row>
    <row r="967" spans="9:17" x14ac:dyDescent="0.35">
      <c r="I967" s="178" t="s">
        <v>433</v>
      </c>
      <c r="J967" s="178" t="s">
        <v>434</v>
      </c>
      <c r="K967" s="139">
        <v>3</v>
      </c>
      <c r="L967" s="140" t="s">
        <v>106</v>
      </c>
      <c r="M967" s="140" t="s">
        <v>76</v>
      </c>
      <c r="N967" s="74" t="s">
        <v>35</v>
      </c>
      <c r="O967" s="74" t="s">
        <v>511</v>
      </c>
      <c r="P967" s="74" t="s">
        <v>197</v>
      </c>
      <c r="Q967" s="140" t="s">
        <v>38</v>
      </c>
    </row>
    <row r="968" spans="9:17" x14ac:dyDescent="0.35">
      <c r="I968" s="178" t="s">
        <v>433</v>
      </c>
      <c r="J968" s="178" t="s">
        <v>434</v>
      </c>
      <c r="K968" s="139">
        <v>3</v>
      </c>
      <c r="L968" s="140" t="s">
        <v>106</v>
      </c>
      <c r="M968" s="140" t="s">
        <v>76</v>
      </c>
      <c r="N968" s="74" t="s">
        <v>39</v>
      </c>
      <c r="O968" s="74" t="s">
        <v>511</v>
      </c>
      <c r="P968" s="74" t="s">
        <v>197</v>
      </c>
      <c r="Q968" s="140" t="s">
        <v>38</v>
      </c>
    </row>
    <row r="969" spans="9:17" x14ac:dyDescent="0.35">
      <c r="I969" s="178" t="s">
        <v>433</v>
      </c>
      <c r="J969" s="185" t="s">
        <v>435</v>
      </c>
      <c r="K969" s="147">
        <v>2</v>
      </c>
      <c r="L969" s="140" t="s">
        <v>106</v>
      </c>
      <c r="M969" s="140" t="s">
        <v>136</v>
      </c>
      <c r="N969" s="74" t="s">
        <v>39</v>
      </c>
      <c r="O969" s="74" t="s">
        <v>59</v>
      </c>
      <c r="P969" s="74" t="s">
        <v>143</v>
      </c>
      <c r="Q969" s="140" t="s">
        <v>38</v>
      </c>
    </row>
    <row r="970" spans="9:17" x14ac:dyDescent="0.35">
      <c r="I970" s="178" t="s">
        <v>433</v>
      </c>
      <c r="J970" s="185" t="s">
        <v>435</v>
      </c>
      <c r="K970" s="147">
        <v>2</v>
      </c>
      <c r="L970" s="140" t="s">
        <v>106</v>
      </c>
      <c r="M970" s="140" t="s">
        <v>136</v>
      </c>
      <c r="N970" s="74" t="s">
        <v>55</v>
      </c>
      <c r="O970" s="74" t="s">
        <v>123</v>
      </c>
      <c r="P970" s="74" t="s">
        <v>143</v>
      </c>
      <c r="Q970" s="140" t="s">
        <v>38</v>
      </c>
    </row>
    <row r="971" spans="9:17" ht="14.5" customHeight="1" x14ac:dyDescent="0.35">
      <c r="I971" s="178" t="s">
        <v>436</v>
      </c>
      <c r="J971" s="178" t="s">
        <v>276</v>
      </c>
      <c r="K971" s="147">
        <v>2</v>
      </c>
      <c r="L971" s="140" t="s">
        <v>33</v>
      </c>
      <c r="M971" s="145" t="s">
        <v>34</v>
      </c>
      <c r="N971" s="74" t="s">
        <v>39</v>
      </c>
      <c r="O971" s="74" t="s">
        <v>61</v>
      </c>
      <c r="P971" s="74" t="s">
        <v>77</v>
      </c>
      <c r="Q971" s="146" t="s">
        <v>54</v>
      </c>
    </row>
    <row r="972" spans="9:17" ht="28" x14ac:dyDescent="0.35">
      <c r="I972" s="178" t="s">
        <v>436</v>
      </c>
      <c r="J972" s="178" t="s">
        <v>276</v>
      </c>
      <c r="K972" s="147">
        <v>2</v>
      </c>
      <c r="L972" s="140" t="s">
        <v>33</v>
      </c>
      <c r="M972" s="145" t="s">
        <v>34</v>
      </c>
      <c r="N972" s="83" t="s">
        <v>55</v>
      </c>
      <c r="O972" s="74" t="s">
        <v>52</v>
      </c>
      <c r="P972" s="74" t="s">
        <v>77</v>
      </c>
      <c r="Q972" s="146" t="s">
        <v>54</v>
      </c>
    </row>
    <row r="973" spans="9:17" ht="14.5" customHeight="1" x14ac:dyDescent="0.35">
      <c r="I973" s="178" t="s">
        <v>436</v>
      </c>
      <c r="J973" s="178" t="s">
        <v>276</v>
      </c>
      <c r="K973" s="147">
        <v>2</v>
      </c>
      <c r="L973" s="140" t="s">
        <v>33</v>
      </c>
      <c r="M973" s="140" t="s">
        <v>42</v>
      </c>
      <c r="N973" s="74" t="s">
        <v>46</v>
      </c>
      <c r="O973" s="74" t="s">
        <v>219</v>
      </c>
      <c r="P973" s="74" t="s">
        <v>41</v>
      </c>
      <c r="Q973" s="146" t="s">
        <v>54</v>
      </c>
    </row>
    <row r="974" spans="9:17" ht="28" x14ac:dyDescent="0.35">
      <c r="I974" s="178" t="s">
        <v>436</v>
      </c>
      <c r="J974" s="178" t="s">
        <v>276</v>
      </c>
      <c r="K974" s="147">
        <v>2</v>
      </c>
      <c r="L974" s="140" t="s">
        <v>33</v>
      </c>
      <c r="M974" s="140" t="s">
        <v>42</v>
      </c>
      <c r="N974" s="67" t="s">
        <v>48</v>
      </c>
      <c r="O974" s="74" t="s">
        <v>61</v>
      </c>
      <c r="P974" s="74" t="s">
        <v>41</v>
      </c>
      <c r="Q974" s="146" t="s">
        <v>54</v>
      </c>
    </row>
    <row r="975" spans="9:17" ht="14.5" customHeight="1" x14ac:dyDescent="0.35">
      <c r="I975" s="178" t="s">
        <v>436</v>
      </c>
      <c r="J975" s="178" t="s">
        <v>276</v>
      </c>
      <c r="K975" s="147">
        <v>2</v>
      </c>
      <c r="L975" s="140" t="s">
        <v>33</v>
      </c>
      <c r="M975" s="140" t="s">
        <v>45</v>
      </c>
      <c r="N975" s="74" t="s">
        <v>35</v>
      </c>
      <c r="O975" s="74" t="s">
        <v>52</v>
      </c>
      <c r="P975" s="74" t="s">
        <v>155</v>
      </c>
      <c r="Q975" s="146" t="s">
        <v>54</v>
      </c>
    </row>
    <row r="976" spans="9:17" ht="28" x14ac:dyDescent="0.35">
      <c r="I976" s="178" t="s">
        <v>436</v>
      </c>
      <c r="J976" s="178" t="s">
        <v>276</v>
      </c>
      <c r="K976" s="147">
        <v>2</v>
      </c>
      <c r="L976" s="140" t="s">
        <v>33</v>
      </c>
      <c r="M976" s="140" t="s">
        <v>45</v>
      </c>
      <c r="N976" s="67" t="s">
        <v>39</v>
      </c>
      <c r="O976" s="74" t="s">
        <v>61</v>
      </c>
      <c r="P976" s="74" t="s">
        <v>206</v>
      </c>
      <c r="Q976" s="146" t="s">
        <v>54</v>
      </c>
    </row>
    <row r="977" spans="9:17" ht="14.5" customHeight="1" x14ac:dyDescent="0.35">
      <c r="I977" s="178" t="s">
        <v>436</v>
      </c>
      <c r="J977" s="178" t="s">
        <v>276</v>
      </c>
      <c r="K977" s="147">
        <v>2</v>
      </c>
      <c r="L977" s="140" t="s">
        <v>33</v>
      </c>
      <c r="M977" s="140" t="s">
        <v>49</v>
      </c>
      <c r="N977" s="74" t="s">
        <v>46</v>
      </c>
      <c r="O977" s="74" t="s">
        <v>61</v>
      </c>
      <c r="P977" s="74" t="s">
        <v>197</v>
      </c>
      <c r="Q977" s="146" t="s">
        <v>54</v>
      </c>
    </row>
    <row r="978" spans="9:17" ht="28" x14ac:dyDescent="0.35">
      <c r="I978" s="178" t="s">
        <v>436</v>
      </c>
      <c r="J978" s="178" t="s">
        <v>276</v>
      </c>
      <c r="K978" s="147">
        <v>2</v>
      </c>
      <c r="L978" s="140" t="s">
        <v>33</v>
      </c>
      <c r="M978" s="140" t="s">
        <v>49</v>
      </c>
      <c r="N978" s="74" t="s">
        <v>48</v>
      </c>
      <c r="O978" s="74" t="s">
        <v>123</v>
      </c>
      <c r="P978" s="74" t="s">
        <v>65</v>
      </c>
      <c r="Q978" s="146" t="s">
        <v>54</v>
      </c>
    </row>
    <row r="979" spans="9:17" ht="14.5" customHeight="1" x14ac:dyDescent="0.35">
      <c r="I979" s="178" t="s">
        <v>436</v>
      </c>
      <c r="J979" s="178" t="s">
        <v>99</v>
      </c>
      <c r="K979" s="139">
        <v>3</v>
      </c>
      <c r="L979" s="140" t="s">
        <v>33</v>
      </c>
      <c r="M979" s="140" t="s">
        <v>76</v>
      </c>
      <c r="N979" s="74" t="s">
        <v>35</v>
      </c>
      <c r="O979" s="74" t="s">
        <v>511</v>
      </c>
      <c r="P979" s="74" t="s">
        <v>92</v>
      </c>
      <c r="Q979" s="140" t="s">
        <v>38</v>
      </c>
    </row>
    <row r="980" spans="9:17" ht="28" x14ac:dyDescent="0.35">
      <c r="I980" s="178" t="s">
        <v>436</v>
      </c>
      <c r="J980" s="178" t="s">
        <v>99</v>
      </c>
      <c r="K980" s="139">
        <v>3</v>
      </c>
      <c r="L980" s="140" t="s">
        <v>33</v>
      </c>
      <c r="M980" s="140" t="s">
        <v>76</v>
      </c>
      <c r="N980" s="74" t="s">
        <v>39</v>
      </c>
      <c r="O980" s="74" t="s">
        <v>511</v>
      </c>
      <c r="P980" s="74" t="s">
        <v>92</v>
      </c>
      <c r="Q980" s="140" t="s">
        <v>38</v>
      </c>
    </row>
    <row r="981" spans="9:17" x14ac:dyDescent="0.35">
      <c r="I981" s="178" t="s">
        <v>436</v>
      </c>
      <c r="J981" s="178" t="s">
        <v>281</v>
      </c>
      <c r="K981" s="139">
        <v>3</v>
      </c>
      <c r="L981" s="140" t="s">
        <v>33</v>
      </c>
      <c r="M981" s="140" t="s">
        <v>103</v>
      </c>
      <c r="N981" s="74" t="s">
        <v>39</v>
      </c>
      <c r="O981" s="74" t="s">
        <v>511</v>
      </c>
      <c r="P981" s="74" t="s">
        <v>92</v>
      </c>
      <c r="Q981" s="140" t="s">
        <v>54</v>
      </c>
    </row>
    <row r="982" spans="9:17" x14ac:dyDescent="0.35">
      <c r="I982" s="178" t="s">
        <v>436</v>
      </c>
      <c r="J982" s="178" t="s">
        <v>281</v>
      </c>
      <c r="K982" s="139">
        <v>3</v>
      </c>
      <c r="L982" s="140" t="s">
        <v>33</v>
      </c>
      <c r="M982" s="140" t="s">
        <v>103</v>
      </c>
      <c r="N982" s="67" t="s">
        <v>55</v>
      </c>
      <c r="O982" s="74" t="s">
        <v>511</v>
      </c>
      <c r="P982" s="74" t="s">
        <v>92</v>
      </c>
      <c r="Q982" s="140" t="s">
        <v>54</v>
      </c>
    </row>
    <row r="983" spans="9:17" x14ac:dyDescent="0.35">
      <c r="I983" s="178" t="s">
        <v>436</v>
      </c>
      <c r="J983" s="178" t="s">
        <v>281</v>
      </c>
      <c r="K983" s="139">
        <v>3</v>
      </c>
      <c r="L983" s="140" t="s">
        <v>33</v>
      </c>
      <c r="M983" s="145" t="s">
        <v>104</v>
      </c>
      <c r="N983" s="74" t="s">
        <v>39</v>
      </c>
      <c r="O983" s="74" t="s">
        <v>40</v>
      </c>
      <c r="P983" s="74" t="s">
        <v>47</v>
      </c>
      <c r="Q983" s="140" t="s">
        <v>54</v>
      </c>
    </row>
    <row r="984" spans="9:17" x14ac:dyDescent="0.35">
      <c r="I984" s="178" t="s">
        <v>436</v>
      </c>
      <c r="J984" s="178" t="s">
        <v>281</v>
      </c>
      <c r="K984" s="139">
        <v>3</v>
      </c>
      <c r="L984" s="140" t="s">
        <v>33</v>
      </c>
      <c r="M984" s="145" t="s">
        <v>104</v>
      </c>
      <c r="N984" s="74" t="s">
        <v>55</v>
      </c>
      <c r="O984" s="74" t="s">
        <v>44</v>
      </c>
      <c r="P984" s="74" t="s">
        <v>47</v>
      </c>
      <c r="Q984" s="140" t="s">
        <v>54</v>
      </c>
    </row>
    <row r="985" spans="9:17" ht="14.5" customHeight="1" x14ac:dyDescent="0.35">
      <c r="I985" s="178" t="s">
        <v>438</v>
      </c>
      <c r="J985" s="178" t="s">
        <v>109</v>
      </c>
      <c r="K985" s="139">
        <v>3</v>
      </c>
      <c r="L985" s="140" t="s">
        <v>75</v>
      </c>
      <c r="M985" s="140" t="s">
        <v>272</v>
      </c>
      <c r="N985" s="74" t="s">
        <v>46</v>
      </c>
      <c r="O985" s="74" t="s">
        <v>123</v>
      </c>
      <c r="P985" s="74" t="s">
        <v>53</v>
      </c>
      <c r="Q985" s="140" t="s">
        <v>38</v>
      </c>
    </row>
    <row r="986" spans="9:17" x14ac:dyDescent="0.35">
      <c r="I986" s="178" t="s">
        <v>438</v>
      </c>
      <c r="J986" s="178" t="s">
        <v>109</v>
      </c>
      <c r="K986" s="139">
        <v>3</v>
      </c>
      <c r="L986" s="140" t="s">
        <v>75</v>
      </c>
      <c r="M986" s="140" t="s">
        <v>272</v>
      </c>
      <c r="N986" s="74" t="s">
        <v>48</v>
      </c>
      <c r="O986" s="74" t="s">
        <v>123</v>
      </c>
      <c r="P986" s="74" t="s">
        <v>169</v>
      </c>
      <c r="Q986" s="140" t="s">
        <v>38</v>
      </c>
    </row>
    <row r="987" spans="9:17" ht="14.5" customHeight="1" x14ac:dyDescent="0.35">
      <c r="I987" s="178" t="s">
        <v>438</v>
      </c>
      <c r="J987" s="178" t="s">
        <v>276</v>
      </c>
      <c r="K987" s="139">
        <v>2</v>
      </c>
      <c r="L987" s="140" t="s">
        <v>75</v>
      </c>
      <c r="M987" s="140" t="s">
        <v>45</v>
      </c>
      <c r="N987" s="74" t="s">
        <v>46</v>
      </c>
      <c r="O987" s="74" t="s">
        <v>52</v>
      </c>
      <c r="P987" s="74" t="s">
        <v>159</v>
      </c>
      <c r="Q987" s="140" t="s">
        <v>38</v>
      </c>
    </row>
    <row r="988" spans="9:17" ht="28" x14ac:dyDescent="0.35">
      <c r="I988" s="178" t="s">
        <v>438</v>
      </c>
      <c r="J988" s="178" t="s">
        <v>276</v>
      </c>
      <c r="K988" s="139">
        <v>2</v>
      </c>
      <c r="L988" s="140" t="s">
        <v>75</v>
      </c>
      <c r="M988" s="140" t="s">
        <v>45</v>
      </c>
      <c r="N988" s="74" t="s">
        <v>48</v>
      </c>
      <c r="O988" s="74" t="s">
        <v>131</v>
      </c>
      <c r="P988" s="74" t="s">
        <v>155</v>
      </c>
      <c r="Q988" s="140" t="s">
        <v>38</v>
      </c>
    </row>
    <row r="989" spans="9:17" x14ac:dyDescent="0.35">
      <c r="I989" s="178" t="s">
        <v>438</v>
      </c>
      <c r="J989" s="178" t="s">
        <v>50</v>
      </c>
      <c r="K989" s="139">
        <v>1.5</v>
      </c>
      <c r="L989" s="140" t="s">
        <v>260</v>
      </c>
      <c r="M989" s="140" t="s">
        <v>34</v>
      </c>
      <c r="N989" s="74" t="s">
        <v>46</v>
      </c>
      <c r="O989" s="74" t="s">
        <v>61</v>
      </c>
      <c r="P989" s="74" t="s">
        <v>329</v>
      </c>
      <c r="Q989" s="140" t="s">
        <v>54</v>
      </c>
    </row>
    <row r="990" spans="9:17" x14ac:dyDescent="0.35">
      <c r="I990" s="178" t="s">
        <v>438</v>
      </c>
      <c r="J990" s="178" t="s">
        <v>50</v>
      </c>
      <c r="K990" s="139">
        <v>1.5</v>
      </c>
      <c r="L990" s="140" t="s">
        <v>260</v>
      </c>
      <c r="M990" s="140" t="s">
        <v>34</v>
      </c>
      <c r="N990" s="74" t="s">
        <v>48</v>
      </c>
      <c r="O990" s="74" t="s">
        <v>59</v>
      </c>
      <c r="P990" s="74" t="s">
        <v>264</v>
      </c>
      <c r="Q990" s="140" t="s">
        <v>54</v>
      </c>
    </row>
    <row r="991" spans="9:17" x14ac:dyDescent="0.35">
      <c r="I991" s="178" t="s">
        <v>438</v>
      </c>
      <c r="J991" s="178" t="s">
        <v>58</v>
      </c>
      <c r="K991" s="139">
        <v>1.5</v>
      </c>
      <c r="L991" s="140" t="s">
        <v>260</v>
      </c>
      <c r="M991" s="140" t="s">
        <v>49</v>
      </c>
      <c r="N991" s="74" t="s">
        <v>46</v>
      </c>
      <c r="O991" s="74" t="s">
        <v>131</v>
      </c>
      <c r="P991" s="74" t="s">
        <v>252</v>
      </c>
      <c r="Q991" s="140" t="s">
        <v>54</v>
      </c>
    </row>
    <row r="992" spans="9:17" x14ac:dyDescent="0.35">
      <c r="I992" s="178" t="s">
        <v>438</v>
      </c>
      <c r="J992" s="178" t="s">
        <v>58</v>
      </c>
      <c r="K992" s="139">
        <v>1.5</v>
      </c>
      <c r="L992" s="140" t="s">
        <v>260</v>
      </c>
      <c r="M992" s="140" t="s">
        <v>49</v>
      </c>
      <c r="N992" s="74" t="s">
        <v>48</v>
      </c>
      <c r="O992" s="74" t="s">
        <v>131</v>
      </c>
      <c r="P992" s="74">
        <v>4.42</v>
      </c>
      <c r="Q992" s="140" t="s">
        <v>54</v>
      </c>
    </row>
    <row r="993" spans="9:17" x14ac:dyDescent="0.35">
      <c r="I993" s="178" t="s">
        <v>438</v>
      </c>
      <c r="J993" s="178" t="s">
        <v>50</v>
      </c>
      <c r="K993" s="139">
        <v>1.5</v>
      </c>
      <c r="L993" s="140" t="s">
        <v>294</v>
      </c>
      <c r="M993" s="140" t="s">
        <v>42</v>
      </c>
      <c r="N993" s="74" t="s">
        <v>39</v>
      </c>
      <c r="O993" s="74" t="s">
        <v>44</v>
      </c>
      <c r="P993" s="74" t="s">
        <v>327</v>
      </c>
      <c r="Q993" s="140" t="s">
        <v>54</v>
      </c>
    </row>
    <row r="994" spans="9:17" x14ac:dyDescent="0.35">
      <c r="I994" s="178" t="s">
        <v>438</v>
      </c>
      <c r="J994" s="178" t="s">
        <v>50</v>
      </c>
      <c r="K994" s="139">
        <v>1.5</v>
      </c>
      <c r="L994" s="140" t="s">
        <v>294</v>
      </c>
      <c r="M994" s="140" t="s">
        <v>42</v>
      </c>
      <c r="N994" s="74" t="s">
        <v>55</v>
      </c>
      <c r="O994" s="74" t="s">
        <v>511</v>
      </c>
      <c r="P994" s="74" t="s">
        <v>440</v>
      </c>
      <c r="Q994" s="140" t="s">
        <v>54</v>
      </c>
    </row>
    <row r="995" spans="9:17" x14ac:dyDescent="0.35">
      <c r="I995" s="178" t="s">
        <v>438</v>
      </c>
      <c r="J995" s="178" t="s">
        <v>58</v>
      </c>
      <c r="K995" s="139">
        <v>1.5</v>
      </c>
      <c r="L995" s="140" t="s">
        <v>294</v>
      </c>
      <c r="M995" s="140" t="s">
        <v>45</v>
      </c>
      <c r="N995" s="74" t="s">
        <v>48</v>
      </c>
      <c r="O995" s="74" t="s">
        <v>61</v>
      </c>
      <c r="P995" s="74" t="s">
        <v>60</v>
      </c>
      <c r="Q995" s="140" t="s">
        <v>54</v>
      </c>
    </row>
    <row r="996" spans="9:17" x14ac:dyDescent="0.35">
      <c r="I996" s="178" t="s">
        <v>438</v>
      </c>
      <c r="J996" s="178" t="s">
        <v>58</v>
      </c>
      <c r="K996" s="139">
        <v>1.5</v>
      </c>
      <c r="L996" s="140" t="s">
        <v>294</v>
      </c>
      <c r="M996" s="140" t="s">
        <v>45</v>
      </c>
      <c r="N996" s="74" t="s">
        <v>55</v>
      </c>
      <c r="O996" s="74" t="s">
        <v>61</v>
      </c>
      <c r="P996" s="74" t="s">
        <v>60</v>
      </c>
      <c r="Q996" s="140" t="s">
        <v>54</v>
      </c>
    </row>
    <row r="997" spans="9:17" x14ac:dyDescent="0.35">
      <c r="I997" s="178" t="s">
        <v>438</v>
      </c>
      <c r="J997" s="183" t="s">
        <v>89</v>
      </c>
      <c r="K997" s="81">
        <v>3</v>
      </c>
      <c r="L997" s="74" t="s">
        <v>75</v>
      </c>
      <c r="M997" s="74" t="s">
        <v>192</v>
      </c>
      <c r="N997" s="74" t="s">
        <v>46</v>
      </c>
      <c r="O997" s="74" t="s">
        <v>91</v>
      </c>
      <c r="P997" s="74" t="s">
        <v>267</v>
      </c>
      <c r="Q997" s="74" t="s">
        <v>93</v>
      </c>
    </row>
    <row r="998" spans="9:17" ht="14.5" customHeight="1" x14ac:dyDescent="0.35">
      <c r="I998" s="178" t="s">
        <v>441</v>
      </c>
      <c r="J998" s="178" t="s">
        <v>186</v>
      </c>
      <c r="K998" s="139">
        <v>3</v>
      </c>
      <c r="L998" s="140" t="s">
        <v>75</v>
      </c>
      <c r="M998" s="140" t="s">
        <v>247</v>
      </c>
      <c r="N998" s="74" t="s">
        <v>39</v>
      </c>
      <c r="O998" s="74" t="s">
        <v>44</v>
      </c>
      <c r="P998" s="74" t="s">
        <v>98</v>
      </c>
      <c r="Q998" s="140" t="s">
        <v>38</v>
      </c>
    </row>
    <row r="999" spans="9:17" ht="28" x14ac:dyDescent="0.35">
      <c r="I999" s="178" t="s">
        <v>441</v>
      </c>
      <c r="J999" s="178" t="s">
        <v>186</v>
      </c>
      <c r="K999" s="139">
        <v>3</v>
      </c>
      <c r="L999" s="140" t="s">
        <v>75</v>
      </c>
      <c r="M999" s="140" t="s">
        <v>247</v>
      </c>
      <c r="N999" s="74" t="s">
        <v>55</v>
      </c>
      <c r="O999" s="74" t="s">
        <v>44</v>
      </c>
      <c r="P999" s="67" t="s">
        <v>78</v>
      </c>
      <c r="Q999" s="140" t="s">
        <v>38</v>
      </c>
    </row>
    <row r="1000" spans="9:17" x14ac:dyDescent="0.35">
      <c r="I1000" s="178" t="s">
        <v>441</v>
      </c>
      <c r="J1000" s="178" t="s">
        <v>374</v>
      </c>
      <c r="K1000" s="139">
        <v>2</v>
      </c>
      <c r="L1000" s="140" t="s">
        <v>75</v>
      </c>
      <c r="M1000" s="140" t="s">
        <v>178</v>
      </c>
      <c r="N1000" s="74" t="s">
        <v>35</v>
      </c>
      <c r="O1000" s="74" t="s">
        <v>59</v>
      </c>
      <c r="P1000" s="74" t="s">
        <v>53</v>
      </c>
      <c r="Q1000" s="140" t="s">
        <v>38</v>
      </c>
    </row>
    <row r="1001" spans="9:17" x14ac:dyDescent="0.35">
      <c r="I1001" s="178" t="s">
        <v>441</v>
      </c>
      <c r="J1001" s="178" t="s">
        <v>374</v>
      </c>
      <c r="K1001" s="139">
        <v>2</v>
      </c>
      <c r="L1001" s="140" t="s">
        <v>75</v>
      </c>
      <c r="M1001" s="140" t="s">
        <v>178</v>
      </c>
      <c r="N1001" s="74" t="s">
        <v>55</v>
      </c>
      <c r="O1001" s="74" t="s">
        <v>56</v>
      </c>
      <c r="P1001" s="74" t="s">
        <v>208</v>
      </c>
      <c r="Q1001" s="140" t="s">
        <v>38</v>
      </c>
    </row>
    <row r="1002" spans="9:17" x14ac:dyDescent="0.35">
      <c r="I1002" s="178" t="s">
        <v>441</v>
      </c>
      <c r="J1002" s="178" t="s">
        <v>58</v>
      </c>
      <c r="K1002" s="139">
        <v>1.5</v>
      </c>
      <c r="L1002" s="140" t="s">
        <v>260</v>
      </c>
      <c r="M1002" s="140" t="s">
        <v>34</v>
      </c>
      <c r="N1002" s="74" t="s">
        <v>39</v>
      </c>
      <c r="O1002" s="74" t="s">
        <v>61</v>
      </c>
      <c r="P1002" s="74" t="s">
        <v>329</v>
      </c>
      <c r="Q1002" s="140" t="s">
        <v>54</v>
      </c>
    </row>
    <row r="1003" spans="9:17" x14ac:dyDescent="0.35">
      <c r="I1003" s="178" t="s">
        <v>441</v>
      </c>
      <c r="J1003" s="178" t="s">
        <v>58</v>
      </c>
      <c r="K1003" s="139">
        <v>1.5</v>
      </c>
      <c r="L1003" s="140" t="s">
        <v>260</v>
      </c>
      <c r="M1003" s="140" t="s">
        <v>34</v>
      </c>
      <c r="N1003" s="74" t="s">
        <v>55</v>
      </c>
      <c r="O1003" s="74" t="s">
        <v>59</v>
      </c>
      <c r="P1003" s="74" t="s">
        <v>264</v>
      </c>
      <c r="Q1003" s="140" t="s">
        <v>54</v>
      </c>
    </row>
    <row r="1004" spans="9:17" x14ac:dyDescent="0.35">
      <c r="I1004" s="178" t="s">
        <v>441</v>
      </c>
      <c r="J1004" s="178" t="s">
        <v>50</v>
      </c>
      <c r="K1004" s="139">
        <v>1.5</v>
      </c>
      <c r="L1004" s="140" t="s">
        <v>260</v>
      </c>
      <c r="M1004" s="140" t="s">
        <v>49</v>
      </c>
      <c r="N1004" s="74" t="s">
        <v>35</v>
      </c>
      <c r="O1004" s="74" t="s">
        <v>123</v>
      </c>
      <c r="P1004" s="74" t="s">
        <v>252</v>
      </c>
      <c r="Q1004" s="140" t="s">
        <v>54</v>
      </c>
    </row>
    <row r="1005" spans="9:17" x14ac:dyDescent="0.35">
      <c r="I1005" s="178" t="s">
        <v>441</v>
      </c>
      <c r="J1005" s="178" t="s">
        <v>50</v>
      </c>
      <c r="K1005" s="139">
        <v>1.5</v>
      </c>
      <c r="L1005" s="140" t="s">
        <v>260</v>
      </c>
      <c r="M1005" s="140" t="s">
        <v>49</v>
      </c>
      <c r="N1005" s="74" t="s">
        <v>39</v>
      </c>
      <c r="O1005" s="74" t="s">
        <v>131</v>
      </c>
      <c r="P1005" s="74">
        <v>4.42</v>
      </c>
      <c r="Q1005" s="140" t="s">
        <v>54</v>
      </c>
    </row>
    <row r="1006" spans="9:17" x14ac:dyDescent="0.35">
      <c r="I1006" s="178" t="s">
        <v>441</v>
      </c>
      <c r="J1006" s="178" t="s">
        <v>58</v>
      </c>
      <c r="K1006" s="139">
        <v>1.5</v>
      </c>
      <c r="L1006" s="140" t="s">
        <v>294</v>
      </c>
      <c r="M1006" s="140" t="s">
        <v>42</v>
      </c>
      <c r="N1006" s="74" t="s">
        <v>48</v>
      </c>
      <c r="O1006" s="74" t="s">
        <v>61</v>
      </c>
      <c r="P1006" s="74" t="s">
        <v>60</v>
      </c>
      <c r="Q1006" s="140" t="s">
        <v>54</v>
      </c>
    </row>
    <row r="1007" spans="9:17" x14ac:dyDescent="0.35">
      <c r="I1007" s="178" t="s">
        <v>441</v>
      </c>
      <c r="J1007" s="178" t="s">
        <v>58</v>
      </c>
      <c r="K1007" s="139">
        <v>1.5</v>
      </c>
      <c r="L1007" s="140" t="s">
        <v>294</v>
      </c>
      <c r="M1007" s="140" t="s">
        <v>42</v>
      </c>
      <c r="N1007" s="74" t="s">
        <v>55</v>
      </c>
      <c r="O1007" s="74" t="s">
        <v>61</v>
      </c>
      <c r="P1007" s="74" t="s">
        <v>60</v>
      </c>
      <c r="Q1007" s="140" t="s">
        <v>54</v>
      </c>
    </row>
    <row r="1008" spans="9:17" x14ac:dyDescent="0.35">
      <c r="I1008" s="178" t="s">
        <v>441</v>
      </c>
      <c r="J1008" s="178" t="s">
        <v>50</v>
      </c>
      <c r="K1008" s="139">
        <v>1.5</v>
      </c>
      <c r="L1008" s="140" t="s">
        <v>294</v>
      </c>
      <c r="M1008" s="140" t="s">
        <v>45</v>
      </c>
      <c r="N1008" s="74" t="s">
        <v>39</v>
      </c>
      <c r="O1008" s="74" t="s">
        <v>44</v>
      </c>
      <c r="P1008" s="74" t="s">
        <v>328</v>
      </c>
      <c r="Q1008" s="140" t="s">
        <v>54</v>
      </c>
    </row>
    <row r="1009" spans="9:17" x14ac:dyDescent="0.35">
      <c r="I1009" s="178" t="s">
        <v>441</v>
      </c>
      <c r="J1009" s="178" t="s">
        <v>50</v>
      </c>
      <c r="K1009" s="139">
        <v>1.5</v>
      </c>
      <c r="L1009" s="140" t="s">
        <v>294</v>
      </c>
      <c r="M1009" s="140" t="s">
        <v>45</v>
      </c>
      <c r="N1009" s="74" t="s">
        <v>55</v>
      </c>
      <c r="O1009" s="74" t="s">
        <v>511</v>
      </c>
      <c r="P1009" s="74" t="s">
        <v>295</v>
      </c>
      <c r="Q1009" s="140" t="s">
        <v>54</v>
      </c>
    </row>
    <row r="1010" spans="9:17" x14ac:dyDescent="0.35">
      <c r="I1010" s="178" t="s">
        <v>441</v>
      </c>
      <c r="J1010" s="183" t="s">
        <v>191</v>
      </c>
      <c r="K1010" s="81">
        <v>3</v>
      </c>
      <c r="L1010" s="74" t="s">
        <v>75</v>
      </c>
      <c r="M1010" s="74" t="s">
        <v>444</v>
      </c>
      <c r="N1010" s="74" t="s">
        <v>55</v>
      </c>
      <c r="O1010" s="74" t="s">
        <v>82</v>
      </c>
      <c r="P1010" s="74" t="s">
        <v>445</v>
      </c>
      <c r="Q1010" s="74" t="s">
        <v>93</v>
      </c>
    </row>
    <row r="1011" spans="9:17" ht="14.5" customHeight="1" x14ac:dyDescent="0.35">
      <c r="I1011" s="178" t="s">
        <v>446</v>
      </c>
      <c r="J1011" s="178" t="s">
        <v>122</v>
      </c>
      <c r="K1011" s="139">
        <v>2</v>
      </c>
      <c r="L1011" s="140" t="s">
        <v>106</v>
      </c>
      <c r="M1011" s="140" t="s">
        <v>34</v>
      </c>
      <c r="N1011" s="74" t="s">
        <v>35</v>
      </c>
      <c r="O1011" s="74" t="s">
        <v>59</v>
      </c>
      <c r="P1011" s="74" t="s">
        <v>143</v>
      </c>
      <c r="Q1011" s="140" t="s">
        <v>54</v>
      </c>
    </row>
    <row r="1012" spans="9:17" x14ac:dyDescent="0.35">
      <c r="I1012" s="178" t="s">
        <v>446</v>
      </c>
      <c r="J1012" s="178" t="s">
        <v>122</v>
      </c>
      <c r="K1012" s="139">
        <v>2</v>
      </c>
      <c r="L1012" s="140" t="s">
        <v>106</v>
      </c>
      <c r="M1012" s="140" t="s">
        <v>34</v>
      </c>
      <c r="N1012" s="74" t="s">
        <v>55</v>
      </c>
      <c r="O1012" s="74" t="s">
        <v>56</v>
      </c>
      <c r="P1012" s="74" t="s">
        <v>107</v>
      </c>
      <c r="Q1012" s="140" t="s">
        <v>54</v>
      </c>
    </row>
    <row r="1013" spans="9:17" ht="14.5" customHeight="1" x14ac:dyDescent="0.35">
      <c r="I1013" s="178" t="s">
        <v>446</v>
      </c>
      <c r="J1013" s="178" t="s">
        <v>447</v>
      </c>
      <c r="K1013" s="139">
        <v>2</v>
      </c>
      <c r="L1013" s="140" t="s">
        <v>106</v>
      </c>
      <c r="M1013" s="140" t="s">
        <v>136</v>
      </c>
      <c r="N1013" s="74" t="s">
        <v>46</v>
      </c>
      <c r="O1013" s="74" t="s">
        <v>131</v>
      </c>
      <c r="P1013" s="74" t="s">
        <v>107</v>
      </c>
      <c r="Q1013" s="140" t="s">
        <v>38</v>
      </c>
    </row>
    <row r="1014" spans="9:17" ht="28" x14ac:dyDescent="0.35">
      <c r="I1014" s="178" t="s">
        <v>446</v>
      </c>
      <c r="J1014" s="178" t="s">
        <v>447</v>
      </c>
      <c r="K1014" s="139">
        <v>2</v>
      </c>
      <c r="L1014" s="140" t="s">
        <v>106</v>
      </c>
      <c r="M1014" s="140" t="s">
        <v>136</v>
      </c>
      <c r="N1014" s="74" t="s">
        <v>39</v>
      </c>
      <c r="O1014" s="74" t="s">
        <v>123</v>
      </c>
      <c r="P1014" s="74" t="s">
        <v>107</v>
      </c>
      <c r="Q1014" s="140" t="s">
        <v>38</v>
      </c>
    </row>
    <row r="1015" spans="9:17" ht="14.5" customHeight="1" x14ac:dyDescent="0.35">
      <c r="I1015" s="178" t="s">
        <v>446</v>
      </c>
      <c r="J1015" s="178" t="s">
        <v>448</v>
      </c>
      <c r="K1015" s="139">
        <v>2</v>
      </c>
      <c r="L1015" s="140" t="s">
        <v>106</v>
      </c>
      <c r="M1015" s="140" t="s">
        <v>136</v>
      </c>
      <c r="N1015" s="74" t="s">
        <v>35</v>
      </c>
      <c r="O1015" s="74" t="s">
        <v>56</v>
      </c>
      <c r="P1015" s="74" t="s">
        <v>107</v>
      </c>
      <c r="Q1015" s="140" t="s">
        <v>38</v>
      </c>
    </row>
    <row r="1016" spans="9:17" ht="28" x14ac:dyDescent="0.35">
      <c r="I1016" s="178" t="s">
        <v>446</v>
      </c>
      <c r="J1016" s="178" t="s">
        <v>448</v>
      </c>
      <c r="K1016" s="139">
        <v>2</v>
      </c>
      <c r="L1016" s="140" t="s">
        <v>106</v>
      </c>
      <c r="M1016" s="140" t="s">
        <v>136</v>
      </c>
      <c r="N1016" s="74" t="s">
        <v>48</v>
      </c>
      <c r="O1016" s="74" t="s">
        <v>59</v>
      </c>
      <c r="P1016" s="74" t="s">
        <v>197</v>
      </c>
      <c r="Q1016" s="140" t="s">
        <v>38</v>
      </c>
    </row>
    <row r="1017" spans="9:17" x14ac:dyDescent="0.35">
      <c r="I1017" s="178" t="s">
        <v>446</v>
      </c>
      <c r="J1017" s="178" t="s">
        <v>424</v>
      </c>
      <c r="K1017" s="139">
        <v>2</v>
      </c>
      <c r="L1017" s="140" t="s">
        <v>106</v>
      </c>
      <c r="M1017" s="140" t="s">
        <v>136</v>
      </c>
      <c r="N1017" s="74" t="s">
        <v>46</v>
      </c>
      <c r="O1017" s="74" t="s">
        <v>52</v>
      </c>
      <c r="P1017" s="74" t="s">
        <v>98</v>
      </c>
      <c r="Q1017" s="140" t="s">
        <v>54</v>
      </c>
    </row>
    <row r="1018" spans="9:17" x14ac:dyDescent="0.35">
      <c r="I1018" s="178" t="s">
        <v>446</v>
      </c>
      <c r="J1018" s="178" t="s">
        <v>424</v>
      </c>
      <c r="K1018" s="139">
        <v>2</v>
      </c>
      <c r="L1018" s="140" t="s">
        <v>106</v>
      </c>
      <c r="M1018" s="140" t="s">
        <v>136</v>
      </c>
      <c r="N1018" s="74" t="s">
        <v>48</v>
      </c>
      <c r="O1018" s="74" t="s">
        <v>52</v>
      </c>
      <c r="P1018" s="74" t="s">
        <v>98</v>
      </c>
      <c r="Q1018" s="140" t="s">
        <v>54</v>
      </c>
    </row>
    <row r="1019" spans="9:17" x14ac:dyDescent="0.35">
      <c r="I1019" s="178" t="s">
        <v>446</v>
      </c>
      <c r="J1019" s="178" t="s">
        <v>449</v>
      </c>
      <c r="K1019" s="139">
        <v>3</v>
      </c>
      <c r="L1019" s="140" t="s">
        <v>51</v>
      </c>
      <c r="M1019" s="140" t="s">
        <v>136</v>
      </c>
      <c r="N1019" s="74" t="s">
        <v>35</v>
      </c>
      <c r="O1019" s="74" t="s">
        <v>44</v>
      </c>
      <c r="P1019" s="74" t="s">
        <v>132</v>
      </c>
      <c r="Q1019" s="140" t="s">
        <v>54</v>
      </c>
    </row>
    <row r="1020" spans="9:17" x14ac:dyDescent="0.35">
      <c r="I1020" s="178" t="s">
        <v>446</v>
      </c>
      <c r="J1020" s="178" t="s">
        <v>449</v>
      </c>
      <c r="K1020" s="139">
        <v>3</v>
      </c>
      <c r="L1020" s="140" t="s">
        <v>51</v>
      </c>
      <c r="M1020" s="140" t="s">
        <v>136</v>
      </c>
      <c r="N1020" s="74" t="s">
        <v>39</v>
      </c>
      <c r="O1020" s="74" t="s">
        <v>44</v>
      </c>
      <c r="P1020" s="74" t="s">
        <v>152</v>
      </c>
      <c r="Q1020" s="140" t="s">
        <v>54</v>
      </c>
    </row>
    <row r="1021" spans="9:17" x14ac:dyDescent="0.35">
      <c r="I1021" s="178" t="s">
        <v>446</v>
      </c>
      <c r="J1021" s="178" t="s">
        <v>449</v>
      </c>
      <c r="K1021" s="139">
        <v>3</v>
      </c>
      <c r="L1021" s="140" t="s">
        <v>51</v>
      </c>
      <c r="M1021" s="140" t="s">
        <v>76</v>
      </c>
      <c r="N1021" s="74" t="s">
        <v>35</v>
      </c>
      <c r="O1021" s="74" t="s">
        <v>511</v>
      </c>
      <c r="P1021" s="74" t="s">
        <v>132</v>
      </c>
      <c r="Q1021" s="140" t="s">
        <v>54</v>
      </c>
    </row>
    <row r="1022" spans="9:17" x14ac:dyDescent="0.35">
      <c r="I1022" s="178" t="s">
        <v>446</v>
      </c>
      <c r="J1022" s="178" t="s">
        <v>449</v>
      </c>
      <c r="K1022" s="139">
        <v>3</v>
      </c>
      <c r="L1022" s="140" t="s">
        <v>51</v>
      </c>
      <c r="M1022" s="140" t="s">
        <v>76</v>
      </c>
      <c r="N1022" s="74" t="s">
        <v>48</v>
      </c>
      <c r="O1022" s="74" t="s">
        <v>44</v>
      </c>
      <c r="P1022" s="74" t="s">
        <v>132</v>
      </c>
      <c r="Q1022" s="140" t="s">
        <v>54</v>
      </c>
    </row>
    <row r="1023" spans="9:17" x14ac:dyDescent="0.35">
      <c r="I1023" s="178" t="s">
        <v>446</v>
      </c>
      <c r="J1023" s="178" t="s">
        <v>449</v>
      </c>
      <c r="K1023" s="139">
        <v>3</v>
      </c>
      <c r="L1023" s="140" t="s">
        <v>51</v>
      </c>
      <c r="M1023" s="140" t="s">
        <v>79</v>
      </c>
      <c r="N1023" s="74" t="s">
        <v>46</v>
      </c>
      <c r="O1023" s="74" t="s">
        <v>66</v>
      </c>
      <c r="P1023" s="74" t="s">
        <v>78</v>
      </c>
      <c r="Q1023" s="140" t="s">
        <v>38</v>
      </c>
    </row>
    <row r="1024" spans="9:17" x14ac:dyDescent="0.35">
      <c r="I1024" s="178" t="s">
        <v>446</v>
      </c>
      <c r="J1024" s="178" t="s">
        <v>449</v>
      </c>
      <c r="K1024" s="139">
        <v>3</v>
      </c>
      <c r="L1024" s="140" t="s">
        <v>51</v>
      </c>
      <c r="M1024" s="140" t="s">
        <v>79</v>
      </c>
      <c r="N1024" s="74" t="s">
        <v>48</v>
      </c>
      <c r="O1024" s="74" t="s">
        <v>44</v>
      </c>
      <c r="P1024" s="74" t="s">
        <v>107</v>
      </c>
      <c r="Q1024" s="140" t="s">
        <v>38</v>
      </c>
    </row>
    <row r="1025" spans="9:17" x14ac:dyDescent="0.35">
      <c r="I1025" s="178" t="s">
        <v>446</v>
      </c>
      <c r="J1025" s="183" t="s">
        <v>89</v>
      </c>
      <c r="K1025" s="139">
        <v>3</v>
      </c>
      <c r="L1025" s="140" t="s">
        <v>51</v>
      </c>
      <c r="M1025" s="85" t="s">
        <v>178</v>
      </c>
      <c r="N1025" s="74" t="s">
        <v>48</v>
      </c>
      <c r="O1025" s="74" t="s">
        <v>91</v>
      </c>
      <c r="P1025" s="74" t="s">
        <v>190</v>
      </c>
      <c r="Q1025" s="85" t="s">
        <v>93</v>
      </c>
    </row>
    <row r="1026" spans="9:17" x14ac:dyDescent="0.35">
      <c r="I1026" s="178" t="s">
        <v>450</v>
      </c>
      <c r="J1026" s="178" t="s">
        <v>255</v>
      </c>
      <c r="K1026" s="139">
        <v>3</v>
      </c>
      <c r="L1026" s="140" t="s">
        <v>106</v>
      </c>
      <c r="M1026" s="140" t="s">
        <v>34</v>
      </c>
      <c r="N1026" s="74" t="s">
        <v>46</v>
      </c>
      <c r="O1026" s="74" t="s">
        <v>108</v>
      </c>
      <c r="P1026" s="74" t="s">
        <v>57</v>
      </c>
      <c r="Q1026" s="140" t="s">
        <v>54</v>
      </c>
    </row>
    <row r="1027" spans="9:17" x14ac:dyDescent="0.35">
      <c r="I1027" s="178" t="s">
        <v>450</v>
      </c>
      <c r="J1027" s="178" t="s">
        <v>255</v>
      </c>
      <c r="K1027" s="139">
        <v>3</v>
      </c>
      <c r="L1027" s="140" t="s">
        <v>106</v>
      </c>
      <c r="M1027" s="140" t="s">
        <v>34</v>
      </c>
      <c r="N1027" s="74" t="s">
        <v>48</v>
      </c>
      <c r="O1027" s="74" t="s">
        <v>232</v>
      </c>
      <c r="P1027" s="74" t="s">
        <v>196</v>
      </c>
      <c r="Q1027" s="140" t="s">
        <v>54</v>
      </c>
    </row>
    <row r="1028" spans="9:17" x14ac:dyDescent="0.35">
      <c r="I1028" s="178" t="s">
        <v>450</v>
      </c>
      <c r="J1028" s="178" t="s">
        <v>434</v>
      </c>
      <c r="K1028" s="139">
        <v>3</v>
      </c>
      <c r="L1028" s="140" t="s">
        <v>106</v>
      </c>
      <c r="M1028" s="140" t="s">
        <v>136</v>
      </c>
      <c r="N1028" s="74" t="s">
        <v>35</v>
      </c>
      <c r="O1028" s="74" t="s">
        <v>44</v>
      </c>
      <c r="P1028" s="74" t="s">
        <v>80</v>
      </c>
      <c r="Q1028" s="140" t="s">
        <v>54</v>
      </c>
    </row>
    <row r="1029" spans="9:17" x14ac:dyDescent="0.35">
      <c r="I1029" s="178" t="s">
        <v>450</v>
      </c>
      <c r="J1029" s="178" t="s">
        <v>434</v>
      </c>
      <c r="K1029" s="139">
        <v>3</v>
      </c>
      <c r="L1029" s="140" t="s">
        <v>106</v>
      </c>
      <c r="M1029" s="140" t="s">
        <v>136</v>
      </c>
      <c r="N1029" s="74" t="s">
        <v>48</v>
      </c>
      <c r="O1029" s="74" t="s">
        <v>511</v>
      </c>
      <c r="P1029" s="74" t="s">
        <v>197</v>
      </c>
      <c r="Q1029" s="140" t="s">
        <v>54</v>
      </c>
    </row>
    <row r="1030" spans="9:17" x14ac:dyDescent="0.35">
      <c r="I1030" s="178" t="s">
        <v>450</v>
      </c>
      <c r="J1030" s="178" t="s">
        <v>216</v>
      </c>
      <c r="K1030" s="139">
        <v>2</v>
      </c>
      <c r="L1030" s="140" t="s">
        <v>106</v>
      </c>
      <c r="M1030" s="140" t="s">
        <v>76</v>
      </c>
      <c r="N1030" s="74" t="s">
        <v>46</v>
      </c>
      <c r="O1030" s="74" t="s">
        <v>56</v>
      </c>
      <c r="P1030" s="74" t="s">
        <v>41</v>
      </c>
      <c r="Q1030" s="140" t="s">
        <v>38</v>
      </c>
    </row>
    <row r="1031" spans="9:17" x14ac:dyDescent="0.35">
      <c r="I1031" s="178" t="s">
        <v>450</v>
      </c>
      <c r="J1031" s="178" t="s">
        <v>216</v>
      </c>
      <c r="K1031" s="139">
        <v>2</v>
      </c>
      <c r="L1031" s="140" t="s">
        <v>106</v>
      </c>
      <c r="M1031" s="140" t="s">
        <v>76</v>
      </c>
      <c r="N1031" s="74" t="s">
        <v>55</v>
      </c>
      <c r="O1031" s="67" t="s">
        <v>56</v>
      </c>
      <c r="P1031" s="74" t="s">
        <v>197</v>
      </c>
      <c r="Q1031" s="140" t="s">
        <v>38</v>
      </c>
    </row>
    <row r="1032" spans="9:17" x14ac:dyDescent="0.35">
      <c r="I1032" s="178" t="s">
        <v>450</v>
      </c>
      <c r="J1032" s="178" t="s">
        <v>399</v>
      </c>
      <c r="K1032" s="139">
        <v>3</v>
      </c>
      <c r="L1032" s="140" t="s">
        <v>106</v>
      </c>
      <c r="M1032" s="140" t="s">
        <v>136</v>
      </c>
      <c r="N1032" s="74" t="s">
        <v>35</v>
      </c>
      <c r="O1032" s="74" t="s">
        <v>511</v>
      </c>
      <c r="P1032" s="74" t="s">
        <v>143</v>
      </c>
      <c r="Q1032" s="140" t="s">
        <v>38</v>
      </c>
    </row>
    <row r="1033" spans="9:17" x14ac:dyDescent="0.35">
      <c r="I1033" s="178" t="s">
        <v>450</v>
      </c>
      <c r="J1033" s="178" t="s">
        <v>399</v>
      </c>
      <c r="K1033" s="139">
        <v>3</v>
      </c>
      <c r="L1033" s="140" t="s">
        <v>106</v>
      </c>
      <c r="M1033" s="140" t="s">
        <v>136</v>
      </c>
      <c r="N1033" s="74" t="s">
        <v>46</v>
      </c>
      <c r="O1033" s="74" t="s">
        <v>40</v>
      </c>
      <c r="P1033" s="74" t="s">
        <v>369</v>
      </c>
      <c r="Q1033" s="140" t="s">
        <v>38</v>
      </c>
    </row>
    <row r="1034" spans="9:17" x14ac:dyDescent="0.35">
      <c r="I1034" s="178" t="s">
        <v>450</v>
      </c>
      <c r="J1034" s="183" t="s">
        <v>89</v>
      </c>
      <c r="K1034" s="81">
        <v>3</v>
      </c>
      <c r="L1034" s="85" t="s">
        <v>33</v>
      </c>
      <c r="M1034" s="85" t="s">
        <v>90</v>
      </c>
      <c r="N1034" s="74" t="s">
        <v>48</v>
      </c>
      <c r="O1034" s="74" t="s">
        <v>91</v>
      </c>
      <c r="P1034" s="74" t="s">
        <v>163</v>
      </c>
      <c r="Q1034" s="85" t="s">
        <v>93</v>
      </c>
    </row>
    <row r="1035" spans="9:17" ht="14.5" customHeight="1" x14ac:dyDescent="0.35">
      <c r="I1035" s="178" t="s">
        <v>451</v>
      </c>
      <c r="J1035" s="178" t="s">
        <v>32</v>
      </c>
      <c r="K1035" s="139">
        <v>1.5</v>
      </c>
      <c r="L1035" s="85" t="s">
        <v>33</v>
      </c>
      <c r="M1035" s="140" t="s">
        <v>34</v>
      </c>
      <c r="N1035" s="74" t="s">
        <v>35</v>
      </c>
      <c r="O1035" s="74" t="s">
        <v>511</v>
      </c>
      <c r="P1035" s="74" t="s">
        <v>37</v>
      </c>
      <c r="Q1035" s="140" t="s">
        <v>38</v>
      </c>
    </row>
    <row r="1036" spans="9:17" x14ac:dyDescent="0.35">
      <c r="I1036" s="178" t="s">
        <v>451</v>
      </c>
      <c r="J1036" s="178" t="s">
        <v>32</v>
      </c>
      <c r="K1036" s="139">
        <v>1.5</v>
      </c>
      <c r="L1036" s="85" t="s">
        <v>33</v>
      </c>
      <c r="M1036" s="140" t="s">
        <v>34</v>
      </c>
      <c r="N1036" s="74" t="s">
        <v>39</v>
      </c>
      <c r="O1036" s="74" t="s">
        <v>40</v>
      </c>
      <c r="P1036" s="74" t="s">
        <v>41</v>
      </c>
      <c r="Q1036" s="140" t="s">
        <v>38</v>
      </c>
    </row>
    <row r="1037" spans="9:17" x14ac:dyDescent="0.35">
      <c r="I1037" s="178" t="s">
        <v>451</v>
      </c>
      <c r="J1037" s="178" t="s">
        <v>32</v>
      </c>
      <c r="K1037" s="139">
        <v>1.5</v>
      </c>
      <c r="L1037" s="140" t="s">
        <v>33</v>
      </c>
      <c r="M1037" s="140" t="s">
        <v>42</v>
      </c>
      <c r="N1037" s="74" t="s">
        <v>35</v>
      </c>
      <c r="O1037" s="74" t="s">
        <v>91</v>
      </c>
      <c r="P1037" s="74" t="s">
        <v>77</v>
      </c>
      <c r="Q1037" s="140" t="s">
        <v>38</v>
      </c>
    </row>
    <row r="1038" spans="9:17" x14ac:dyDescent="0.35">
      <c r="I1038" s="178" t="s">
        <v>451</v>
      </c>
      <c r="J1038" s="178" t="s">
        <v>32</v>
      </c>
      <c r="K1038" s="139">
        <v>1.5</v>
      </c>
      <c r="L1038" s="140" t="s">
        <v>33</v>
      </c>
      <c r="M1038" s="140" t="s">
        <v>42</v>
      </c>
      <c r="N1038" s="74" t="s">
        <v>39</v>
      </c>
      <c r="O1038" s="74" t="s">
        <v>44</v>
      </c>
      <c r="P1038" s="74" t="s">
        <v>43</v>
      </c>
      <c r="Q1038" s="140" t="s">
        <v>38</v>
      </c>
    </row>
    <row r="1039" spans="9:17" x14ac:dyDescent="0.35">
      <c r="I1039" s="178" t="s">
        <v>451</v>
      </c>
      <c r="J1039" s="178" t="s">
        <v>32</v>
      </c>
      <c r="K1039" s="139">
        <v>1.5</v>
      </c>
      <c r="L1039" s="140" t="s">
        <v>33</v>
      </c>
      <c r="M1039" s="140" t="s">
        <v>45</v>
      </c>
      <c r="N1039" s="74" t="s">
        <v>46</v>
      </c>
      <c r="O1039" s="74" t="s">
        <v>40</v>
      </c>
      <c r="P1039" s="74" t="s">
        <v>47</v>
      </c>
      <c r="Q1039" s="140" t="s">
        <v>38</v>
      </c>
    </row>
    <row r="1040" spans="9:17" x14ac:dyDescent="0.35">
      <c r="I1040" s="178" t="s">
        <v>451</v>
      </c>
      <c r="J1040" s="178" t="s">
        <v>32</v>
      </c>
      <c r="K1040" s="139">
        <v>1.5</v>
      </c>
      <c r="L1040" s="140" t="s">
        <v>33</v>
      </c>
      <c r="M1040" s="140" t="s">
        <v>45</v>
      </c>
      <c r="N1040" s="74" t="s">
        <v>48</v>
      </c>
      <c r="O1040" s="74" t="s">
        <v>40</v>
      </c>
      <c r="P1040" s="74" t="s">
        <v>47</v>
      </c>
      <c r="Q1040" s="140" t="s">
        <v>38</v>
      </c>
    </row>
    <row r="1041" spans="9:17" x14ac:dyDescent="0.35">
      <c r="I1041" s="178" t="s">
        <v>451</v>
      </c>
      <c r="J1041" s="178" t="s">
        <v>32</v>
      </c>
      <c r="K1041" s="139">
        <v>1.5</v>
      </c>
      <c r="L1041" s="140" t="s">
        <v>33</v>
      </c>
      <c r="M1041" s="140" t="s">
        <v>49</v>
      </c>
      <c r="N1041" s="74" t="s">
        <v>46</v>
      </c>
      <c r="O1041" s="74" t="s">
        <v>44</v>
      </c>
      <c r="P1041" s="74" t="s">
        <v>43</v>
      </c>
      <c r="Q1041" s="140" t="s">
        <v>38</v>
      </c>
    </row>
    <row r="1042" spans="9:17" x14ac:dyDescent="0.35">
      <c r="I1042" s="178" t="s">
        <v>451</v>
      </c>
      <c r="J1042" s="178" t="s">
        <v>32</v>
      </c>
      <c r="K1042" s="139">
        <v>1.5</v>
      </c>
      <c r="L1042" s="140" t="s">
        <v>33</v>
      </c>
      <c r="M1042" s="140" t="s">
        <v>49</v>
      </c>
      <c r="N1042" s="74" t="s">
        <v>48</v>
      </c>
      <c r="O1042" s="74" t="s">
        <v>44</v>
      </c>
      <c r="P1042" s="74" t="s">
        <v>43</v>
      </c>
      <c r="Q1042" s="140" t="s">
        <v>38</v>
      </c>
    </row>
    <row r="1043" spans="9:17" x14ac:dyDescent="0.35">
      <c r="I1043" s="178" t="s">
        <v>451</v>
      </c>
      <c r="J1043" s="178" t="s">
        <v>318</v>
      </c>
      <c r="K1043" s="139">
        <v>3</v>
      </c>
      <c r="L1043" s="140" t="s">
        <v>33</v>
      </c>
      <c r="M1043" s="140" t="s">
        <v>79</v>
      </c>
      <c r="N1043" s="74" t="s">
        <v>35</v>
      </c>
      <c r="O1043" s="74" t="s">
        <v>511</v>
      </c>
      <c r="P1043" s="74" t="s">
        <v>43</v>
      </c>
      <c r="Q1043" s="140" t="s">
        <v>54</v>
      </c>
    </row>
    <row r="1044" spans="9:17" x14ac:dyDescent="0.35">
      <c r="I1044" s="178" t="s">
        <v>451</v>
      </c>
      <c r="J1044" s="178" t="s">
        <v>318</v>
      </c>
      <c r="K1044" s="139">
        <v>3</v>
      </c>
      <c r="L1044" s="140" t="s">
        <v>33</v>
      </c>
      <c r="M1044" s="140" t="s">
        <v>79</v>
      </c>
      <c r="N1044" s="74" t="s">
        <v>39</v>
      </c>
      <c r="O1044" s="74" t="s">
        <v>511</v>
      </c>
      <c r="P1044" s="74" t="s">
        <v>43</v>
      </c>
      <c r="Q1044" s="140" t="s">
        <v>54</v>
      </c>
    </row>
    <row r="1045" spans="9:17" x14ac:dyDescent="0.35">
      <c r="I1045" s="178" t="s">
        <v>451</v>
      </c>
      <c r="J1045" s="180" t="s">
        <v>58</v>
      </c>
      <c r="K1045" s="144">
        <v>1.5</v>
      </c>
      <c r="L1045" s="143" t="s">
        <v>51</v>
      </c>
      <c r="M1045" s="143" t="s">
        <v>34</v>
      </c>
      <c r="N1045" s="118" t="s">
        <v>39</v>
      </c>
      <c r="O1045" s="118" t="s">
        <v>61</v>
      </c>
      <c r="P1045" s="118" t="s">
        <v>60</v>
      </c>
      <c r="Q1045" s="140" t="s">
        <v>54</v>
      </c>
    </row>
    <row r="1046" spans="9:17" x14ac:dyDescent="0.35">
      <c r="I1046" s="178" t="s">
        <v>451</v>
      </c>
      <c r="J1046" s="180" t="s">
        <v>58</v>
      </c>
      <c r="K1046" s="144">
        <v>1.5</v>
      </c>
      <c r="L1046" s="143" t="s">
        <v>51</v>
      </c>
      <c r="M1046" s="143" t="s">
        <v>34</v>
      </c>
      <c r="N1046" s="118" t="s">
        <v>55</v>
      </c>
      <c r="O1046" s="118" t="s">
        <v>61</v>
      </c>
      <c r="P1046" s="118" t="s">
        <v>60</v>
      </c>
      <c r="Q1046" s="140" t="s">
        <v>54</v>
      </c>
    </row>
    <row r="1047" spans="9:17" x14ac:dyDescent="0.35">
      <c r="I1047" s="178" t="s">
        <v>451</v>
      </c>
      <c r="J1047" s="180" t="s">
        <v>50</v>
      </c>
      <c r="K1047" s="144">
        <v>1.5</v>
      </c>
      <c r="L1047" s="143" t="s">
        <v>51</v>
      </c>
      <c r="M1047" s="143" t="s">
        <v>42</v>
      </c>
      <c r="N1047" s="118" t="s">
        <v>46</v>
      </c>
      <c r="O1047" s="118" t="s">
        <v>123</v>
      </c>
      <c r="P1047" s="118" t="s">
        <v>160</v>
      </c>
      <c r="Q1047" s="140" t="s">
        <v>54</v>
      </c>
    </row>
    <row r="1048" spans="9:17" x14ac:dyDescent="0.35">
      <c r="I1048" s="178" t="s">
        <v>451</v>
      </c>
      <c r="J1048" s="180" t="s">
        <v>50</v>
      </c>
      <c r="K1048" s="144">
        <v>1.5</v>
      </c>
      <c r="L1048" s="143" t="s">
        <v>51</v>
      </c>
      <c r="M1048" s="143" t="s">
        <v>42</v>
      </c>
      <c r="N1048" s="118" t="s">
        <v>48</v>
      </c>
      <c r="O1048" s="118" t="s">
        <v>52</v>
      </c>
      <c r="P1048" s="118" t="s">
        <v>208</v>
      </c>
      <c r="Q1048" s="140" t="s">
        <v>54</v>
      </c>
    </row>
    <row r="1049" spans="9:17" ht="14.5" customHeight="1" x14ac:dyDescent="0.35">
      <c r="I1049" s="178" t="s">
        <v>451</v>
      </c>
      <c r="J1049" s="178" t="s">
        <v>276</v>
      </c>
      <c r="K1049" s="139">
        <v>2</v>
      </c>
      <c r="L1049" s="143" t="s">
        <v>51</v>
      </c>
      <c r="M1049" s="140" t="s">
        <v>34</v>
      </c>
      <c r="N1049" s="74" t="s">
        <v>35</v>
      </c>
      <c r="O1049" s="74" t="s">
        <v>52</v>
      </c>
      <c r="P1049" s="74" t="s">
        <v>124</v>
      </c>
      <c r="Q1049" s="140" t="s">
        <v>38</v>
      </c>
    </row>
    <row r="1050" spans="9:17" ht="28" x14ac:dyDescent="0.35">
      <c r="I1050" s="178" t="s">
        <v>451</v>
      </c>
      <c r="J1050" s="178" t="s">
        <v>276</v>
      </c>
      <c r="K1050" s="139">
        <v>2</v>
      </c>
      <c r="L1050" s="143" t="s">
        <v>51</v>
      </c>
      <c r="M1050" s="140" t="s">
        <v>34</v>
      </c>
      <c r="N1050" s="74" t="s">
        <v>55</v>
      </c>
      <c r="O1050" s="74" t="s">
        <v>123</v>
      </c>
      <c r="P1050" s="74" t="s">
        <v>114</v>
      </c>
      <c r="Q1050" s="140" t="s">
        <v>38</v>
      </c>
    </row>
    <row r="1051" spans="9:17" x14ac:dyDescent="0.35">
      <c r="I1051" s="178" t="s">
        <v>451</v>
      </c>
      <c r="J1051" s="183" t="s">
        <v>89</v>
      </c>
      <c r="K1051" s="81">
        <v>3</v>
      </c>
      <c r="L1051" s="85" t="s">
        <v>33</v>
      </c>
      <c r="M1051" s="85" t="s">
        <v>173</v>
      </c>
      <c r="N1051" s="74" t="s">
        <v>48</v>
      </c>
      <c r="O1051" s="74" t="s">
        <v>91</v>
      </c>
      <c r="P1051" s="74" t="s">
        <v>267</v>
      </c>
      <c r="Q1051" s="85" t="s">
        <v>93</v>
      </c>
    </row>
    <row r="1052" spans="9:17" x14ac:dyDescent="0.35">
      <c r="I1052" s="178" t="s">
        <v>453</v>
      </c>
      <c r="J1052" s="178" t="s">
        <v>201</v>
      </c>
      <c r="K1052" s="139">
        <v>1.5</v>
      </c>
      <c r="L1052" s="140" t="s">
        <v>51</v>
      </c>
      <c r="M1052" s="140" t="s">
        <v>101</v>
      </c>
      <c r="N1052" s="74" t="s">
        <v>35</v>
      </c>
      <c r="O1052" s="74" t="s">
        <v>511</v>
      </c>
      <c r="P1052" s="74" t="s">
        <v>538</v>
      </c>
      <c r="Q1052" s="140" t="s">
        <v>38</v>
      </c>
    </row>
    <row r="1053" spans="9:17" x14ac:dyDescent="0.35">
      <c r="I1053" s="178" t="s">
        <v>453</v>
      </c>
      <c r="J1053" s="178" t="s">
        <v>201</v>
      </c>
      <c r="K1053" s="139">
        <v>1.5</v>
      </c>
      <c r="L1053" s="140" t="s">
        <v>51</v>
      </c>
      <c r="M1053" s="140" t="s">
        <v>101</v>
      </c>
      <c r="N1053" s="74" t="s">
        <v>55</v>
      </c>
      <c r="O1053" s="74" t="s">
        <v>44</v>
      </c>
      <c r="P1053" s="74" t="s">
        <v>221</v>
      </c>
      <c r="Q1053" s="140" t="s">
        <v>38</v>
      </c>
    </row>
    <row r="1054" spans="9:17" x14ac:dyDescent="0.35">
      <c r="I1054" s="178" t="s">
        <v>453</v>
      </c>
      <c r="J1054" s="178" t="s">
        <v>32</v>
      </c>
      <c r="K1054" s="139">
        <v>3</v>
      </c>
      <c r="L1054" s="140" t="s">
        <v>75</v>
      </c>
      <c r="M1054" s="140" t="s">
        <v>289</v>
      </c>
      <c r="N1054" s="74" t="s">
        <v>46</v>
      </c>
      <c r="O1054" s="74" t="s">
        <v>40</v>
      </c>
      <c r="P1054" s="74" t="s">
        <v>169</v>
      </c>
      <c r="Q1054" s="140" t="s">
        <v>38</v>
      </c>
    </row>
    <row r="1055" spans="9:17" x14ac:dyDescent="0.35">
      <c r="I1055" s="178" t="s">
        <v>453</v>
      </c>
      <c r="J1055" s="178" t="s">
        <v>32</v>
      </c>
      <c r="K1055" s="139">
        <v>3</v>
      </c>
      <c r="L1055" s="140" t="s">
        <v>75</v>
      </c>
      <c r="M1055" s="140" t="s">
        <v>289</v>
      </c>
      <c r="N1055" s="74" t="s">
        <v>48</v>
      </c>
      <c r="O1055" s="74" t="s">
        <v>511</v>
      </c>
      <c r="P1055" s="74" t="s">
        <v>126</v>
      </c>
      <c r="Q1055" s="140" t="s">
        <v>38</v>
      </c>
    </row>
    <row r="1056" spans="9:17" x14ac:dyDescent="0.35">
      <c r="I1056" s="178" t="s">
        <v>453</v>
      </c>
      <c r="J1056" s="178" t="s">
        <v>32</v>
      </c>
      <c r="K1056" s="139">
        <v>3</v>
      </c>
      <c r="L1056" s="140" t="s">
        <v>75</v>
      </c>
      <c r="M1056" s="140" t="s">
        <v>272</v>
      </c>
      <c r="N1056" s="74" t="s">
        <v>46</v>
      </c>
      <c r="O1056" s="74" t="s">
        <v>511</v>
      </c>
      <c r="P1056" s="74" t="s">
        <v>150</v>
      </c>
      <c r="Q1056" s="140" t="s">
        <v>54</v>
      </c>
    </row>
    <row r="1057" spans="9:17" x14ac:dyDescent="0.35">
      <c r="I1057" s="178" t="s">
        <v>453</v>
      </c>
      <c r="J1057" s="178" t="s">
        <v>32</v>
      </c>
      <c r="K1057" s="139">
        <v>3</v>
      </c>
      <c r="L1057" s="140" t="s">
        <v>75</v>
      </c>
      <c r="M1057" s="140" t="s">
        <v>272</v>
      </c>
      <c r="N1057" s="74" t="s">
        <v>55</v>
      </c>
      <c r="O1057" s="74" t="s">
        <v>511</v>
      </c>
      <c r="P1057" s="74" t="s">
        <v>78</v>
      </c>
      <c r="Q1057" s="140" t="s">
        <v>54</v>
      </c>
    </row>
    <row r="1058" spans="9:17" x14ac:dyDescent="0.35">
      <c r="I1058" s="178" t="s">
        <v>453</v>
      </c>
      <c r="J1058" s="178" t="s">
        <v>58</v>
      </c>
      <c r="K1058" s="139">
        <v>1.5</v>
      </c>
      <c r="L1058" s="140" t="s">
        <v>454</v>
      </c>
      <c r="M1058" s="140" t="s">
        <v>34</v>
      </c>
      <c r="N1058" s="74" t="s">
        <v>46</v>
      </c>
      <c r="O1058" s="74" t="s">
        <v>131</v>
      </c>
      <c r="P1058" s="74" t="s">
        <v>60</v>
      </c>
      <c r="Q1058" s="140" t="s">
        <v>38</v>
      </c>
    </row>
    <row r="1059" spans="9:17" x14ac:dyDescent="0.35">
      <c r="I1059" s="178" t="s">
        <v>453</v>
      </c>
      <c r="J1059" s="178" t="s">
        <v>58</v>
      </c>
      <c r="K1059" s="139">
        <v>1.5</v>
      </c>
      <c r="L1059" s="140" t="s">
        <v>454</v>
      </c>
      <c r="M1059" s="140" t="s">
        <v>34</v>
      </c>
      <c r="N1059" s="74" t="s">
        <v>48</v>
      </c>
      <c r="O1059" s="74" t="s">
        <v>56</v>
      </c>
      <c r="P1059" s="74" t="s">
        <v>60</v>
      </c>
      <c r="Q1059" s="140" t="s">
        <v>38</v>
      </c>
    </row>
    <row r="1060" spans="9:17" x14ac:dyDescent="0.35">
      <c r="I1060" s="178" t="s">
        <v>453</v>
      </c>
      <c r="J1060" s="178" t="s">
        <v>50</v>
      </c>
      <c r="K1060" s="139">
        <v>1.5</v>
      </c>
      <c r="L1060" s="140" t="s">
        <v>375</v>
      </c>
      <c r="M1060" s="140" t="s">
        <v>34</v>
      </c>
      <c r="N1060" s="74" t="s">
        <v>39</v>
      </c>
      <c r="O1060" s="74" t="s">
        <v>511</v>
      </c>
      <c r="P1060" s="74" t="s">
        <v>338</v>
      </c>
      <c r="Q1060" s="140" t="s">
        <v>54</v>
      </c>
    </row>
    <row r="1061" spans="9:17" x14ac:dyDescent="0.35">
      <c r="I1061" s="178" t="s">
        <v>453</v>
      </c>
      <c r="J1061" s="178" t="s">
        <v>50</v>
      </c>
      <c r="K1061" s="139">
        <v>1.5</v>
      </c>
      <c r="L1061" s="140" t="s">
        <v>375</v>
      </c>
      <c r="M1061" s="140" t="s">
        <v>34</v>
      </c>
      <c r="N1061" s="67" t="s">
        <v>55</v>
      </c>
      <c r="O1061" s="84" t="s">
        <v>44</v>
      </c>
      <c r="P1061" s="84" t="s">
        <v>296</v>
      </c>
      <c r="Q1061" s="140" t="s">
        <v>54</v>
      </c>
    </row>
    <row r="1062" spans="9:17" x14ac:dyDescent="0.35">
      <c r="I1062" s="178" t="s">
        <v>453</v>
      </c>
      <c r="J1062" s="178" t="s">
        <v>50</v>
      </c>
      <c r="K1062" s="139">
        <v>1.5</v>
      </c>
      <c r="L1062" s="141" t="s">
        <v>33</v>
      </c>
      <c r="M1062" s="141" t="s">
        <v>34</v>
      </c>
      <c r="N1062" s="85" t="s">
        <v>39</v>
      </c>
      <c r="O1062" s="85" t="s">
        <v>56</v>
      </c>
      <c r="P1062" s="85" t="s">
        <v>77</v>
      </c>
      <c r="Q1062" s="140" t="s">
        <v>54</v>
      </c>
    </row>
    <row r="1063" spans="9:17" x14ac:dyDescent="0.35">
      <c r="I1063" s="178" t="s">
        <v>453</v>
      </c>
      <c r="J1063" s="178" t="s">
        <v>50</v>
      </c>
      <c r="K1063" s="139">
        <v>1.5</v>
      </c>
      <c r="L1063" s="141" t="s">
        <v>33</v>
      </c>
      <c r="M1063" s="141" t="s">
        <v>34</v>
      </c>
      <c r="N1063" s="74" t="s">
        <v>55</v>
      </c>
      <c r="O1063" s="74" t="s">
        <v>123</v>
      </c>
      <c r="P1063" s="74" t="s">
        <v>77</v>
      </c>
      <c r="Q1063" s="140" t="s">
        <v>54</v>
      </c>
    </row>
    <row r="1064" spans="9:17" x14ac:dyDescent="0.35">
      <c r="I1064" s="178" t="s">
        <v>453</v>
      </c>
      <c r="J1064" s="179" t="s">
        <v>58</v>
      </c>
      <c r="K1064" s="139">
        <v>1.5</v>
      </c>
      <c r="L1064" s="141" t="s">
        <v>33</v>
      </c>
      <c r="M1064" s="141" t="s">
        <v>42</v>
      </c>
      <c r="N1064" s="74" t="s">
        <v>35</v>
      </c>
      <c r="O1064" s="74" t="s">
        <v>61</v>
      </c>
      <c r="P1064" s="74" t="s">
        <v>60</v>
      </c>
      <c r="Q1064" s="141" t="s">
        <v>54</v>
      </c>
    </row>
    <row r="1065" spans="9:17" x14ac:dyDescent="0.35">
      <c r="I1065" s="178" t="s">
        <v>453</v>
      </c>
      <c r="J1065" s="179" t="s">
        <v>58</v>
      </c>
      <c r="K1065" s="139">
        <v>1.5</v>
      </c>
      <c r="L1065" s="141" t="s">
        <v>33</v>
      </c>
      <c r="M1065" s="141" t="s">
        <v>42</v>
      </c>
      <c r="N1065" s="74" t="s">
        <v>48</v>
      </c>
      <c r="O1065" s="74" t="s">
        <v>61</v>
      </c>
      <c r="P1065" s="74" t="s">
        <v>60</v>
      </c>
      <c r="Q1065" s="141" t="s">
        <v>54</v>
      </c>
    </row>
    <row r="1066" spans="9:17" x14ac:dyDescent="0.35">
      <c r="I1066" s="178" t="s">
        <v>455</v>
      </c>
      <c r="J1066" s="178" t="s">
        <v>374</v>
      </c>
      <c r="K1066" s="139">
        <v>2</v>
      </c>
      <c r="L1066" s="140" t="s">
        <v>75</v>
      </c>
      <c r="M1066" s="140" t="s">
        <v>177</v>
      </c>
      <c r="N1066" s="74" t="s">
        <v>35</v>
      </c>
      <c r="O1066" s="74" t="s">
        <v>56</v>
      </c>
      <c r="P1066" s="74" t="s">
        <v>126</v>
      </c>
      <c r="Q1066" s="140" t="s">
        <v>54</v>
      </c>
    </row>
    <row r="1067" spans="9:17" x14ac:dyDescent="0.35">
      <c r="I1067" s="178" t="s">
        <v>455</v>
      </c>
      <c r="J1067" s="178" t="s">
        <v>374</v>
      </c>
      <c r="K1067" s="139">
        <v>2</v>
      </c>
      <c r="L1067" s="140" t="s">
        <v>75</v>
      </c>
      <c r="M1067" s="140" t="s">
        <v>177</v>
      </c>
      <c r="N1067" s="74" t="s">
        <v>48</v>
      </c>
      <c r="O1067" s="74" t="s">
        <v>52</v>
      </c>
      <c r="P1067" s="74" t="s">
        <v>150</v>
      </c>
      <c r="Q1067" s="140" t="s">
        <v>54</v>
      </c>
    </row>
    <row r="1068" spans="9:17" x14ac:dyDescent="0.35">
      <c r="I1068" s="178" t="s">
        <v>455</v>
      </c>
      <c r="J1068" s="178" t="s">
        <v>353</v>
      </c>
      <c r="K1068" s="139">
        <v>3</v>
      </c>
      <c r="L1068" s="140" t="s">
        <v>51</v>
      </c>
      <c r="M1068" s="140" t="s">
        <v>136</v>
      </c>
      <c r="N1068" s="74" t="s">
        <v>35</v>
      </c>
      <c r="O1068" s="74" t="s">
        <v>40</v>
      </c>
      <c r="P1068" s="74" t="s">
        <v>132</v>
      </c>
      <c r="Q1068" s="140" t="s">
        <v>38</v>
      </c>
    </row>
    <row r="1069" spans="9:17" x14ac:dyDescent="0.35">
      <c r="I1069" s="178" t="s">
        <v>455</v>
      </c>
      <c r="J1069" s="178" t="s">
        <v>353</v>
      </c>
      <c r="K1069" s="139">
        <v>3</v>
      </c>
      <c r="L1069" s="140" t="s">
        <v>51</v>
      </c>
      <c r="M1069" s="140" t="s">
        <v>136</v>
      </c>
      <c r="N1069" s="74" t="s">
        <v>55</v>
      </c>
      <c r="O1069" s="74" t="s">
        <v>44</v>
      </c>
      <c r="P1069" s="74" t="s">
        <v>196</v>
      </c>
      <c r="Q1069" s="140" t="s">
        <v>38</v>
      </c>
    </row>
    <row r="1070" spans="9:17" ht="14.5" customHeight="1" x14ac:dyDescent="0.35">
      <c r="I1070" s="181" t="s">
        <v>456</v>
      </c>
      <c r="J1070" s="178" t="s">
        <v>32</v>
      </c>
      <c r="K1070" s="139">
        <v>1.5</v>
      </c>
      <c r="L1070" s="140" t="s">
        <v>158</v>
      </c>
      <c r="M1070" s="140" t="s">
        <v>34</v>
      </c>
      <c r="N1070" s="74" t="s">
        <v>46</v>
      </c>
      <c r="O1070" s="74" t="s">
        <v>511</v>
      </c>
      <c r="P1070" s="74" t="s">
        <v>159</v>
      </c>
      <c r="Q1070" s="140" t="s">
        <v>38</v>
      </c>
    </row>
    <row r="1071" spans="9:17" x14ac:dyDescent="0.35">
      <c r="I1071" s="181" t="s">
        <v>456</v>
      </c>
      <c r="J1071" s="178" t="s">
        <v>32</v>
      </c>
      <c r="K1071" s="139">
        <v>1.5</v>
      </c>
      <c r="L1071" s="140" t="s">
        <v>158</v>
      </c>
      <c r="M1071" s="140" t="s">
        <v>34</v>
      </c>
      <c r="N1071" s="74" t="s">
        <v>55</v>
      </c>
      <c r="O1071" s="74" t="s">
        <v>511</v>
      </c>
      <c r="P1071" s="74" t="s">
        <v>124</v>
      </c>
      <c r="Q1071" s="140" t="s">
        <v>38</v>
      </c>
    </row>
    <row r="1072" spans="9:17" x14ac:dyDescent="0.35">
      <c r="I1072" s="181" t="s">
        <v>456</v>
      </c>
      <c r="J1072" s="178" t="s">
        <v>32</v>
      </c>
      <c r="K1072" s="139">
        <v>1.5</v>
      </c>
      <c r="L1072" s="140" t="s">
        <v>75</v>
      </c>
      <c r="M1072" s="140" t="s">
        <v>34</v>
      </c>
      <c r="N1072" s="74" t="s">
        <v>35</v>
      </c>
      <c r="O1072" s="74" t="s">
        <v>44</v>
      </c>
      <c r="P1072" s="74" t="s">
        <v>126</v>
      </c>
      <c r="Q1072" s="140" t="s">
        <v>38</v>
      </c>
    </row>
    <row r="1073" spans="9:17" x14ac:dyDescent="0.35">
      <c r="I1073" s="181" t="s">
        <v>456</v>
      </c>
      <c r="J1073" s="178" t="s">
        <v>32</v>
      </c>
      <c r="K1073" s="139">
        <v>1.5</v>
      </c>
      <c r="L1073" s="140" t="s">
        <v>75</v>
      </c>
      <c r="M1073" s="140" t="s">
        <v>34</v>
      </c>
      <c r="N1073" s="74" t="s">
        <v>48</v>
      </c>
      <c r="O1073" s="74" t="s">
        <v>511</v>
      </c>
      <c r="P1073" s="74" t="s">
        <v>373</v>
      </c>
      <c r="Q1073" s="140" t="s">
        <v>38</v>
      </c>
    </row>
    <row r="1074" spans="9:17" x14ac:dyDescent="0.35">
      <c r="I1074" s="181" t="s">
        <v>456</v>
      </c>
      <c r="J1074" s="178" t="s">
        <v>32</v>
      </c>
      <c r="K1074" s="139">
        <v>1.5</v>
      </c>
      <c r="L1074" s="140" t="s">
        <v>75</v>
      </c>
      <c r="M1074" s="140" t="s">
        <v>42</v>
      </c>
      <c r="N1074" s="74" t="s">
        <v>46</v>
      </c>
      <c r="O1074" s="74" t="s">
        <v>40</v>
      </c>
      <c r="P1074" s="74" t="s">
        <v>150</v>
      </c>
      <c r="Q1074" s="140" t="s">
        <v>38</v>
      </c>
    </row>
    <row r="1075" spans="9:17" x14ac:dyDescent="0.35">
      <c r="I1075" s="181" t="s">
        <v>456</v>
      </c>
      <c r="J1075" s="178" t="s">
        <v>32</v>
      </c>
      <c r="K1075" s="139">
        <v>1.5</v>
      </c>
      <c r="L1075" s="140" t="s">
        <v>75</v>
      </c>
      <c r="M1075" s="140" t="s">
        <v>42</v>
      </c>
      <c r="N1075" s="74" t="s">
        <v>48</v>
      </c>
      <c r="O1075" s="74" t="s">
        <v>40</v>
      </c>
      <c r="P1075" s="74" t="s">
        <v>133</v>
      </c>
      <c r="Q1075" s="140" t="s">
        <v>38</v>
      </c>
    </row>
    <row r="1076" spans="9:17" x14ac:dyDescent="0.35">
      <c r="I1076" s="181" t="s">
        <v>456</v>
      </c>
      <c r="J1076" s="178" t="s">
        <v>32</v>
      </c>
      <c r="K1076" s="139">
        <v>1.5</v>
      </c>
      <c r="L1076" s="140" t="s">
        <v>75</v>
      </c>
      <c r="M1076" s="140" t="s">
        <v>45</v>
      </c>
      <c r="N1076" s="74" t="s">
        <v>46</v>
      </c>
      <c r="O1076" s="74" t="s">
        <v>44</v>
      </c>
      <c r="P1076" s="74" t="s">
        <v>65</v>
      </c>
      <c r="Q1076" s="140" t="s">
        <v>38</v>
      </c>
    </row>
    <row r="1077" spans="9:17" x14ac:dyDescent="0.35">
      <c r="I1077" s="181" t="s">
        <v>456</v>
      </c>
      <c r="J1077" s="178" t="s">
        <v>32</v>
      </c>
      <c r="K1077" s="139">
        <v>1.5</v>
      </c>
      <c r="L1077" s="140" t="s">
        <v>75</v>
      </c>
      <c r="M1077" s="140" t="s">
        <v>45</v>
      </c>
      <c r="N1077" s="74" t="s">
        <v>55</v>
      </c>
      <c r="O1077" s="74" t="s">
        <v>44</v>
      </c>
      <c r="P1077" s="74" t="s">
        <v>159</v>
      </c>
      <c r="Q1077" s="140" t="s">
        <v>38</v>
      </c>
    </row>
    <row r="1078" spans="9:17" ht="14.5" customHeight="1" x14ac:dyDescent="0.35">
      <c r="I1078" s="181" t="s">
        <v>456</v>
      </c>
      <c r="J1078" s="178" t="s">
        <v>536</v>
      </c>
      <c r="K1078" s="139">
        <v>1.5</v>
      </c>
      <c r="L1078" s="140" t="s">
        <v>68</v>
      </c>
      <c r="M1078" s="140" t="s">
        <v>34</v>
      </c>
      <c r="N1078" s="74" t="s">
        <v>35</v>
      </c>
      <c r="O1078" s="74" t="s">
        <v>511</v>
      </c>
      <c r="P1078" s="74" t="s">
        <v>53</v>
      </c>
      <c r="Q1078" s="140" t="s">
        <v>54</v>
      </c>
    </row>
    <row r="1079" spans="9:17" ht="42" x14ac:dyDescent="0.35">
      <c r="I1079" s="181" t="s">
        <v>456</v>
      </c>
      <c r="J1079" s="178" t="s">
        <v>536</v>
      </c>
      <c r="K1079" s="139">
        <v>1.5</v>
      </c>
      <c r="L1079" s="140" t="s">
        <v>68</v>
      </c>
      <c r="M1079" s="140" t="s">
        <v>34</v>
      </c>
      <c r="N1079" s="74" t="s">
        <v>48</v>
      </c>
      <c r="O1079" s="74" t="s">
        <v>511</v>
      </c>
      <c r="P1079" s="74" t="s">
        <v>53</v>
      </c>
      <c r="Q1079" s="140" t="s">
        <v>54</v>
      </c>
    </row>
    <row r="1080" spans="9:17" ht="14.5" customHeight="1" x14ac:dyDescent="0.35">
      <c r="I1080" s="181" t="s">
        <v>457</v>
      </c>
      <c r="J1080" s="178" t="s">
        <v>148</v>
      </c>
      <c r="K1080" s="139">
        <v>3</v>
      </c>
      <c r="L1080" s="140" t="s">
        <v>75</v>
      </c>
      <c r="M1080" s="140" t="s">
        <v>104</v>
      </c>
      <c r="N1080" s="74" t="s">
        <v>35</v>
      </c>
      <c r="O1080" s="74" t="s">
        <v>40</v>
      </c>
      <c r="P1080" s="74" t="s">
        <v>71</v>
      </c>
      <c r="Q1080" s="140" t="s">
        <v>38</v>
      </c>
    </row>
    <row r="1081" spans="9:17" ht="28" x14ac:dyDescent="0.35">
      <c r="I1081" s="181" t="s">
        <v>457</v>
      </c>
      <c r="J1081" s="178" t="s">
        <v>148</v>
      </c>
      <c r="K1081" s="139">
        <v>3</v>
      </c>
      <c r="L1081" s="140" t="s">
        <v>75</v>
      </c>
      <c r="M1081" s="140" t="s">
        <v>104</v>
      </c>
      <c r="N1081" s="74" t="s">
        <v>55</v>
      </c>
      <c r="O1081" s="74" t="s">
        <v>511</v>
      </c>
      <c r="P1081" s="74" t="s">
        <v>174</v>
      </c>
      <c r="Q1081" s="140" t="s">
        <v>38</v>
      </c>
    </row>
    <row r="1082" spans="9:17" ht="14.5" customHeight="1" x14ac:dyDescent="0.35">
      <c r="I1082" s="181" t="s">
        <v>457</v>
      </c>
      <c r="J1082" s="178" t="s">
        <v>168</v>
      </c>
      <c r="K1082" s="139">
        <v>3</v>
      </c>
      <c r="L1082" s="140" t="s">
        <v>158</v>
      </c>
      <c r="M1082" s="140" t="s">
        <v>136</v>
      </c>
      <c r="N1082" s="74" t="s">
        <v>35</v>
      </c>
      <c r="O1082" s="74" t="s">
        <v>44</v>
      </c>
      <c r="P1082" s="74" t="s">
        <v>133</v>
      </c>
      <c r="Q1082" s="140" t="s">
        <v>54</v>
      </c>
    </row>
    <row r="1083" spans="9:17" ht="42" x14ac:dyDescent="0.35">
      <c r="I1083" s="181" t="s">
        <v>457</v>
      </c>
      <c r="J1083" s="178" t="s">
        <v>168</v>
      </c>
      <c r="K1083" s="139">
        <v>3</v>
      </c>
      <c r="L1083" s="140" t="s">
        <v>158</v>
      </c>
      <c r="M1083" s="140" t="s">
        <v>136</v>
      </c>
      <c r="N1083" s="74" t="s">
        <v>48</v>
      </c>
      <c r="O1083" s="74" t="s">
        <v>91</v>
      </c>
      <c r="P1083" s="74" t="s">
        <v>133</v>
      </c>
      <c r="Q1083" s="140" t="s">
        <v>54</v>
      </c>
    </row>
    <row r="1084" spans="9:17" ht="14.5" customHeight="1" x14ac:dyDescent="0.35">
      <c r="I1084" s="181" t="s">
        <v>457</v>
      </c>
      <c r="J1084" s="178" t="s">
        <v>168</v>
      </c>
      <c r="K1084" s="139">
        <v>3</v>
      </c>
      <c r="L1084" s="140" t="s">
        <v>75</v>
      </c>
      <c r="M1084" s="140" t="s">
        <v>97</v>
      </c>
      <c r="N1084" s="74" t="s">
        <v>35</v>
      </c>
      <c r="O1084" s="74" t="s">
        <v>40</v>
      </c>
      <c r="P1084" s="74" t="s">
        <v>57</v>
      </c>
      <c r="Q1084" s="140" t="s">
        <v>54</v>
      </c>
    </row>
    <row r="1085" spans="9:17" ht="42" x14ac:dyDescent="0.35">
      <c r="I1085" s="181" t="s">
        <v>457</v>
      </c>
      <c r="J1085" s="178" t="s">
        <v>168</v>
      </c>
      <c r="K1085" s="139">
        <v>3</v>
      </c>
      <c r="L1085" s="140" t="s">
        <v>75</v>
      </c>
      <c r="M1085" s="140" t="s">
        <v>97</v>
      </c>
      <c r="N1085" s="74" t="s">
        <v>55</v>
      </c>
      <c r="O1085" s="74" t="s">
        <v>66</v>
      </c>
      <c r="P1085" s="74" t="s">
        <v>174</v>
      </c>
      <c r="Q1085" s="140" t="s">
        <v>54</v>
      </c>
    </row>
    <row r="1086" spans="9:17" x14ac:dyDescent="0.35">
      <c r="I1086" s="181" t="s">
        <v>457</v>
      </c>
      <c r="J1086" s="178" t="s">
        <v>122</v>
      </c>
      <c r="K1086" s="139">
        <v>2</v>
      </c>
      <c r="L1086" s="140" t="s">
        <v>75</v>
      </c>
      <c r="M1086" s="140" t="s">
        <v>49</v>
      </c>
      <c r="N1086" s="74" t="s">
        <v>46</v>
      </c>
      <c r="O1086" s="74" t="s">
        <v>56</v>
      </c>
      <c r="P1086" s="74" t="s">
        <v>124</v>
      </c>
      <c r="Q1086" s="140" t="s">
        <v>54</v>
      </c>
    </row>
    <row r="1087" spans="9:17" x14ac:dyDescent="0.35">
      <c r="I1087" s="181" t="s">
        <v>457</v>
      </c>
      <c r="J1087" s="178" t="s">
        <v>122</v>
      </c>
      <c r="K1087" s="139">
        <v>2</v>
      </c>
      <c r="L1087" s="140" t="s">
        <v>75</v>
      </c>
      <c r="M1087" s="140" t="s">
        <v>49</v>
      </c>
      <c r="N1087" s="74" t="s">
        <v>55</v>
      </c>
      <c r="O1087" s="74" t="s">
        <v>123</v>
      </c>
      <c r="P1087" s="74" t="s">
        <v>159</v>
      </c>
      <c r="Q1087" s="140" t="s">
        <v>54</v>
      </c>
    </row>
    <row r="1088" spans="9:17" x14ac:dyDescent="0.35">
      <c r="I1088" s="181" t="s">
        <v>457</v>
      </c>
      <c r="J1088" s="178" t="s">
        <v>122</v>
      </c>
      <c r="K1088" s="139">
        <v>2</v>
      </c>
      <c r="L1088" s="140" t="s">
        <v>106</v>
      </c>
      <c r="M1088" s="140" t="s">
        <v>45</v>
      </c>
      <c r="N1088" s="74" t="s">
        <v>46</v>
      </c>
      <c r="O1088" s="74" t="s">
        <v>56</v>
      </c>
      <c r="P1088" s="74" t="s">
        <v>107</v>
      </c>
      <c r="Q1088" s="140" t="s">
        <v>38</v>
      </c>
    </row>
    <row r="1089" spans="9:17" x14ac:dyDescent="0.35">
      <c r="I1089" s="181" t="s">
        <v>457</v>
      </c>
      <c r="J1089" s="178" t="s">
        <v>122</v>
      </c>
      <c r="K1089" s="139">
        <v>2</v>
      </c>
      <c r="L1089" s="140" t="s">
        <v>106</v>
      </c>
      <c r="M1089" s="140" t="s">
        <v>45</v>
      </c>
      <c r="N1089" s="74" t="s">
        <v>48</v>
      </c>
      <c r="O1089" s="74" t="s">
        <v>131</v>
      </c>
      <c r="P1089" s="74" t="s">
        <v>197</v>
      </c>
      <c r="Q1089" s="140" t="s">
        <v>38</v>
      </c>
    </row>
    <row r="1090" spans="9:17" x14ac:dyDescent="0.35">
      <c r="I1090" s="181" t="s">
        <v>457</v>
      </c>
      <c r="J1090" s="183" t="s">
        <v>191</v>
      </c>
      <c r="K1090" s="81">
        <v>3</v>
      </c>
      <c r="L1090" s="74" t="s">
        <v>75</v>
      </c>
      <c r="M1090" s="84" t="s">
        <v>458</v>
      </c>
      <c r="N1090" s="74" t="s">
        <v>55</v>
      </c>
      <c r="O1090" s="74" t="s">
        <v>82</v>
      </c>
      <c r="P1090" s="74" t="s">
        <v>459</v>
      </c>
      <c r="Q1090" s="84" t="s">
        <v>93</v>
      </c>
    </row>
    <row r="1091" spans="9:17" ht="14.5" customHeight="1" x14ac:dyDescent="0.35">
      <c r="I1091" s="178" t="s">
        <v>460</v>
      </c>
      <c r="J1091" s="180" t="s">
        <v>50</v>
      </c>
      <c r="K1091" s="144">
        <v>1.5</v>
      </c>
      <c r="L1091" s="143" t="s">
        <v>51</v>
      </c>
      <c r="M1091" s="143" t="s">
        <v>45</v>
      </c>
      <c r="N1091" s="118" t="s">
        <v>46</v>
      </c>
      <c r="O1091" s="118" t="s">
        <v>52</v>
      </c>
      <c r="P1091" s="118" t="s">
        <v>124</v>
      </c>
      <c r="Q1091" s="143" t="s">
        <v>38</v>
      </c>
    </row>
    <row r="1092" spans="9:17" x14ac:dyDescent="0.35">
      <c r="I1092" s="178" t="s">
        <v>460</v>
      </c>
      <c r="J1092" s="180" t="s">
        <v>50</v>
      </c>
      <c r="K1092" s="144">
        <v>1.5</v>
      </c>
      <c r="L1092" s="143" t="s">
        <v>51</v>
      </c>
      <c r="M1092" s="143" t="s">
        <v>45</v>
      </c>
      <c r="N1092" s="118" t="s">
        <v>48</v>
      </c>
      <c r="O1092" s="118" t="s">
        <v>52</v>
      </c>
      <c r="P1092" s="118" t="s">
        <v>124</v>
      </c>
      <c r="Q1092" s="143" t="s">
        <v>38</v>
      </c>
    </row>
    <row r="1093" spans="9:17" x14ac:dyDescent="0.35">
      <c r="I1093" s="178" t="s">
        <v>460</v>
      </c>
      <c r="J1093" s="180" t="s">
        <v>58</v>
      </c>
      <c r="K1093" s="144">
        <v>1.5</v>
      </c>
      <c r="L1093" s="143" t="s">
        <v>51</v>
      </c>
      <c r="M1093" s="143" t="s">
        <v>45</v>
      </c>
      <c r="N1093" s="118" t="s">
        <v>46</v>
      </c>
      <c r="O1093" s="118" t="s">
        <v>61</v>
      </c>
      <c r="P1093" s="118" t="s">
        <v>60</v>
      </c>
      <c r="Q1093" s="143" t="s">
        <v>38</v>
      </c>
    </row>
    <row r="1094" spans="9:17" x14ac:dyDescent="0.35">
      <c r="I1094" s="178" t="s">
        <v>460</v>
      </c>
      <c r="J1094" s="180" t="s">
        <v>58</v>
      </c>
      <c r="K1094" s="144">
        <v>1.5</v>
      </c>
      <c r="L1094" s="143" t="s">
        <v>51</v>
      </c>
      <c r="M1094" s="143" t="s">
        <v>45</v>
      </c>
      <c r="N1094" s="118" t="s">
        <v>55</v>
      </c>
      <c r="O1094" s="118" t="s">
        <v>61</v>
      </c>
      <c r="P1094" s="118" t="s">
        <v>60</v>
      </c>
      <c r="Q1094" s="143" t="s">
        <v>38</v>
      </c>
    </row>
    <row r="1095" spans="9:17" x14ac:dyDescent="0.35">
      <c r="I1095" s="178" t="s">
        <v>460</v>
      </c>
      <c r="J1095" s="178" t="s">
        <v>62</v>
      </c>
      <c r="K1095" s="139">
        <v>3</v>
      </c>
      <c r="L1095" s="143" t="s">
        <v>51</v>
      </c>
      <c r="M1095" s="140" t="s">
        <v>136</v>
      </c>
      <c r="N1095" s="74" t="s">
        <v>35</v>
      </c>
      <c r="O1095" s="74" t="s">
        <v>511</v>
      </c>
      <c r="P1095" s="74" t="s">
        <v>78</v>
      </c>
      <c r="Q1095" s="143" t="s">
        <v>38</v>
      </c>
    </row>
    <row r="1096" spans="9:17" x14ac:dyDescent="0.35">
      <c r="I1096" s="178" t="s">
        <v>460</v>
      </c>
      <c r="J1096" s="178" t="s">
        <v>62</v>
      </c>
      <c r="K1096" s="139">
        <v>3</v>
      </c>
      <c r="L1096" s="143" t="s">
        <v>51</v>
      </c>
      <c r="M1096" s="140" t="s">
        <v>136</v>
      </c>
      <c r="N1096" s="74" t="s">
        <v>48</v>
      </c>
      <c r="O1096" s="74" t="s">
        <v>44</v>
      </c>
      <c r="P1096" s="74" t="s">
        <v>78</v>
      </c>
      <c r="Q1096" s="143" t="s">
        <v>38</v>
      </c>
    </row>
    <row r="1097" spans="9:17" x14ac:dyDescent="0.35">
      <c r="I1097" s="178" t="s">
        <v>460</v>
      </c>
      <c r="J1097" s="178" t="s">
        <v>62</v>
      </c>
      <c r="K1097" s="139">
        <v>3</v>
      </c>
      <c r="L1097" s="143" t="s">
        <v>51</v>
      </c>
      <c r="M1097" s="140" t="s">
        <v>76</v>
      </c>
      <c r="N1097" s="74" t="s">
        <v>35</v>
      </c>
      <c r="O1097" s="74" t="s">
        <v>40</v>
      </c>
      <c r="P1097" s="74" t="s">
        <v>114</v>
      </c>
      <c r="Q1097" s="143" t="s">
        <v>38</v>
      </c>
    </row>
    <row r="1098" spans="9:17" x14ac:dyDescent="0.35">
      <c r="I1098" s="178" t="s">
        <v>460</v>
      </c>
      <c r="J1098" s="178" t="s">
        <v>62</v>
      </c>
      <c r="K1098" s="139">
        <v>3</v>
      </c>
      <c r="L1098" s="143" t="s">
        <v>51</v>
      </c>
      <c r="M1098" s="140" t="s">
        <v>76</v>
      </c>
      <c r="N1098" s="74" t="s">
        <v>39</v>
      </c>
      <c r="O1098" s="74" t="s">
        <v>44</v>
      </c>
      <c r="P1098" s="74" t="s">
        <v>196</v>
      </c>
      <c r="Q1098" s="143" t="s">
        <v>38</v>
      </c>
    </row>
    <row r="1099" spans="9:17" x14ac:dyDescent="0.35">
      <c r="I1099" s="178" t="s">
        <v>460</v>
      </c>
      <c r="J1099" s="178" t="s">
        <v>62</v>
      </c>
      <c r="K1099" s="139">
        <v>3</v>
      </c>
      <c r="L1099" s="143" t="s">
        <v>51</v>
      </c>
      <c r="M1099" s="140" t="s">
        <v>79</v>
      </c>
      <c r="N1099" s="74" t="s">
        <v>35</v>
      </c>
      <c r="O1099" s="74" t="s">
        <v>511</v>
      </c>
      <c r="P1099" s="74" t="s">
        <v>57</v>
      </c>
      <c r="Q1099" s="140" t="s">
        <v>54</v>
      </c>
    </row>
    <row r="1100" spans="9:17" x14ac:dyDescent="0.35">
      <c r="I1100" s="178" t="s">
        <v>460</v>
      </c>
      <c r="J1100" s="178" t="s">
        <v>62</v>
      </c>
      <c r="K1100" s="139">
        <v>3</v>
      </c>
      <c r="L1100" s="143" t="s">
        <v>51</v>
      </c>
      <c r="M1100" s="140" t="s">
        <v>79</v>
      </c>
      <c r="N1100" s="74" t="s">
        <v>39</v>
      </c>
      <c r="O1100" s="74" t="s">
        <v>44</v>
      </c>
      <c r="P1100" s="74" t="s">
        <v>169</v>
      </c>
      <c r="Q1100" s="140" t="s">
        <v>54</v>
      </c>
    </row>
    <row r="1101" spans="9:17" x14ac:dyDescent="0.35">
      <c r="I1101" s="178" t="s">
        <v>460</v>
      </c>
      <c r="J1101" s="178" t="s">
        <v>109</v>
      </c>
      <c r="K1101" s="139">
        <v>3</v>
      </c>
      <c r="L1101" s="140" t="s">
        <v>106</v>
      </c>
      <c r="M1101" s="140" t="s">
        <v>79</v>
      </c>
      <c r="N1101" s="74" t="s">
        <v>35</v>
      </c>
      <c r="O1101" s="74" t="s">
        <v>56</v>
      </c>
      <c r="P1101" s="74" t="s">
        <v>107</v>
      </c>
      <c r="Q1101" s="140" t="s">
        <v>54</v>
      </c>
    </row>
    <row r="1102" spans="9:17" x14ac:dyDescent="0.35">
      <c r="I1102" s="178" t="s">
        <v>460</v>
      </c>
      <c r="J1102" s="178" t="s">
        <v>109</v>
      </c>
      <c r="K1102" s="139">
        <v>3</v>
      </c>
      <c r="L1102" s="140" t="s">
        <v>106</v>
      </c>
      <c r="M1102" s="140" t="s">
        <v>79</v>
      </c>
      <c r="N1102" s="74" t="s">
        <v>46</v>
      </c>
      <c r="O1102" s="74" t="s">
        <v>44</v>
      </c>
      <c r="P1102" s="74" t="s">
        <v>107</v>
      </c>
      <c r="Q1102" s="140" t="s">
        <v>54</v>
      </c>
    </row>
    <row r="1103" spans="9:17" ht="14.5" customHeight="1" x14ac:dyDescent="0.35">
      <c r="I1103" s="181" t="s">
        <v>461</v>
      </c>
      <c r="J1103" s="178" t="s">
        <v>148</v>
      </c>
      <c r="K1103" s="139">
        <v>3</v>
      </c>
      <c r="L1103" s="140" t="s">
        <v>75</v>
      </c>
      <c r="M1103" s="140" t="s">
        <v>153</v>
      </c>
      <c r="N1103" s="74" t="s">
        <v>46</v>
      </c>
      <c r="O1103" s="74" t="s">
        <v>40</v>
      </c>
      <c r="P1103" s="74" t="s">
        <v>150</v>
      </c>
      <c r="Q1103" s="140" t="s">
        <v>54</v>
      </c>
    </row>
    <row r="1104" spans="9:17" ht="28" x14ac:dyDescent="0.35">
      <c r="I1104" s="181" t="s">
        <v>461</v>
      </c>
      <c r="J1104" s="178" t="s">
        <v>148</v>
      </c>
      <c r="K1104" s="139">
        <v>3</v>
      </c>
      <c r="L1104" s="140" t="s">
        <v>75</v>
      </c>
      <c r="M1104" s="140" t="s">
        <v>153</v>
      </c>
      <c r="N1104" s="74" t="s">
        <v>48</v>
      </c>
      <c r="O1104" s="74" t="s">
        <v>108</v>
      </c>
      <c r="P1104" s="74" t="s">
        <v>80</v>
      </c>
      <c r="Q1104" s="140" t="s">
        <v>54</v>
      </c>
    </row>
    <row r="1105" spans="9:17" ht="14.5" customHeight="1" x14ac:dyDescent="0.35">
      <c r="I1105" s="181" t="s">
        <v>461</v>
      </c>
      <c r="J1105" s="178" t="s">
        <v>532</v>
      </c>
      <c r="K1105" s="139">
        <v>3</v>
      </c>
      <c r="L1105" s="140" t="s">
        <v>75</v>
      </c>
      <c r="M1105" s="140" t="s">
        <v>76</v>
      </c>
      <c r="N1105" s="74" t="s">
        <v>35</v>
      </c>
      <c r="O1105" s="76" t="s">
        <v>511</v>
      </c>
      <c r="P1105" s="74" t="s">
        <v>110</v>
      </c>
      <c r="Q1105" s="140" t="s">
        <v>38</v>
      </c>
    </row>
    <row r="1106" spans="9:17" ht="28" x14ac:dyDescent="0.35">
      <c r="I1106" s="181" t="s">
        <v>461</v>
      </c>
      <c r="J1106" s="178" t="s">
        <v>532</v>
      </c>
      <c r="K1106" s="139">
        <v>3</v>
      </c>
      <c r="L1106" s="140" t="s">
        <v>75</v>
      </c>
      <c r="M1106" s="140" t="s">
        <v>76</v>
      </c>
      <c r="N1106" s="74" t="s">
        <v>55</v>
      </c>
      <c r="O1106" s="74" t="s">
        <v>511</v>
      </c>
      <c r="P1106" s="74" t="s">
        <v>149</v>
      </c>
      <c r="Q1106" s="140" t="s">
        <v>38</v>
      </c>
    </row>
    <row r="1107" spans="9:17" ht="14.5" customHeight="1" x14ac:dyDescent="0.35">
      <c r="I1107" s="181" t="s">
        <v>461</v>
      </c>
      <c r="J1107" s="178" t="s">
        <v>532</v>
      </c>
      <c r="K1107" s="139">
        <v>3</v>
      </c>
      <c r="L1107" s="140" t="s">
        <v>75</v>
      </c>
      <c r="M1107" s="140" t="s">
        <v>79</v>
      </c>
      <c r="N1107" s="74" t="s">
        <v>35</v>
      </c>
      <c r="O1107" s="74" t="s">
        <v>40</v>
      </c>
      <c r="P1107" s="74" t="s">
        <v>208</v>
      </c>
      <c r="Q1107" s="140" t="s">
        <v>38</v>
      </c>
    </row>
    <row r="1108" spans="9:17" ht="28" x14ac:dyDescent="0.35">
      <c r="I1108" s="181" t="s">
        <v>461</v>
      </c>
      <c r="J1108" s="178" t="s">
        <v>532</v>
      </c>
      <c r="K1108" s="139">
        <v>3</v>
      </c>
      <c r="L1108" s="140" t="s">
        <v>75</v>
      </c>
      <c r="M1108" s="140" t="s">
        <v>79</v>
      </c>
      <c r="N1108" s="74" t="s">
        <v>48</v>
      </c>
      <c r="O1108" s="74" t="s">
        <v>91</v>
      </c>
      <c r="P1108" s="74" t="s">
        <v>114</v>
      </c>
      <c r="Q1108" s="140" t="s">
        <v>38</v>
      </c>
    </row>
    <row r="1109" spans="9:17" x14ac:dyDescent="0.35">
      <c r="I1109" s="181" t="s">
        <v>461</v>
      </c>
      <c r="J1109" s="178" t="s">
        <v>213</v>
      </c>
      <c r="K1109" s="139">
        <v>1</v>
      </c>
      <c r="L1109" s="140" t="s">
        <v>63</v>
      </c>
      <c r="M1109" s="140" t="s">
        <v>34</v>
      </c>
      <c r="N1109" s="74" t="s">
        <v>35</v>
      </c>
      <c r="O1109" s="74" t="s">
        <v>108</v>
      </c>
      <c r="P1109" s="74" t="s">
        <v>65</v>
      </c>
      <c r="Q1109" s="140" t="s">
        <v>54</v>
      </c>
    </row>
    <row r="1110" spans="9:17" x14ac:dyDescent="0.35">
      <c r="I1110" s="181" t="s">
        <v>461</v>
      </c>
      <c r="J1110" s="178" t="s">
        <v>213</v>
      </c>
      <c r="K1110" s="139">
        <v>1</v>
      </c>
      <c r="L1110" s="140" t="s">
        <v>63</v>
      </c>
      <c r="M1110" s="140" t="s">
        <v>34</v>
      </c>
      <c r="N1110" s="74" t="s">
        <v>46</v>
      </c>
      <c r="O1110" s="74" t="s">
        <v>108</v>
      </c>
      <c r="P1110" s="74" t="s">
        <v>65</v>
      </c>
      <c r="Q1110" s="140" t="s">
        <v>54</v>
      </c>
    </row>
    <row r="1111" spans="9:17" x14ac:dyDescent="0.35">
      <c r="I1111" s="181" t="s">
        <v>461</v>
      </c>
      <c r="J1111" s="178" t="s">
        <v>67</v>
      </c>
      <c r="K1111" s="139">
        <v>2</v>
      </c>
      <c r="L1111" s="140" t="s">
        <v>68</v>
      </c>
      <c r="M1111" s="140" t="s">
        <v>101</v>
      </c>
      <c r="N1111" s="74" t="s">
        <v>35</v>
      </c>
      <c r="O1111" s="76" t="s">
        <v>70</v>
      </c>
      <c r="P1111" s="76" t="s">
        <v>111</v>
      </c>
      <c r="Q1111" s="140" t="s">
        <v>54</v>
      </c>
    </row>
    <row r="1112" spans="9:17" x14ac:dyDescent="0.35">
      <c r="I1112" s="181" t="s">
        <v>461</v>
      </c>
      <c r="J1112" s="178" t="s">
        <v>67</v>
      </c>
      <c r="K1112" s="139">
        <v>2</v>
      </c>
      <c r="L1112" s="140" t="s">
        <v>68</v>
      </c>
      <c r="M1112" s="140" t="s">
        <v>101</v>
      </c>
      <c r="N1112" s="74" t="s">
        <v>48</v>
      </c>
      <c r="O1112" s="76" t="s">
        <v>70</v>
      </c>
      <c r="P1112" s="76" t="s">
        <v>111</v>
      </c>
      <c r="Q1112" s="140" t="s">
        <v>54</v>
      </c>
    </row>
    <row r="1113" spans="9:17" ht="14.5" customHeight="1" x14ac:dyDescent="0.35">
      <c r="I1113" s="181" t="s">
        <v>461</v>
      </c>
      <c r="J1113" s="178" t="s">
        <v>279</v>
      </c>
      <c r="K1113" s="139">
        <v>1.5</v>
      </c>
      <c r="L1113" s="140" t="s">
        <v>68</v>
      </c>
      <c r="M1113" s="140" t="s">
        <v>69</v>
      </c>
      <c r="N1113" s="74" t="s">
        <v>46</v>
      </c>
      <c r="O1113" s="76" t="s">
        <v>40</v>
      </c>
      <c r="P1113" s="76" t="s">
        <v>71</v>
      </c>
      <c r="Q1113" s="140" t="s">
        <v>38</v>
      </c>
    </row>
    <row r="1114" spans="9:17" ht="28" x14ac:dyDescent="0.35">
      <c r="I1114" s="181" t="s">
        <v>461</v>
      </c>
      <c r="J1114" s="178" t="s">
        <v>279</v>
      </c>
      <c r="K1114" s="139">
        <v>1.5</v>
      </c>
      <c r="L1114" s="140" t="s">
        <v>68</v>
      </c>
      <c r="M1114" s="140" t="s">
        <v>69</v>
      </c>
      <c r="N1114" s="74" t="s">
        <v>55</v>
      </c>
      <c r="O1114" s="76" t="s">
        <v>40</v>
      </c>
      <c r="P1114" s="76" t="s">
        <v>71</v>
      </c>
      <c r="Q1114" s="140" t="s">
        <v>38</v>
      </c>
    </row>
    <row r="1115" spans="9:17" ht="14.5" customHeight="1" x14ac:dyDescent="0.35">
      <c r="I1115" s="178" t="s">
        <v>506</v>
      </c>
      <c r="J1115" s="178" t="s">
        <v>335</v>
      </c>
      <c r="K1115" s="139">
        <v>2</v>
      </c>
      <c r="L1115" s="140" t="s">
        <v>75</v>
      </c>
      <c r="M1115" s="140" t="s">
        <v>101</v>
      </c>
      <c r="N1115" s="74" t="s">
        <v>35</v>
      </c>
      <c r="O1115" s="74" t="s">
        <v>56</v>
      </c>
      <c r="P1115" s="74" t="s">
        <v>152</v>
      </c>
      <c r="Q1115" s="140" t="s">
        <v>54</v>
      </c>
    </row>
    <row r="1116" spans="9:17" ht="42" x14ac:dyDescent="0.35">
      <c r="I1116" s="178" t="s">
        <v>506</v>
      </c>
      <c r="J1116" s="178" t="s">
        <v>335</v>
      </c>
      <c r="K1116" s="139">
        <v>2</v>
      </c>
      <c r="L1116" s="140" t="s">
        <v>75</v>
      </c>
      <c r="M1116" s="140" t="s">
        <v>101</v>
      </c>
      <c r="N1116" s="74" t="s">
        <v>48</v>
      </c>
      <c r="O1116" s="74" t="s">
        <v>131</v>
      </c>
      <c r="P1116" s="74" t="s">
        <v>132</v>
      </c>
      <c r="Q1116" s="140" t="s">
        <v>54</v>
      </c>
    </row>
    <row r="1117" spans="9:17" ht="14.5" customHeight="1" x14ac:dyDescent="0.35">
      <c r="I1117" s="178" t="s">
        <v>506</v>
      </c>
      <c r="J1117" s="178" t="s">
        <v>335</v>
      </c>
      <c r="K1117" s="139">
        <v>2</v>
      </c>
      <c r="L1117" s="140" t="s">
        <v>75</v>
      </c>
      <c r="M1117" s="140" t="s">
        <v>64</v>
      </c>
      <c r="N1117" s="74" t="s">
        <v>46</v>
      </c>
      <c r="O1117" s="74" t="s">
        <v>219</v>
      </c>
      <c r="P1117" s="74" t="s">
        <v>206</v>
      </c>
      <c r="Q1117" s="140" t="s">
        <v>54</v>
      </c>
    </row>
    <row r="1118" spans="9:17" ht="42" x14ac:dyDescent="0.35">
      <c r="I1118" s="178" t="s">
        <v>506</v>
      </c>
      <c r="J1118" s="178" t="s">
        <v>335</v>
      </c>
      <c r="K1118" s="139">
        <v>2</v>
      </c>
      <c r="L1118" s="140" t="s">
        <v>75</v>
      </c>
      <c r="M1118" s="140" t="s">
        <v>64</v>
      </c>
      <c r="N1118" s="74" t="s">
        <v>48</v>
      </c>
      <c r="O1118" s="74" t="s">
        <v>59</v>
      </c>
      <c r="P1118" s="74" t="s">
        <v>132</v>
      </c>
      <c r="Q1118" s="140" t="s">
        <v>54</v>
      </c>
    </row>
    <row r="1119" spans="9:17" ht="14.5" customHeight="1" x14ac:dyDescent="0.35">
      <c r="I1119" s="178" t="s">
        <v>506</v>
      </c>
      <c r="J1119" s="178" t="s">
        <v>335</v>
      </c>
      <c r="K1119" s="139">
        <v>2</v>
      </c>
      <c r="L1119" s="140" t="s">
        <v>75</v>
      </c>
      <c r="M1119" s="140" t="s">
        <v>103</v>
      </c>
      <c r="N1119" s="74" t="s">
        <v>35</v>
      </c>
      <c r="O1119" s="74" t="s">
        <v>131</v>
      </c>
      <c r="P1119" s="74" t="s">
        <v>206</v>
      </c>
      <c r="Q1119" s="140" t="s">
        <v>54</v>
      </c>
    </row>
    <row r="1120" spans="9:17" ht="42" x14ac:dyDescent="0.35">
      <c r="I1120" s="178" t="s">
        <v>506</v>
      </c>
      <c r="J1120" s="178" t="s">
        <v>335</v>
      </c>
      <c r="K1120" s="139">
        <v>2</v>
      </c>
      <c r="L1120" s="140" t="s">
        <v>75</v>
      </c>
      <c r="M1120" s="140" t="s">
        <v>103</v>
      </c>
      <c r="N1120" s="84" t="s">
        <v>55</v>
      </c>
      <c r="O1120" s="84" t="s">
        <v>56</v>
      </c>
      <c r="P1120" s="84" t="s">
        <v>208</v>
      </c>
      <c r="Q1120" s="140" t="s">
        <v>54</v>
      </c>
    </row>
    <row r="1121" spans="9:17" ht="14.5" customHeight="1" x14ac:dyDescent="0.35">
      <c r="I1121" s="178" t="s">
        <v>506</v>
      </c>
      <c r="J1121" s="178" t="s">
        <v>335</v>
      </c>
      <c r="K1121" s="139">
        <v>2</v>
      </c>
      <c r="L1121" s="140" t="s">
        <v>75</v>
      </c>
      <c r="M1121" s="140" t="s">
        <v>79</v>
      </c>
      <c r="N1121" s="74" t="s">
        <v>46</v>
      </c>
      <c r="O1121" s="74" t="s">
        <v>56</v>
      </c>
      <c r="P1121" s="74" t="s">
        <v>152</v>
      </c>
      <c r="Q1121" s="140" t="s">
        <v>38</v>
      </c>
    </row>
    <row r="1122" spans="9:17" ht="42" x14ac:dyDescent="0.35">
      <c r="I1122" s="178" t="s">
        <v>506</v>
      </c>
      <c r="J1122" s="178" t="s">
        <v>335</v>
      </c>
      <c r="K1122" s="139">
        <v>2</v>
      </c>
      <c r="L1122" s="140" t="s">
        <v>75</v>
      </c>
      <c r="M1122" s="140" t="s">
        <v>79</v>
      </c>
      <c r="N1122" s="74" t="s">
        <v>55</v>
      </c>
      <c r="O1122" s="74" t="s">
        <v>56</v>
      </c>
      <c r="P1122" s="74" t="s">
        <v>170</v>
      </c>
      <c r="Q1122" s="140" t="s">
        <v>38</v>
      </c>
    </row>
    <row r="1123" spans="9:17" x14ac:dyDescent="0.35">
      <c r="I1123" s="182" t="s">
        <v>507</v>
      </c>
      <c r="J1123" s="178" t="s">
        <v>109</v>
      </c>
      <c r="K1123" s="139">
        <v>3</v>
      </c>
      <c r="L1123" s="140" t="s">
        <v>75</v>
      </c>
      <c r="M1123" s="140" t="s">
        <v>45</v>
      </c>
      <c r="N1123" s="74" t="s">
        <v>35</v>
      </c>
      <c r="O1123" s="74" t="s">
        <v>511</v>
      </c>
      <c r="P1123" s="74" t="s">
        <v>124</v>
      </c>
      <c r="Q1123" s="140" t="s">
        <v>54</v>
      </c>
    </row>
    <row r="1124" spans="9:17" x14ac:dyDescent="0.35">
      <c r="I1124" s="182" t="s">
        <v>507</v>
      </c>
      <c r="J1124" s="178" t="s">
        <v>109</v>
      </c>
      <c r="K1124" s="139">
        <v>3</v>
      </c>
      <c r="L1124" s="140" t="s">
        <v>75</v>
      </c>
      <c r="M1124" s="140" t="s">
        <v>45</v>
      </c>
      <c r="N1124" s="74" t="s">
        <v>48</v>
      </c>
      <c r="O1124" s="74" t="s">
        <v>511</v>
      </c>
      <c r="P1124" s="74" t="s">
        <v>124</v>
      </c>
      <c r="Q1124" s="140" t="s">
        <v>54</v>
      </c>
    </row>
    <row r="1125" spans="9:17" x14ac:dyDescent="0.35">
      <c r="I1125" s="182" t="s">
        <v>507</v>
      </c>
      <c r="J1125" s="178" t="s">
        <v>109</v>
      </c>
      <c r="K1125" s="139">
        <v>3</v>
      </c>
      <c r="L1125" s="140" t="s">
        <v>75</v>
      </c>
      <c r="M1125" s="140" t="s">
        <v>49</v>
      </c>
      <c r="N1125" s="74" t="s">
        <v>35</v>
      </c>
      <c r="O1125" s="74" t="s">
        <v>40</v>
      </c>
      <c r="P1125" s="74" t="s">
        <v>159</v>
      </c>
      <c r="Q1125" s="140" t="s">
        <v>54</v>
      </c>
    </row>
    <row r="1126" spans="9:17" x14ac:dyDescent="0.35">
      <c r="I1126" s="182" t="s">
        <v>507</v>
      </c>
      <c r="J1126" s="178" t="s">
        <v>109</v>
      </c>
      <c r="K1126" s="139">
        <v>3</v>
      </c>
      <c r="L1126" s="140" t="s">
        <v>75</v>
      </c>
      <c r="M1126" s="140" t="s">
        <v>49</v>
      </c>
      <c r="N1126" s="84" t="s">
        <v>55</v>
      </c>
      <c r="O1126" s="84" t="s">
        <v>511</v>
      </c>
      <c r="P1126" s="84" t="s">
        <v>160</v>
      </c>
      <c r="Q1126" s="140" t="s">
        <v>54</v>
      </c>
    </row>
    <row r="1127" spans="9:17" x14ac:dyDescent="0.35">
      <c r="I1127" s="182" t="s">
        <v>507</v>
      </c>
      <c r="J1127" s="178" t="s">
        <v>109</v>
      </c>
      <c r="K1127" s="139">
        <v>3</v>
      </c>
      <c r="L1127" s="140" t="s">
        <v>75</v>
      </c>
      <c r="M1127" s="140" t="s">
        <v>289</v>
      </c>
      <c r="N1127" s="74" t="s">
        <v>46</v>
      </c>
      <c r="O1127" s="74" t="s">
        <v>511</v>
      </c>
      <c r="P1127" s="74" t="s">
        <v>78</v>
      </c>
      <c r="Q1127" s="140" t="s">
        <v>54</v>
      </c>
    </row>
    <row r="1128" spans="9:17" x14ac:dyDescent="0.35">
      <c r="I1128" s="182" t="s">
        <v>507</v>
      </c>
      <c r="J1128" s="178" t="s">
        <v>109</v>
      </c>
      <c r="K1128" s="139">
        <v>3</v>
      </c>
      <c r="L1128" s="140" t="s">
        <v>75</v>
      </c>
      <c r="M1128" s="140" t="s">
        <v>289</v>
      </c>
      <c r="N1128" s="74" t="s">
        <v>55</v>
      </c>
      <c r="O1128" s="74" t="s">
        <v>44</v>
      </c>
      <c r="P1128" s="74" t="s">
        <v>150</v>
      </c>
      <c r="Q1128" s="140" t="s">
        <v>54</v>
      </c>
    </row>
    <row r="1129" spans="9:17" x14ac:dyDescent="0.35">
      <c r="I1129" s="182" t="s">
        <v>507</v>
      </c>
      <c r="J1129" s="178" t="s">
        <v>122</v>
      </c>
      <c r="K1129" s="139">
        <v>2</v>
      </c>
      <c r="L1129" s="140" t="s">
        <v>75</v>
      </c>
      <c r="M1129" s="140" t="s">
        <v>42</v>
      </c>
      <c r="N1129" s="74" t="s">
        <v>46</v>
      </c>
      <c r="O1129" s="74" t="s">
        <v>52</v>
      </c>
      <c r="P1129" s="74" t="s">
        <v>159</v>
      </c>
      <c r="Q1129" s="140" t="s">
        <v>54</v>
      </c>
    </row>
    <row r="1130" spans="9:17" x14ac:dyDescent="0.35">
      <c r="I1130" s="182" t="s">
        <v>507</v>
      </c>
      <c r="J1130" s="178" t="s">
        <v>122</v>
      </c>
      <c r="K1130" s="139">
        <v>2</v>
      </c>
      <c r="L1130" s="140" t="s">
        <v>75</v>
      </c>
      <c r="M1130" s="140" t="s">
        <v>42</v>
      </c>
      <c r="N1130" s="74" t="s">
        <v>55</v>
      </c>
      <c r="O1130" s="74" t="s">
        <v>52</v>
      </c>
      <c r="P1130" s="74" t="s">
        <v>159</v>
      </c>
      <c r="Q1130" s="140" t="s">
        <v>54</v>
      </c>
    </row>
    <row r="1131" spans="9:17" x14ac:dyDescent="0.35">
      <c r="I1131" s="182" t="s">
        <v>507</v>
      </c>
      <c r="J1131" s="178" t="s">
        <v>161</v>
      </c>
      <c r="K1131" s="139">
        <v>2</v>
      </c>
      <c r="L1131" s="140" t="s">
        <v>75</v>
      </c>
      <c r="M1131" s="140" t="s">
        <v>464</v>
      </c>
      <c r="N1131" s="74" t="s">
        <v>46</v>
      </c>
      <c r="O1131" s="74" t="s">
        <v>56</v>
      </c>
      <c r="P1131" s="74" t="s">
        <v>267</v>
      </c>
      <c r="Q1131" s="140" t="s">
        <v>38</v>
      </c>
    </row>
    <row r="1132" spans="9:17" x14ac:dyDescent="0.35">
      <c r="I1132" s="182" t="s">
        <v>507</v>
      </c>
      <c r="J1132" s="178" t="s">
        <v>161</v>
      </c>
      <c r="K1132" s="139">
        <v>2</v>
      </c>
      <c r="L1132" s="140" t="s">
        <v>75</v>
      </c>
      <c r="M1132" s="140" t="s">
        <v>464</v>
      </c>
      <c r="N1132" s="74" t="s">
        <v>48</v>
      </c>
      <c r="O1132" s="74" t="s">
        <v>56</v>
      </c>
      <c r="P1132" s="74" t="s">
        <v>267</v>
      </c>
      <c r="Q1132" s="140" t="s">
        <v>38</v>
      </c>
    </row>
    <row r="1133" spans="9:17" x14ac:dyDescent="0.35">
      <c r="I1133" s="182" t="s">
        <v>507</v>
      </c>
      <c r="J1133" s="183" t="s">
        <v>191</v>
      </c>
      <c r="K1133" s="81">
        <v>3</v>
      </c>
      <c r="L1133" s="140" t="s">
        <v>75</v>
      </c>
      <c r="M1133" s="74" t="s">
        <v>465</v>
      </c>
      <c r="N1133" s="74" t="s">
        <v>55</v>
      </c>
      <c r="O1133" s="74" t="s">
        <v>82</v>
      </c>
      <c r="P1133" s="74" t="s">
        <v>172</v>
      </c>
      <c r="Q1133" s="74" t="s">
        <v>93</v>
      </c>
    </row>
    <row r="1134" spans="9:17" ht="14.5" customHeight="1" x14ac:dyDescent="0.35">
      <c r="I1134" s="178" t="s">
        <v>466</v>
      </c>
      <c r="J1134" s="178" t="s">
        <v>201</v>
      </c>
      <c r="K1134" s="81">
        <v>3</v>
      </c>
      <c r="L1134" s="140" t="s">
        <v>33</v>
      </c>
      <c r="M1134" s="140" t="s">
        <v>101</v>
      </c>
      <c r="N1134" s="74" t="s">
        <v>46</v>
      </c>
      <c r="O1134" s="74" t="s">
        <v>91</v>
      </c>
      <c r="P1134" s="74" t="s">
        <v>98</v>
      </c>
      <c r="Q1134" s="140" t="s">
        <v>38</v>
      </c>
    </row>
    <row r="1135" spans="9:17" x14ac:dyDescent="0.35">
      <c r="I1135" s="178" t="s">
        <v>466</v>
      </c>
      <c r="J1135" s="178" t="s">
        <v>201</v>
      </c>
      <c r="K1135" s="81">
        <v>3</v>
      </c>
      <c r="L1135" s="140" t="s">
        <v>33</v>
      </c>
      <c r="M1135" s="140" t="s">
        <v>101</v>
      </c>
      <c r="N1135" s="74" t="s">
        <v>48</v>
      </c>
      <c r="O1135" s="74" t="s">
        <v>44</v>
      </c>
      <c r="P1135" s="74" t="s">
        <v>47</v>
      </c>
      <c r="Q1135" s="140" t="s">
        <v>38</v>
      </c>
    </row>
    <row r="1136" spans="9:17" x14ac:dyDescent="0.35">
      <c r="I1136" s="178" t="s">
        <v>466</v>
      </c>
      <c r="J1136" s="178" t="s">
        <v>201</v>
      </c>
      <c r="K1136" s="139">
        <v>2</v>
      </c>
      <c r="L1136" s="140" t="s">
        <v>106</v>
      </c>
      <c r="M1136" s="140" t="s">
        <v>64</v>
      </c>
      <c r="N1136" s="74" t="s">
        <v>46</v>
      </c>
      <c r="O1136" s="74" t="s">
        <v>61</v>
      </c>
      <c r="P1136" s="74" t="s">
        <v>96</v>
      </c>
      <c r="Q1136" s="140" t="s">
        <v>54</v>
      </c>
    </row>
    <row r="1137" spans="9:17" x14ac:dyDescent="0.35">
      <c r="I1137" s="178" t="s">
        <v>466</v>
      </c>
      <c r="J1137" s="178" t="s">
        <v>201</v>
      </c>
      <c r="K1137" s="139">
        <v>2</v>
      </c>
      <c r="L1137" s="140" t="s">
        <v>106</v>
      </c>
      <c r="M1137" s="140" t="s">
        <v>64</v>
      </c>
      <c r="N1137" s="74" t="s">
        <v>48</v>
      </c>
      <c r="O1137" s="74" t="s">
        <v>52</v>
      </c>
      <c r="P1137" s="74" t="s">
        <v>96</v>
      </c>
      <c r="Q1137" s="140" t="s">
        <v>54</v>
      </c>
    </row>
    <row r="1138" spans="9:17" x14ac:dyDescent="0.35">
      <c r="I1138" s="178" t="s">
        <v>466</v>
      </c>
      <c r="J1138" s="178" t="s">
        <v>201</v>
      </c>
      <c r="K1138" s="139">
        <v>2</v>
      </c>
      <c r="L1138" s="140" t="s">
        <v>106</v>
      </c>
      <c r="M1138" s="140" t="s">
        <v>101</v>
      </c>
      <c r="N1138" s="74" t="s">
        <v>46</v>
      </c>
      <c r="O1138" s="74" t="s">
        <v>61</v>
      </c>
      <c r="P1138" s="74" t="s">
        <v>98</v>
      </c>
      <c r="Q1138" s="140" t="s">
        <v>38</v>
      </c>
    </row>
    <row r="1139" spans="9:17" x14ac:dyDescent="0.35">
      <c r="I1139" s="178" t="s">
        <v>466</v>
      </c>
      <c r="J1139" s="178" t="s">
        <v>201</v>
      </c>
      <c r="K1139" s="139">
        <v>2</v>
      </c>
      <c r="L1139" s="140" t="s">
        <v>106</v>
      </c>
      <c r="M1139" s="140" t="s">
        <v>101</v>
      </c>
      <c r="N1139" s="74" t="s">
        <v>48</v>
      </c>
      <c r="O1139" s="74" t="s">
        <v>82</v>
      </c>
      <c r="P1139" s="74" t="s">
        <v>98</v>
      </c>
      <c r="Q1139" s="140" t="s">
        <v>38</v>
      </c>
    </row>
    <row r="1140" spans="9:17" x14ac:dyDescent="0.35">
      <c r="I1140" s="178" t="s">
        <v>466</v>
      </c>
      <c r="J1140" s="178" t="s">
        <v>201</v>
      </c>
      <c r="K1140" s="139">
        <v>3</v>
      </c>
      <c r="L1140" s="140" t="s">
        <v>51</v>
      </c>
      <c r="M1140" s="140" t="s">
        <v>64</v>
      </c>
      <c r="N1140" s="74" t="s">
        <v>35</v>
      </c>
      <c r="O1140" s="74" t="s">
        <v>91</v>
      </c>
      <c r="P1140" s="74" t="s">
        <v>98</v>
      </c>
      <c r="Q1140" s="140" t="s">
        <v>38</v>
      </c>
    </row>
    <row r="1141" spans="9:17" x14ac:dyDescent="0.35">
      <c r="I1141" s="178" t="s">
        <v>466</v>
      </c>
      <c r="J1141" s="178" t="s">
        <v>201</v>
      </c>
      <c r="K1141" s="139">
        <v>3</v>
      </c>
      <c r="L1141" s="140" t="s">
        <v>51</v>
      </c>
      <c r="M1141" s="140" t="s">
        <v>64</v>
      </c>
      <c r="N1141" s="74" t="s">
        <v>39</v>
      </c>
      <c r="O1141" s="74" t="s">
        <v>44</v>
      </c>
      <c r="P1141" s="74" t="s">
        <v>369</v>
      </c>
      <c r="Q1141" s="140" t="s">
        <v>38</v>
      </c>
    </row>
    <row r="1142" spans="9:17" x14ac:dyDescent="0.35">
      <c r="I1142" s="178" t="s">
        <v>466</v>
      </c>
      <c r="J1142" s="178" t="s">
        <v>201</v>
      </c>
      <c r="K1142" s="139">
        <v>3</v>
      </c>
      <c r="L1142" s="140" t="s">
        <v>51</v>
      </c>
      <c r="M1142" s="140" t="s">
        <v>103</v>
      </c>
      <c r="N1142" s="74" t="s">
        <v>35</v>
      </c>
      <c r="O1142" s="74" t="s">
        <v>66</v>
      </c>
      <c r="P1142" s="74" t="s">
        <v>126</v>
      </c>
      <c r="Q1142" s="140" t="s">
        <v>54</v>
      </c>
    </row>
    <row r="1143" spans="9:17" x14ac:dyDescent="0.35">
      <c r="I1143" s="178" t="s">
        <v>466</v>
      </c>
      <c r="J1143" s="178" t="s">
        <v>201</v>
      </c>
      <c r="K1143" s="139">
        <v>3</v>
      </c>
      <c r="L1143" s="140" t="s">
        <v>51</v>
      </c>
      <c r="M1143" s="140" t="s">
        <v>103</v>
      </c>
      <c r="N1143" s="74" t="s">
        <v>48</v>
      </c>
      <c r="O1143" s="74" t="s">
        <v>91</v>
      </c>
      <c r="P1143" s="74" t="s">
        <v>128</v>
      </c>
      <c r="Q1143" s="140" t="s">
        <v>54</v>
      </c>
    </row>
    <row r="1144" spans="9:17" x14ac:dyDescent="0.35">
      <c r="I1144" s="178" t="s">
        <v>466</v>
      </c>
      <c r="J1144" s="178" t="s">
        <v>213</v>
      </c>
      <c r="K1144" s="139">
        <v>1</v>
      </c>
      <c r="L1144" s="140" t="s">
        <v>63</v>
      </c>
      <c r="M1144" s="140" t="s">
        <v>34</v>
      </c>
      <c r="N1144" s="74" t="s">
        <v>35</v>
      </c>
      <c r="O1144" s="74" t="s">
        <v>108</v>
      </c>
      <c r="P1144" s="74" t="s">
        <v>65</v>
      </c>
      <c r="Q1144" s="140" t="s">
        <v>54</v>
      </c>
    </row>
    <row r="1145" spans="9:17" x14ac:dyDescent="0.35">
      <c r="I1145" s="178" t="s">
        <v>466</v>
      </c>
      <c r="J1145" s="178" t="s">
        <v>213</v>
      </c>
      <c r="K1145" s="139">
        <v>1</v>
      </c>
      <c r="L1145" s="140" t="s">
        <v>63</v>
      </c>
      <c r="M1145" s="140" t="s">
        <v>34</v>
      </c>
      <c r="N1145" s="74" t="s">
        <v>46</v>
      </c>
      <c r="O1145" s="74" t="s">
        <v>108</v>
      </c>
      <c r="P1145" s="74" t="s">
        <v>65</v>
      </c>
      <c r="Q1145" s="140" t="s">
        <v>54</v>
      </c>
    </row>
    <row r="1146" spans="9:17" ht="14.5" customHeight="1" x14ac:dyDescent="0.35">
      <c r="I1146" s="178" t="s">
        <v>466</v>
      </c>
      <c r="J1146" s="178" t="s">
        <v>156</v>
      </c>
      <c r="K1146" s="139">
        <v>1.5</v>
      </c>
      <c r="L1146" s="140" t="s">
        <v>68</v>
      </c>
      <c r="M1146" s="140" t="s">
        <v>101</v>
      </c>
      <c r="N1146" s="74" t="s">
        <v>46</v>
      </c>
      <c r="O1146" s="76" t="s">
        <v>511</v>
      </c>
      <c r="P1146" s="76" t="s">
        <v>111</v>
      </c>
      <c r="Q1146" s="140" t="s">
        <v>38</v>
      </c>
    </row>
    <row r="1147" spans="9:17" ht="28" x14ac:dyDescent="0.35">
      <c r="I1147" s="178" t="s">
        <v>466</v>
      </c>
      <c r="J1147" s="178" t="s">
        <v>156</v>
      </c>
      <c r="K1147" s="139">
        <v>1.5</v>
      </c>
      <c r="L1147" s="140" t="s">
        <v>68</v>
      </c>
      <c r="M1147" s="140" t="s">
        <v>101</v>
      </c>
      <c r="N1147" s="74" t="s">
        <v>48</v>
      </c>
      <c r="O1147" s="76" t="s">
        <v>511</v>
      </c>
      <c r="P1147" s="76" t="s">
        <v>111</v>
      </c>
      <c r="Q1147" s="140" t="s">
        <v>38</v>
      </c>
    </row>
    <row r="1148" spans="9:17" ht="14.5" customHeight="1" x14ac:dyDescent="0.35">
      <c r="I1148" s="181" t="s">
        <v>508</v>
      </c>
      <c r="J1148" s="140" t="s">
        <v>238</v>
      </c>
      <c r="K1148" s="139">
        <v>3</v>
      </c>
      <c r="L1148" s="140" t="s">
        <v>106</v>
      </c>
      <c r="M1148" s="140" t="s">
        <v>101</v>
      </c>
      <c r="N1148" s="82" t="s">
        <v>35</v>
      </c>
      <c r="O1148" s="74" t="s">
        <v>66</v>
      </c>
      <c r="P1148" s="74" t="s">
        <v>107</v>
      </c>
      <c r="Q1148" s="140" t="s">
        <v>54</v>
      </c>
    </row>
    <row r="1149" spans="9:17" x14ac:dyDescent="0.35">
      <c r="I1149" s="181" t="s">
        <v>508</v>
      </c>
      <c r="J1149" s="140" t="s">
        <v>238</v>
      </c>
      <c r="K1149" s="139">
        <v>3</v>
      </c>
      <c r="L1149" s="140" t="s">
        <v>106</v>
      </c>
      <c r="M1149" s="140" t="s">
        <v>101</v>
      </c>
      <c r="N1149" s="82" t="s">
        <v>48</v>
      </c>
      <c r="O1149" s="74" t="s">
        <v>108</v>
      </c>
      <c r="P1149" s="74" t="s">
        <v>143</v>
      </c>
      <c r="Q1149" s="140" t="s">
        <v>54</v>
      </c>
    </row>
    <row r="1150" spans="9:17" x14ac:dyDescent="0.35">
      <c r="I1150" s="181" t="s">
        <v>508</v>
      </c>
      <c r="J1150" s="140" t="s">
        <v>238</v>
      </c>
      <c r="K1150" s="139">
        <v>3</v>
      </c>
      <c r="L1150" s="140" t="s">
        <v>106</v>
      </c>
      <c r="M1150" s="140" t="s">
        <v>64</v>
      </c>
      <c r="N1150" s="82" t="s">
        <v>39</v>
      </c>
      <c r="O1150" s="74" t="s">
        <v>44</v>
      </c>
      <c r="P1150" s="74" t="s">
        <v>206</v>
      </c>
      <c r="Q1150" s="140" t="s">
        <v>38</v>
      </c>
    </row>
    <row r="1151" spans="9:17" x14ac:dyDescent="0.35">
      <c r="I1151" s="181" t="s">
        <v>508</v>
      </c>
      <c r="J1151" s="140" t="s">
        <v>238</v>
      </c>
      <c r="K1151" s="139">
        <v>3</v>
      </c>
      <c r="L1151" s="140" t="s">
        <v>106</v>
      </c>
      <c r="M1151" s="140" t="s">
        <v>64</v>
      </c>
      <c r="N1151" s="82" t="s">
        <v>55</v>
      </c>
      <c r="O1151" s="74" t="s">
        <v>511</v>
      </c>
      <c r="P1151" s="74" t="s">
        <v>107</v>
      </c>
      <c r="Q1151" s="140" t="s">
        <v>38</v>
      </c>
    </row>
    <row r="1152" spans="9:17" x14ac:dyDescent="0.35">
      <c r="I1152" s="181" t="s">
        <v>508</v>
      </c>
      <c r="J1152" s="140" t="s">
        <v>238</v>
      </c>
      <c r="K1152" s="139">
        <v>2</v>
      </c>
      <c r="L1152" s="140" t="s">
        <v>75</v>
      </c>
      <c r="M1152" s="140" t="s">
        <v>79</v>
      </c>
      <c r="N1152" s="82" t="s">
        <v>46</v>
      </c>
      <c r="O1152" s="74" t="s">
        <v>52</v>
      </c>
      <c r="P1152" s="74" t="s">
        <v>149</v>
      </c>
      <c r="Q1152" s="140" t="s">
        <v>54</v>
      </c>
    </row>
    <row r="1153" spans="9:17" x14ac:dyDescent="0.35">
      <c r="I1153" s="181" t="s">
        <v>508</v>
      </c>
      <c r="J1153" s="140" t="s">
        <v>238</v>
      </c>
      <c r="K1153" s="139">
        <v>2</v>
      </c>
      <c r="L1153" s="140" t="s">
        <v>75</v>
      </c>
      <c r="M1153" s="140" t="s">
        <v>79</v>
      </c>
      <c r="N1153" s="82" t="s">
        <v>55</v>
      </c>
      <c r="O1153" s="74" t="s">
        <v>52</v>
      </c>
      <c r="P1153" s="74" t="s">
        <v>160</v>
      </c>
      <c r="Q1153" s="140" t="s">
        <v>54</v>
      </c>
    </row>
    <row r="1154" spans="9:17" ht="14.5" customHeight="1" x14ac:dyDescent="0.35">
      <c r="I1154" s="181" t="s">
        <v>508</v>
      </c>
      <c r="J1154" s="178" t="s">
        <v>248</v>
      </c>
      <c r="K1154" s="139">
        <v>2</v>
      </c>
      <c r="L1154" s="140" t="s">
        <v>75</v>
      </c>
      <c r="M1154" s="140" t="s">
        <v>178</v>
      </c>
      <c r="N1154" s="82" t="s">
        <v>35</v>
      </c>
      <c r="O1154" s="74" t="s">
        <v>56</v>
      </c>
      <c r="P1154" s="83" t="s">
        <v>111</v>
      </c>
      <c r="Q1154" s="140" t="s">
        <v>54</v>
      </c>
    </row>
    <row r="1155" spans="9:17" ht="28" x14ac:dyDescent="0.35">
      <c r="I1155" s="181" t="s">
        <v>508</v>
      </c>
      <c r="J1155" s="178" t="s">
        <v>248</v>
      </c>
      <c r="K1155" s="139">
        <v>2</v>
      </c>
      <c r="L1155" s="140" t="s">
        <v>75</v>
      </c>
      <c r="M1155" s="140" t="s">
        <v>178</v>
      </c>
      <c r="N1155" s="82" t="s">
        <v>55</v>
      </c>
      <c r="O1155" s="74" t="s">
        <v>56</v>
      </c>
      <c r="P1155" s="74" t="s">
        <v>110</v>
      </c>
      <c r="Q1155" s="140" t="s">
        <v>54</v>
      </c>
    </row>
    <row r="1156" spans="9:17" ht="14.5" customHeight="1" x14ac:dyDescent="0.35">
      <c r="I1156" s="181" t="s">
        <v>508</v>
      </c>
      <c r="J1156" s="178" t="s">
        <v>144</v>
      </c>
      <c r="K1156" s="139">
        <v>1</v>
      </c>
      <c r="L1156" s="140" t="s">
        <v>63</v>
      </c>
      <c r="M1156" s="140" t="s">
        <v>34</v>
      </c>
      <c r="N1156" s="82" t="s">
        <v>35</v>
      </c>
      <c r="O1156" s="74" t="s">
        <v>511</v>
      </c>
      <c r="P1156" s="67" t="s">
        <v>65</v>
      </c>
      <c r="Q1156" s="140" t="s">
        <v>38</v>
      </c>
    </row>
    <row r="1157" spans="9:17" ht="28" x14ac:dyDescent="0.35">
      <c r="I1157" s="181" t="s">
        <v>508</v>
      </c>
      <c r="J1157" s="178" t="s">
        <v>144</v>
      </c>
      <c r="K1157" s="139">
        <v>1</v>
      </c>
      <c r="L1157" s="140" t="s">
        <v>63</v>
      </c>
      <c r="M1157" s="140" t="s">
        <v>34</v>
      </c>
      <c r="N1157" s="82" t="s">
        <v>46</v>
      </c>
      <c r="O1157" s="74" t="s">
        <v>511</v>
      </c>
      <c r="P1157" s="76" t="s">
        <v>65</v>
      </c>
      <c r="Q1157" s="140" t="s">
        <v>38</v>
      </c>
    </row>
    <row r="1158" spans="9:17" ht="14.5" customHeight="1" x14ac:dyDescent="0.35">
      <c r="I1158" s="181" t="s">
        <v>508</v>
      </c>
      <c r="J1158" s="178" t="s">
        <v>145</v>
      </c>
      <c r="K1158" s="139">
        <v>1.5</v>
      </c>
      <c r="L1158" s="140" t="s">
        <v>68</v>
      </c>
      <c r="M1158" s="140" t="s">
        <v>101</v>
      </c>
      <c r="N1158" s="82" t="s">
        <v>35</v>
      </c>
      <c r="O1158" s="76" t="s">
        <v>146</v>
      </c>
      <c r="P1158" s="76" t="s">
        <v>111</v>
      </c>
      <c r="Q1158" s="140" t="s">
        <v>54</v>
      </c>
    </row>
    <row r="1159" spans="9:17" ht="28" x14ac:dyDescent="0.35">
      <c r="I1159" s="181" t="s">
        <v>508</v>
      </c>
      <c r="J1159" s="178" t="s">
        <v>145</v>
      </c>
      <c r="K1159" s="139">
        <v>1.5</v>
      </c>
      <c r="L1159" s="140" t="s">
        <v>68</v>
      </c>
      <c r="M1159" s="140" t="s">
        <v>101</v>
      </c>
      <c r="N1159" s="82" t="s">
        <v>48</v>
      </c>
      <c r="O1159" s="76" t="s">
        <v>146</v>
      </c>
      <c r="P1159" s="76" t="s">
        <v>111</v>
      </c>
      <c r="Q1159" s="140" t="s">
        <v>54</v>
      </c>
    </row>
    <row r="1160" spans="9:17" ht="14.5" customHeight="1" x14ac:dyDescent="0.35">
      <c r="I1160" s="181" t="s">
        <v>508</v>
      </c>
      <c r="J1160" s="178" t="s">
        <v>145</v>
      </c>
      <c r="K1160" s="139">
        <v>1.5</v>
      </c>
      <c r="L1160" s="140" t="s">
        <v>68</v>
      </c>
      <c r="M1160" s="140" t="s">
        <v>69</v>
      </c>
      <c r="N1160" s="82" t="s">
        <v>35</v>
      </c>
      <c r="O1160" s="76" t="s">
        <v>232</v>
      </c>
      <c r="P1160" s="76" t="s">
        <v>71</v>
      </c>
      <c r="Q1160" s="140" t="s">
        <v>54</v>
      </c>
    </row>
    <row r="1161" spans="9:17" ht="28" x14ac:dyDescent="0.35">
      <c r="I1161" s="181" t="s">
        <v>508</v>
      </c>
      <c r="J1161" s="178" t="s">
        <v>145</v>
      </c>
      <c r="K1161" s="139">
        <v>1.5</v>
      </c>
      <c r="L1161" s="140" t="s">
        <v>68</v>
      </c>
      <c r="M1161" s="140" t="s">
        <v>69</v>
      </c>
      <c r="N1161" s="82" t="s">
        <v>48</v>
      </c>
      <c r="O1161" s="76" t="s">
        <v>232</v>
      </c>
      <c r="P1161" s="76" t="s">
        <v>71</v>
      </c>
      <c r="Q1161" s="140" t="s">
        <v>54</v>
      </c>
    </row>
    <row r="1162" spans="9:17" ht="14.5" customHeight="1" x14ac:dyDescent="0.35">
      <c r="I1162" s="178" t="s">
        <v>468</v>
      </c>
      <c r="J1162" s="178" t="s">
        <v>469</v>
      </c>
      <c r="K1162" s="139">
        <v>3</v>
      </c>
      <c r="L1162" s="140" t="s">
        <v>33</v>
      </c>
      <c r="M1162" s="140" t="s">
        <v>101</v>
      </c>
      <c r="N1162" s="74" t="s">
        <v>35</v>
      </c>
      <c r="O1162" s="74" t="s">
        <v>108</v>
      </c>
      <c r="P1162" s="74" t="s">
        <v>128</v>
      </c>
      <c r="Q1162" s="140" t="s">
        <v>54</v>
      </c>
    </row>
    <row r="1163" spans="9:17" x14ac:dyDescent="0.35">
      <c r="I1163" s="178" t="s">
        <v>468</v>
      </c>
      <c r="J1163" s="178" t="s">
        <v>469</v>
      </c>
      <c r="K1163" s="139">
        <v>3</v>
      </c>
      <c r="L1163" s="140" t="s">
        <v>33</v>
      </c>
      <c r="M1163" s="140" t="s">
        <v>101</v>
      </c>
      <c r="N1163" s="74" t="s">
        <v>48</v>
      </c>
      <c r="O1163" s="74" t="s">
        <v>40</v>
      </c>
      <c r="P1163" s="74" t="s">
        <v>128</v>
      </c>
      <c r="Q1163" s="140" t="s">
        <v>54</v>
      </c>
    </row>
    <row r="1164" spans="9:17" x14ac:dyDescent="0.35">
      <c r="I1164" s="178" t="s">
        <v>468</v>
      </c>
      <c r="J1164" s="178" t="s">
        <v>469</v>
      </c>
      <c r="K1164" s="139">
        <v>3</v>
      </c>
      <c r="L1164" s="140" t="s">
        <v>33</v>
      </c>
      <c r="M1164" s="140" t="s">
        <v>64</v>
      </c>
      <c r="N1164" s="74" t="s">
        <v>46</v>
      </c>
      <c r="O1164" s="74" t="s">
        <v>40</v>
      </c>
      <c r="P1164" s="74" t="s">
        <v>128</v>
      </c>
      <c r="Q1164" s="140" t="s">
        <v>54</v>
      </c>
    </row>
    <row r="1165" spans="9:17" x14ac:dyDescent="0.35">
      <c r="I1165" s="178" t="s">
        <v>468</v>
      </c>
      <c r="J1165" s="178" t="s">
        <v>469</v>
      </c>
      <c r="K1165" s="139">
        <v>3</v>
      </c>
      <c r="L1165" s="140" t="s">
        <v>33</v>
      </c>
      <c r="M1165" s="140" t="s">
        <v>64</v>
      </c>
      <c r="N1165" s="74" t="s">
        <v>55</v>
      </c>
      <c r="O1165" s="74" t="s">
        <v>511</v>
      </c>
      <c r="P1165" s="74" t="s">
        <v>128</v>
      </c>
      <c r="Q1165" s="140" t="s">
        <v>54</v>
      </c>
    </row>
    <row r="1166" spans="9:17" x14ac:dyDescent="0.35">
      <c r="I1166" s="178" t="s">
        <v>468</v>
      </c>
      <c r="J1166" s="178" t="s">
        <v>469</v>
      </c>
      <c r="K1166" s="139">
        <v>3</v>
      </c>
      <c r="L1166" s="140" t="s">
        <v>33</v>
      </c>
      <c r="M1166" s="140" t="s">
        <v>103</v>
      </c>
      <c r="N1166" s="74" t="s">
        <v>46</v>
      </c>
      <c r="O1166" s="74" t="s">
        <v>511</v>
      </c>
      <c r="P1166" s="74" t="s">
        <v>96</v>
      </c>
      <c r="Q1166" s="140" t="s">
        <v>54</v>
      </c>
    </row>
    <row r="1167" spans="9:17" x14ac:dyDescent="0.35">
      <c r="I1167" s="178" t="s">
        <v>468</v>
      </c>
      <c r="J1167" s="178" t="s">
        <v>469</v>
      </c>
      <c r="K1167" s="139">
        <v>3</v>
      </c>
      <c r="L1167" s="140" t="s">
        <v>33</v>
      </c>
      <c r="M1167" s="140" t="s">
        <v>103</v>
      </c>
      <c r="N1167" s="74" t="s">
        <v>48</v>
      </c>
      <c r="O1167" s="74" t="s">
        <v>108</v>
      </c>
      <c r="P1167" s="74" t="s">
        <v>96</v>
      </c>
      <c r="Q1167" s="140" t="s">
        <v>54</v>
      </c>
    </row>
    <row r="1168" spans="9:17" x14ac:dyDescent="0.35">
      <c r="I1168" s="178" t="s">
        <v>468</v>
      </c>
      <c r="J1168" s="178" t="s">
        <v>469</v>
      </c>
      <c r="K1168" s="139">
        <v>3</v>
      </c>
      <c r="L1168" s="140" t="s">
        <v>33</v>
      </c>
      <c r="M1168" s="140" t="s">
        <v>104</v>
      </c>
      <c r="N1168" s="74" t="s">
        <v>39</v>
      </c>
      <c r="O1168" s="74" t="s">
        <v>91</v>
      </c>
      <c r="P1168" s="74" t="s">
        <v>128</v>
      </c>
      <c r="Q1168" s="140" t="s">
        <v>54</v>
      </c>
    </row>
    <row r="1169" spans="2:17" x14ac:dyDescent="0.35">
      <c r="I1169" s="178" t="s">
        <v>468</v>
      </c>
      <c r="J1169" s="178" t="s">
        <v>469</v>
      </c>
      <c r="K1169" s="139">
        <v>3</v>
      </c>
      <c r="L1169" s="140" t="s">
        <v>33</v>
      </c>
      <c r="M1169" s="140" t="s">
        <v>104</v>
      </c>
      <c r="N1169" s="67" t="s">
        <v>55</v>
      </c>
      <c r="O1169" s="74" t="s">
        <v>44</v>
      </c>
      <c r="P1169" s="74" t="s">
        <v>128</v>
      </c>
      <c r="Q1169" s="140" t="s">
        <v>54</v>
      </c>
    </row>
    <row r="1170" spans="2:17" x14ac:dyDescent="0.35">
      <c r="I1170" s="178" t="s">
        <v>468</v>
      </c>
      <c r="J1170" s="178" t="s">
        <v>318</v>
      </c>
      <c r="K1170" s="139">
        <v>3</v>
      </c>
      <c r="L1170" s="140" t="s">
        <v>33</v>
      </c>
      <c r="M1170" s="140" t="s">
        <v>97</v>
      </c>
      <c r="N1170" s="74" t="s">
        <v>35</v>
      </c>
      <c r="O1170" s="74" t="s">
        <v>511</v>
      </c>
      <c r="P1170" s="74" t="s">
        <v>77</v>
      </c>
      <c r="Q1170" s="140" t="s">
        <v>54</v>
      </c>
    </row>
    <row r="1171" spans="2:17" x14ac:dyDescent="0.35">
      <c r="I1171" s="178" t="s">
        <v>468</v>
      </c>
      <c r="J1171" s="178" t="s">
        <v>318</v>
      </c>
      <c r="K1171" s="139">
        <v>3</v>
      </c>
      <c r="L1171" s="140" t="s">
        <v>33</v>
      </c>
      <c r="M1171" s="140" t="s">
        <v>97</v>
      </c>
      <c r="N1171" s="74" t="s">
        <v>48</v>
      </c>
      <c r="O1171" s="74" t="s">
        <v>511</v>
      </c>
      <c r="P1171" s="74" t="s">
        <v>77</v>
      </c>
      <c r="Q1171" s="140" t="s">
        <v>54</v>
      </c>
    </row>
    <row r="1172" spans="2:17" x14ac:dyDescent="0.35">
      <c r="I1172" s="197" t="s">
        <v>468</v>
      </c>
      <c r="J1172" s="198" t="s">
        <v>89</v>
      </c>
      <c r="K1172" s="199">
        <v>3</v>
      </c>
      <c r="L1172" s="140" t="s">
        <v>33</v>
      </c>
      <c r="M1172" s="85" t="s">
        <v>177</v>
      </c>
      <c r="N1172" s="74" t="s">
        <v>46</v>
      </c>
      <c r="O1172" s="74" t="s">
        <v>91</v>
      </c>
      <c r="P1172" s="74" t="s">
        <v>92</v>
      </c>
      <c r="Q1172" s="85" t="s">
        <v>93</v>
      </c>
    </row>
    <row r="1175" spans="2:17" x14ac:dyDescent="0.35">
      <c r="B1175" s="159" t="s">
        <v>513</v>
      </c>
      <c r="C1175" s="159" t="s">
        <v>514</v>
      </c>
      <c r="D1175" s="159" t="s">
        <v>10</v>
      </c>
      <c r="E1175" s="159" t="s">
        <v>11</v>
      </c>
      <c r="F1175" s="159" t="s">
        <v>12</v>
      </c>
      <c r="G1175" s="159" t="s">
        <v>16</v>
      </c>
      <c r="H1175" s="159" t="s">
        <v>17</v>
      </c>
      <c r="I1175" s="159" t="s">
        <v>18</v>
      </c>
      <c r="J1175" s="159" t="s">
        <v>19</v>
      </c>
    </row>
    <row r="1176" spans="2:17" x14ac:dyDescent="0.35">
      <c r="B1176" s="160">
        <f>INDEX($A$2:$A$85,MATCH(I61,$B$2:$B$85,0))</f>
        <v>1</v>
      </c>
      <c r="C1176" s="160">
        <f>INDEX($D$2:$D$117,MATCH(J61,$E$2:$E$117,0))</f>
        <v>17</v>
      </c>
      <c r="D1176" s="160">
        <f>INDEX($P$2:$P$5,MATCH(K61,$Q$2:$Q$5,0))</f>
        <v>2</v>
      </c>
      <c r="E1176" s="160">
        <f>INDEX($G$2:$G$19,MATCH(L61,$H$2:$H$19,0))</f>
        <v>8</v>
      </c>
      <c r="F1176" s="160">
        <f>INDEX($J$2:$J$55,MATCH(M61,$K$2:$K$55,0))</f>
        <v>48</v>
      </c>
      <c r="G1176" s="160">
        <f>INDEX($M$2:$M$6,MATCH(N61,$N$2:$N$6,0))</f>
        <v>1</v>
      </c>
      <c r="H1176" s="160">
        <f>INDEX($S$2:$S$26,MATCH(O61,$T$2:$T$26,0))</f>
        <v>2</v>
      </c>
      <c r="I1176" s="160">
        <f>INDEX($V$2:$V$108,MATCH(P61,$W$2:$W$108,0))</f>
        <v>1</v>
      </c>
      <c r="J1176" s="160">
        <f>INDEX($Y$2:$Y$4,MATCH(Q61,$Z$2:$Z$4,0))</f>
        <v>2</v>
      </c>
    </row>
    <row r="1177" spans="2:17" x14ac:dyDescent="0.35">
      <c r="B1177" s="160">
        <f t="shared" ref="B1177:B1240" si="0">INDEX($A$2:$A$85,MATCH(I62,$B$2:$B$85,0))</f>
        <v>1</v>
      </c>
      <c r="C1177" s="160">
        <f t="shared" ref="C1177:C1240" si="1">INDEX($D$2:$D$117,MATCH(J62,$E$2:$E$117,0))</f>
        <v>17</v>
      </c>
      <c r="D1177" s="160">
        <f t="shared" ref="D1177:D1240" si="2">INDEX($P$2:$P$5,MATCH(K62,$Q$2:$Q$5,0))</f>
        <v>2</v>
      </c>
      <c r="E1177" s="160">
        <f t="shared" ref="E1177:E1240" si="3">INDEX($G$2:$G$19,MATCH(L62,$H$2:$H$19,0))</f>
        <v>8</v>
      </c>
      <c r="F1177" s="160">
        <f t="shared" ref="F1177:F1240" si="4">INDEX($J$2:$J$55,MATCH(M62,$K$2:$K$55,0))</f>
        <v>48</v>
      </c>
      <c r="G1177" s="160">
        <f t="shared" ref="G1177:G1240" si="5">INDEX($M$2:$M$6,MATCH(N62,$N$2:$N$6,0))</f>
        <v>3</v>
      </c>
      <c r="H1177" s="160">
        <f t="shared" ref="H1177:H1240" si="6">INDEX($S$2:$S$26,MATCH(O62,$T$2:$T$26,0))</f>
        <v>11</v>
      </c>
      <c r="I1177" s="160">
        <f t="shared" ref="I1177:I1240" si="7">INDEX($V$2:$V$108,MATCH(P62,$W$2:$W$108,0))</f>
        <v>2</v>
      </c>
      <c r="J1177" s="160">
        <f t="shared" ref="J1177:J1240" si="8">INDEX($Y$2:$Y$4,MATCH(Q62,$Z$2:$Z$4,0))</f>
        <v>2</v>
      </c>
    </row>
    <row r="1178" spans="2:17" x14ac:dyDescent="0.35">
      <c r="B1178" s="160">
        <f t="shared" si="0"/>
        <v>1</v>
      </c>
      <c r="C1178" s="160">
        <f t="shared" si="1"/>
        <v>17</v>
      </c>
      <c r="D1178" s="160">
        <f t="shared" si="2"/>
        <v>2</v>
      </c>
      <c r="E1178" s="160">
        <f t="shared" si="3"/>
        <v>8</v>
      </c>
      <c r="F1178" s="160">
        <f t="shared" si="4"/>
        <v>49</v>
      </c>
      <c r="G1178" s="160">
        <f t="shared" si="5"/>
        <v>1</v>
      </c>
      <c r="H1178" s="160">
        <f t="shared" si="6"/>
        <v>11</v>
      </c>
      <c r="I1178" s="160">
        <f t="shared" si="7"/>
        <v>3</v>
      </c>
      <c r="J1178" s="160">
        <f t="shared" si="8"/>
        <v>2</v>
      </c>
    </row>
    <row r="1179" spans="2:17" x14ac:dyDescent="0.35">
      <c r="B1179" s="160">
        <f t="shared" si="0"/>
        <v>1</v>
      </c>
      <c r="C1179" s="160">
        <f t="shared" si="1"/>
        <v>17</v>
      </c>
      <c r="D1179" s="160">
        <f t="shared" si="2"/>
        <v>2</v>
      </c>
      <c r="E1179" s="160">
        <f t="shared" si="3"/>
        <v>8</v>
      </c>
      <c r="F1179" s="160">
        <f t="shared" si="4"/>
        <v>49</v>
      </c>
      <c r="G1179" s="160">
        <f t="shared" si="5"/>
        <v>3</v>
      </c>
      <c r="H1179" s="160">
        <f t="shared" si="6"/>
        <v>20</v>
      </c>
      <c r="I1179" s="160">
        <f t="shared" si="7"/>
        <v>3</v>
      </c>
      <c r="J1179" s="160">
        <f t="shared" si="8"/>
        <v>2</v>
      </c>
    </row>
    <row r="1180" spans="2:17" x14ac:dyDescent="0.35">
      <c r="B1180" s="160">
        <f t="shared" si="0"/>
        <v>1</v>
      </c>
      <c r="C1180" s="160">
        <f t="shared" si="1"/>
        <v>17</v>
      </c>
      <c r="D1180" s="160">
        <f t="shared" si="2"/>
        <v>2</v>
      </c>
      <c r="E1180" s="160">
        <f t="shared" si="3"/>
        <v>8</v>
      </c>
      <c r="F1180" s="160">
        <f t="shared" si="4"/>
        <v>50</v>
      </c>
      <c r="G1180" s="160">
        <f t="shared" si="5"/>
        <v>2</v>
      </c>
      <c r="H1180" s="160">
        <f t="shared" si="6"/>
        <v>11</v>
      </c>
      <c r="I1180" s="160">
        <f t="shared" si="7"/>
        <v>4</v>
      </c>
      <c r="J1180" s="160">
        <f t="shared" si="8"/>
        <v>2</v>
      </c>
    </row>
    <row r="1181" spans="2:17" x14ac:dyDescent="0.35">
      <c r="B1181" s="160">
        <f t="shared" si="0"/>
        <v>1</v>
      </c>
      <c r="C1181" s="160">
        <f t="shared" si="1"/>
        <v>17</v>
      </c>
      <c r="D1181" s="160">
        <f t="shared" si="2"/>
        <v>2</v>
      </c>
      <c r="E1181" s="160">
        <f t="shared" si="3"/>
        <v>8</v>
      </c>
      <c r="F1181" s="160">
        <f t="shared" si="4"/>
        <v>50</v>
      </c>
      <c r="G1181" s="160">
        <f t="shared" si="5"/>
        <v>4</v>
      </c>
      <c r="H1181" s="160">
        <f t="shared" si="6"/>
        <v>11</v>
      </c>
      <c r="I1181" s="160">
        <f t="shared" si="7"/>
        <v>4</v>
      </c>
      <c r="J1181" s="160">
        <f t="shared" si="8"/>
        <v>2</v>
      </c>
    </row>
    <row r="1182" spans="2:17" x14ac:dyDescent="0.35">
      <c r="B1182" s="160">
        <f t="shared" si="0"/>
        <v>1</v>
      </c>
      <c r="C1182" s="160">
        <f t="shared" si="1"/>
        <v>17</v>
      </c>
      <c r="D1182" s="160">
        <f t="shared" si="2"/>
        <v>2</v>
      </c>
      <c r="E1182" s="160">
        <f t="shared" si="3"/>
        <v>8</v>
      </c>
      <c r="F1182" s="160">
        <f t="shared" si="4"/>
        <v>51</v>
      </c>
      <c r="G1182" s="160">
        <f t="shared" si="5"/>
        <v>2</v>
      </c>
      <c r="H1182" s="160">
        <f t="shared" si="6"/>
        <v>20</v>
      </c>
      <c r="I1182" s="160">
        <f t="shared" si="7"/>
        <v>3</v>
      </c>
      <c r="J1182" s="160">
        <f t="shared" si="8"/>
        <v>2</v>
      </c>
    </row>
    <row r="1183" spans="2:17" x14ac:dyDescent="0.35">
      <c r="B1183" s="160">
        <f t="shared" si="0"/>
        <v>1</v>
      </c>
      <c r="C1183" s="160">
        <f t="shared" si="1"/>
        <v>17</v>
      </c>
      <c r="D1183" s="160">
        <f t="shared" si="2"/>
        <v>2</v>
      </c>
      <c r="E1183" s="160">
        <f t="shared" si="3"/>
        <v>8</v>
      </c>
      <c r="F1183" s="160">
        <f t="shared" si="4"/>
        <v>51</v>
      </c>
      <c r="G1183" s="160">
        <f t="shared" si="5"/>
        <v>4</v>
      </c>
      <c r="H1183" s="160">
        <f t="shared" si="6"/>
        <v>20</v>
      </c>
      <c r="I1183" s="160">
        <f t="shared" si="7"/>
        <v>3</v>
      </c>
      <c r="J1183" s="160">
        <f t="shared" si="8"/>
        <v>2</v>
      </c>
    </row>
    <row r="1184" spans="2:17" x14ac:dyDescent="0.35">
      <c r="B1184" s="160">
        <f t="shared" si="0"/>
        <v>1</v>
      </c>
      <c r="C1184" s="160">
        <f t="shared" si="1"/>
        <v>25</v>
      </c>
      <c r="D1184" s="160">
        <f t="shared" si="2"/>
        <v>2</v>
      </c>
      <c r="E1184" s="160">
        <f t="shared" si="3"/>
        <v>10</v>
      </c>
      <c r="F1184" s="160">
        <f t="shared" si="4"/>
        <v>48</v>
      </c>
      <c r="G1184" s="160">
        <f t="shared" si="5"/>
        <v>2</v>
      </c>
      <c r="H1184" s="160">
        <f t="shared" si="6"/>
        <v>10</v>
      </c>
      <c r="I1184" s="160">
        <f t="shared" si="7"/>
        <v>5</v>
      </c>
      <c r="J1184" s="160">
        <f t="shared" si="8"/>
        <v>1</v>
      </c>
    </row>
    <row r="1185" spans="2:10" x14ac:dyDescent="0.35">
      <c r="B1185" s="160">
        <f t="shared" si="0"/>
        <v>1</v>
      </c>
      <c r="C1185" s="160">
        <f t="shared" si="1"/>
        <v>25</v>
      </c>
      <c r="D1185" s="160">
        <f t="shared" si="2"/>
        <v>2</v>
      </c>
      <c r="E1185" s="160">
        <f t="shared" si="3"/>
        <v>10</v>
      </c>
      <c r="F1185" s="160">
        <f t="shared" si="4"/>
        <v>48</v>
      </c>
      <c r="G1185" s="160">
        <f t="shared" si="5"/>
        <v>5</v>
      </c>
      <c r="H1185" s="160">
        <f t="shared" si="6"/>
        <v>1</v>
      </c>
      <c r="I1185" s="160">
        <f t="shared" si="7"/>
        <v>6</v>
      </c>
      <c r="J1185" s="160">
        <f t="shared" si="8"/>
        <v>1</v>
      </c>
    </row>
    <row r="1186" spans="2:10" x14ac:dyDescent="0.35">
      <c r="B1186" s="160">
        <f t="shared" si="0"/>
        <v>1</v>
      </c>
      <c r="C1186" s="160">
        <f t="shared" si="1"/>
        <v>24</v>
      </c>
      <c r="D1186" s="160">
        <f t="shared" si="2"/>
        <v>2</v>
      </c>
      <c r="E1186" s="160">
        <f t="shared" si="3"/>
        <v>10</v>
      </c>
      <c r="F1186" s="160">
        <f t="shared" si="4"/>
        <v>49</v>
      </c>
      <c r="G1186" s="160">
        <f t="shared" si="5"/>
        <v>3</v>
      </c>
      <c r="H1186" s="160">
        <f t="shared" si="6"/>
        <v>14</v>
      </c>
      <c r="I1186" s="160">
        <f t="shared" si="7"/>
        <v>7</v>
      </c>
      <c r="J1186" s="160">
        <f t="shared" si="8"/>
        <v>1</v>
      </c>
    </row>
    <row r="1187" spans="2:10" x14ac:dyDescent="0.35">
      <c r="B1187" s="160">
        <f t="shared" si="0"/>
        <v>1</v>
      </c>
      <c r="C1187" s="160">
        <f t="shared" si="1"/>
        <v>24</v>
      </c>
      <c r="D1187" s="160">
        <f t="shared" si="2"/>
        <v>2</v>
      </c>
      <c r="E1187" s="160">
        <f t="shared" si="3"/>
        <v>10</v>
      </c>
      <c r="F1187" s="160">
        <f t="shared" si="4"/>
        <v>49</v>
      </c>
      <c r="G1187" s="160">
        <f t="shared" si="5"/>
        <v>4</v>
      </c>
      <c r="H1187" s="160">
        <f t="shared" si="6"/>
        <v>23</v>
      </c>
      <c r="I1187" s="160">
        <f t="shared" si="7"/>
        <v>7</v>
      </c>
      <c r="J1187" s="160">
        <f t="shared" si="8"/>
        <v>1</v>
      </c>
    </row>
    <row r="1188" spans="2:10" x14ac:dyDescent="0.35">
      <c r="B1188" s="160">
        <f t="shared" si="0"/>
        <v>1</v>
      </c>
      <c r="C1188" s="160">
        <f t="shared" si="1"/>
        <v>5</v>
      </c>
      <c r="D1188" s="160">
        <f t="shared" si="2"/>
        <v>2</v>
      </c>
      <c r="E1188" s="160">
        <f t="shared" si="3"/>
        <v>16</v>
      </c>
      <c r="F1188" s="160">
        <f t="shared" si="4"/>
        <v>43</v>
      </c>
      <c r="G1188" s="160">
        <f t="shared" si="5"/>
        <v>4</v>
      </c>
      <c r="H1188" s="160">
        <f t="shared" si="6"/>
        <v>11</v>
      </c>
      <c r="I1188" s="160">
        <f t="shared" si="7"/>
        <v>8</v>
      </c>
      <c r="J1188" s="160">
        <f t="shared" si="8"/>
        <v>2</v>
      </c>
    </row>
    <row r="1189" spans="2:10" x14ac:dyDescent="0.35">
      <c r="B1189" s="160">
        <f t="shared" si="0"/>
        <v>1</v>
      </c>
      <c r="C1189" s="160">
        <f t="shared" si="1"/>
        <v>5</v>
      </c>
      <c r="D1189" s="160">
        <f t="shared" si="2"/>
        <v>2</v>
      </c>
      <c r="E1189" s="160">
        <f t="shared" si="3"/>
        <v>16</v>
      </c>
      <c r="F1189" s="160">
        <f t="shared" si="4"/>
        <v>43</v>
      </c>
      <c r="G1189" s="160">
        <f t="shared" si="5"/>
        <v>5</v>
      </c>
      <c r="H1189" s="160">
        <f t="shared" si="6"/>
        <v>8</v>
      </c>
      <c r="I1189" s="160">
        <f t="shared" si="7"/>
        <v>8</v>
      </c>
      <c r="J1189" s="160">
        <f t="shared" si="8"/>
        <v>2</v>
      </c>
    </row>
    <row r="1190" spans="2:10" x14ac:dyDescent="0.35">
      <c r="B1190" s="160">
        <f t="shared" si="0"/>
        <v>1</v>
      </c>
      <c r="C1190" s="160">
        <f t="shared" si="1"/>
        <v>16</v>
      </c>
      <c r="D1190" s="160">
        <f t="shared" si="2"/>
        <v>3</v>
      </c>
      <c r="E1190" s="160">
        <f t="shared" si="3"/>
        <v>17</v>
      </c>
      <c r="F1190" s="160">
        <f t="shared" si="4"/>
        <v>47</v>
      </c>
      <c r="G1190" s="160">
        <f t="shared" si="5"/>
        <v>1</v>
      </c>
      <c r="H1190" s="160">
        <f t="shared" si="6"/>
        <v>3</v>
      </c>
      <c r="I1190" s="160">
        <f t="shared" si="7"/>
        <v>9</v>
      </c>
      <c r="J1190" s="160">
        <f t="shared" si="8"/>
        <v>1</v>
      </c>
    </row>
    <row r="1191" spans="2:10" x14ac:dyDescent="0.35">
      <c r="B1191" s="160">
        <f t="shared" si="0"/>
        <v>1</v>
      </c>
      <c r="C1191" s="160">
        <f t="shared" si="1"/>
        <v>16</v>
      </c>
      <c r="D1191" s="160">
        <f t="shared" si="2"/>
        <v>3</v>
      </c>
      <c r="E1191" s="160">
        <f t="shared" si="3"/>
        <v>17</v>
      </c>
      <c r="F1191" s="160">
        <f t="shared" si="4"/>
        <v>47</v>
      </c>
      <c r="G1191" s="160">
        <f t="shared" si="5"/>
        <v>4</v>
      </c>
      <c r="H1191" s="160">
        <f t="shared" si="6"/>
        <v>3</v>
      </c>
      <c r="I1191" s="160">
        <f t="shared" si="7"/>
        <v>9</v>
      </c>
      <c r="J1191" s="160">
        <f t="shared" si="8"/>
        <v>1</v>
      </c>
    </row>
    <row r="1192" spans="2:10" x14ac:dyDescent="0.35">
      <c r="B1192" s="160">
        <f t="shared" si="0"/>
        <v>2</v>
      </c>
      <c r="C1192" s="160">
        <f t="shared" si="1"/>
        <v>44</v>
      </c>
      <c r="D1192" s="160">
        <f t="shared" si="2"/>
        <v>4</v>
      </c>
      <c r="E1192" s="160">
        <f>INDEX($G$2:$G$19,MATCH(L77,$H$2:$H$19,0))</f>
        <v>15</v>
      </c>
      <c r="F1192" s="160">
        <f t="shared" si="4"/>
        <v>26</v>
      </c>
      <c r="G1192" s="160">
        <f t="shared" si="5"/>
        <v>1</v>
      </c>
      <c r="H1192" s="160">
        <f t="shared" si="6"/>
        <v>11</v>
      </c>
      <c r="I1192" s="160">
        <f t="shared" si="7"/>
        <v>10</v>
      </c>
      <c r="J1192" s="160">
        <f t="shared" si="8"/>
        <v>2</v>
      </c>
    </row>
    <row r="1193" spans="2:10" x14ac:dyDescent="0.35">
      <c r="B1193" s="160">
        <f t="shared" si="0"/>
        <v>2</v>
      </c>
      <c r="C1193" s="160">
        <f t="shared" si="1"/>
        <v>44</v>
      </c>
      <c r="D1193" s="160">
        <f t="shared" si="2"/>
        <v>4</v>
      </c>
      <c r="E1193" s="160">
        <f t="shared" si="3"/>
        <v>15</v>
      </c>
      <c r="F1193" s="160">
        <f t="shared" si="4"/>
        <v>26</v>
      </c>
      <c r="G1193" s="160">
        <f t="shared" si="5"/>
        <v>4</v>
      </c>
      <c r="H1193" s="160">
        <f t="shared" si="6"/>
        <v>2</v>
      </c>
      <c r="I1193" s="160">
        <f t="shared" si="7"/>
        <v>11</v>
      </c>
      <c r="J1193" s="160">
        <f t="shared" si="8"/>
        <v>2</v>
      </c>
    </row>
    <row r="1194" spans="2:10" x14ac:dyDescent="0.35">
      <c r="B1194" s="160">
        <f t="shared" si="0"/>
        <v>2</v>
      </c>
      <c r="C1194" s="160">
        <f t="shared" si="1"/>
        <v>44</v>
      </c>
      <c r="D1194" s="160">
        <f t="shared" si="2"/>
        <v>4</v>
      </c>
      <c r="E1194" s="160">
        <f t="shared" si="3"/>
        <v>15</v>
      </c>
      <c r="F1194" s="160">
        <f t="shared" si="4"/>
        <v>27</v>
      </c>
      <c r="G1194" s="160">
        <f t="shared" si="5"/>
        <v>1</v>
      </c>
      <c r="H1194" s="160">
        <f t="shared" si="6"/>
        <v>2</v>
      </c>
      <c r="I1194" s="160">
        <f t="shared" si="7"/>
        <v>12</v>
      </c>
      <c r="J1194" s="160">
        <f t="shared" si="8"/>
        <v>2</v>
      </c>
    </row>
    <row r="1195" spans="2:10" x14ac:dyDescent="0.35">
      <c r="B1195" s="160">
        <f t="shared" si="0"/>
        <v>2</v>
      </c>
      <c r="C1195" s="160">
        <f t="shared" si="1"/>
        <v>44</v>
      </c>
      <c r="D1195" s="160">
        <f t="shared" si="2"/>
        <v>4</v>
      </c>
      <c r="E1195" s="160">
        <f t="shared" si="3"/>
        <v>15</v>
      </c>
      <c r="F1195" s="160">
        <f t="shared" si="4"/>
        <v>27</v>
      </c>
      <c r="G1195" s="160">
        <f t="shared" si="5"/>
        <v>4</v>
      </c>
      <c r="H1195" s="160">
        <f t="shared" si="6"/>
        <v>11</v>
      </c>
      <c r="I1195" s="160">
        <f t="shared" si="7"/>
        <v>2</v>
      </c>
      <c r="J1195" s="160">
        <f t="shared" si="8"/>
        <v>2</v>
      </c>
    </row>
    <row r="1196" spans="2:10" x14ac:dyDescent="0.35">
      <c r="B1196" s="160">
        <f t="shared" si="0"/>
        <v>2</v>
      </c>
      <c r="C1196" s="160">
        <f t="shared" si="1"/>
        <v>24</v>
      </c>
      <c r="D1196" s="160">
        <f t="shared" si="2"/>
        <v>2</v>
      </c>
      <c r="E1196" s="160">
        <f t="shared" si="3"/>
        <v>11</v>
      </c>
      <c r="F1196" s="160">
        <f t="shared" si="4"/>
        <v>49</v>
      </c>
      <c r="G1196" s="160">
        <f t="shared" si="5"/>
        <v>1</v>
      </c>
      <c r="H1196" s="160">
        <f t="shared" si="6"/>
        <v>25</v>
      </c>
      <c r="I1196" s="160">
        <f t="shared" si="7"/>
        <v>7</v>
      </c>
      <c r="J1196" s="160">
        <f t="shared" si="8"/>
        <v>2</v>
      </c>
    </row>
    <row r="1197" spans="2:10" x14ac:dyDescent="0.35">
      <c r="B1197" s="160">
        <f t="shared" si="0"/>
        <v>2</v>
      </c>
      <c r="C1197" s="160">
        <f t="shared" si="1"/>
        <v>24</v>
      </c>
      <c r="D1197" s="160">
        <f t="shared" si="2"/>
        <v>2</v>
      </c>
      <c r="E1197" s="160">
        <f t="shared" si="3"/>
        <v>11</v>
      </c>
      <c r="F1197" s="160">
        <f t="shared" si="4"/>
        <v>49</v>
      </c>
      <c r="G1197" s="160">
        <f t="shared" si="5"/>
        <v>3</v>
      </c>
      <c r="H1197" s="160">
        <f t="shared" si="6"/>
        <v>25</v>
      </c>
      <c r="I1197" s="160">
        <f t="shared" si="7"/>
        <v>7</v>
      </c>
      <c r="J1197" s="160">
        <f t="shared" si="8"/>
        <v>2</v>
      </c>
    </row>
    <row r="1198" spans="2:10" x14ac:dyDescent="0.35">
      <c r="B1198" s="160">
        <f t="shared" si="0"/>
        <v>2</v>
      </c>
      <c r="C1198" s="160">
        <f t="shared" si="1"/>
        <v>25</v>
      </c>
      <c r="D1198" s="160">
        <f t="shared" si="2"/>
        <v>2</v>
      </c>
      <c r="E1198" s="160">
        <f t="shared" si="3"/>
        <v>11</v>
      </c>
      <c r="F1198" s="160">
        <f t="shared" si="4"/>
        <v>51</v>
      </c>
      <c r="G1198" s="160">
        <f t="shared" si="5"/>
        <v>1</v>
      </c>
      <c r="H1198" s="160">
        <f t="shared" si="6"/>
        <v>25</v>
      </c>
      <c r="I1198" s="160">
        <f t="shared" si="7"/>
        <v>13</v>
      </c>
      <c r="J1198" s="160">
        <f t="shared" si="8"/>
        <v>2</v>
      </c>
    </row>
    <row r="1199" spans="2:10" x14ac:dyDescent="0.35">
      <c r="B1199" s="160">
        <f t="shared" si="0"/>
        <v>2</v>
      </c>
      <c r="C1199" s="160">
        <f t="shared" si="1"/>
        <v>25</v>
      </c>
      <c r="D1199" s="160">
        <f t="shared" si="2"/>
        <v>2</v>
      </c>
      <c r="E1199" s="160">
        <f t="shared" si="3"/>
        <v>11</v>
      </c>
      <c r="F1199" s="160">
        <f t="shared" si="4"/>
        <v>51</v>
      </c>
      <c r="G1199" s="160">
        <f t="shared" si="5"/>
        <v>4</v>
      </c>
      <c r="H1199" s="160">
        <f t="shared" si="6"/>
        <v>21</v>
      </c>
      <c r="I1199" s="160">
        <f t="shared" si="7"/>
        <v>14</v>
      </c>
      <c r="J1199" s="160">
        <f t="shared" si="8"/>
        <v>2</v>
      </c>
    </row>
    <row r="1200" spans="2:10" x14ac:dyDescent="0.35">
      <c r="B1200" s="160">
        <f t="shared" si="0"/>
        <v>2</v>
      </c>
      <c r="C1200" s="160">
        <f t="shared" si="1"/>
        <v>25</v>
      </c>
      <c r="D1200" s="160">
        <f t="shared" si="2"/>
        <v>2</v>
      </c>
      <c r="E1200" s="160">
        <f t="shared" si="3"/>
        <v>2</v>
      </c>
      <c r="F1200" s="160">
        <f t="shared" si="4"/>
        <v>48</v>
      </c>
      <c r="G1200" s="160">
        <f t="shared" si="5"/>
        <v>2</v>
      </c>
      <c r="H1200" s="160">
        <f t="shared" si="6"/>
        <v>1</v>
      </c>
      <c r="I1200" s="160">
        <f t="shared" si="7"/>
        <v>15</v>
      </c>
      <c r="J1200" s="160">
        <f t="shared" si="8"/>
        <v>2</v>
      </c>
    </row>
    <row r="1201" spans="2:10" x14ac:dyDescent="0.35">
      <c r="B1201" s="160">
        <f t="shared" si="0"/>
        <v>2</v>
      </c>
      <c r="C1201" s="160">
        <f t="shared" si="1"/>
        <v>25</v>
      </c>
      <c r="D1201" s="160">
        <f t="shared" si="2"/>
        <v>2</v>
      </c>
      <c r="E1201" s="160">
        <f t="shared" si="3"/>
        <v>2</v>
      </c>
      <c r="F1201" s="160">
        <f t="shared" si="4"/>
        <v>48</v>
      </c>
      <c r="G1201" s="160">
        <f t="shared" si="5"/>
        <v>3</v>
      </c>
      <c r="H1201" s="160">
        <f t="shared" si="6"/>
        <v>21</v>
      </c>
      <c r="I1201" s="160">
        <f t="shared" si="7"/>
        <v>16</v>
      </c>
      <c r="J1201" s="160">
        <f t="shared" si="8"/>
        <v>2</v>
      </c>
    </row>
    <row r="1202" spans="2:10" x14ac:dyDescent="0.35">
      <c r="B1202" s="160">
        <f t="shared" si="0"/>
        <v>2</v>
      </c>
      <c r="C1202" s="160">
        <f t="shared" si="1"/>
        <v>22</v>
      </c>
      <c r="D1202" s="160">
        <f t="shared" si="2"/>
        <v>4</v>
      </c>
      <c r="E1202" s="160">
        <f t="shared" si="3"/>
        <v>15</v>
      </c>
      <c r="F1202" s="160">
        <f t="shared" si="4"/>
        <v>1</v>
      </c>
      <c r="G1202" s="160">
        <f t="shared" si="5"/>
        <v>1</v>
      </c>
      <c r="H1202" s="160">
        <f t="shared" si="6"/>
        <v>24</v>
      </c>
      <c r="I1202" s="160">
        <f t="shared" si="7"/>
        <v>17</v>
      </c>
      <c r="J1202" s="160">
        <f t="shared" si="8"/>
        <v>3</v>
      </c>
    </row>
    <row r="1203" spans="2:10" x14ac:dyDescent="0.35">
      <c r="B1203" s="160">
        <f t="shared" si="0"/>
        <v>3</v>
      </c>
      <c r="C1203" s="160">
        <f t="shared" si="1"/>
        <v>37</v>
      </c>
      <c r="D1203" s="160">
        <f t="shared" si="2"/>
        <v>4</v>
      </c>
      <c r="E1203" s="160">
        <f t="shared" si="3"/>
        <v>8</v>
      </c>
      <c r="F1203" s="160">
        <f t="shared" si="4"/>
        <v>27</v>
      </c>
      <c r="G1203" s="160">
        <f t="shared" si="5"/>
        <v>2</v>
      </c>
      <c r="H1203" s="160">
        <f t="shared" si="6"/>
        <v>11</v>
      </c>
      <c r="I1203" s="160">
        <f t="shared" si="7"/>
        <v>18</v>
      </c>
      <c r="J1203" s="160">
        <f t="shared" si="8"/>
        <v>1</v>
      </c>
    </row>
    <row r="1204" spans="2:10" x14ac:dyDescent="0.35">
      <c r="B1204" s="160">
        <f t="shared" si="0"/>
        <v>3</v>
      </c>
      <c r="C1204" s="160">
        <f t="shared" si="1"/>
        <v>37</v>
      </c>
      <c r="D1204" s="160">
        <f t="shared" si="2"/>
        <v>4</v>
      </c>
      <c r="E1204" s="160">
        <f t="shared" si="3"/>
        <v>8</v>
      </c>
      <c r="F1204" s="160">
        <f>INDEX($J$2:$J$55,MATCH(M89,$K$2:$K$55,0))</f>
        <v>27</v>
      </c>
      <c r="G1204" s="160">
        <f t="shared" si="5"/>
        <v>4</v>
      </c>
      <c r="H1204" s="160">
        <f t="shared" si="6"/>
        <v>2</v>
      </c>
      <c r="I1204" s="160">
        <f t="shared" si="7"/>
        <v>18</v>
      </c>
      <c r="J1204" s="160">
        <f t="shared" si="8"/>
        <v>1</v>
      </c>
    </row>
    <row r="1205" spans="2:10" x14ac:dyDescent="0.35">
      <c r="B1205" s="160">
        <f t="shared" si="0"/>
        <v>3</v>
      </c>
      <c r="C1205" s="160">
        <f t="shared" si="1"/>
        <v>37</v>
      </c>
      <c r="D1205" s="160">
        <f t="shared" si="2"/>
        <v>4</v>
      </c>
      <c r="E1205" s="160">
        <f t="shared" si="3"/>
        <v>8</v>
      </c>
      <c r="F1205" s="160">
        <f t="shared" si="4"/>
        <v>28</v>
      </c>
      <c r="G1205" s="160">
        <f t="shared" si="5"/>
        <v>1</v>
      </c>
      <c r="H1205" s="160">
        <f t="shared" si="6"/>
        <v>2</v>
      </c>
      <c r="I1205" s="160">
        <f t="shared" si="7"/>
        <v>19</v>
      </c>
      <c r="J1205" s="160">
        <f t="shared" si="8"/>
        <v>1</v>
      </c>
    </row>
    <row r="1206" spans="2:10" x14ac:dyDescent="0.35">
      <c r="B1206" s="160">
        <f t="shared" si="0"/>
        <v>3</v>
      </c>
      <c r="C1206" s="160">
        <f t="shared" si="1"/>
        <v>37</v>
      </c>
      <c r="D1206" s="160">
        <f t="shared" si="2"/>
        <v>4</v>
      </c>
      <c r="E1206" s="160">
        <f t="shared" si="3"/>
        <v>8</v>
      </c>
      <c r="F1206" s="160">
        <f t="shared" si="4"/>
        <v>28</v>
      </c>
      <c r="G1206" s="160">
        <f t="shared" si="5"/>
        <v>5</v>
      </c>
      <c r="H1206" s="160">
        <f t="shared" si="6"/>
        <v>2</v>
      </c>
      <c r="I1206" s="160">
        <f t="shared" si="7"/>
        <v>19</v>
      </c>
      <c r="J1206" s="160">
        <f t="shared" si="8"/>
        <v>1</v>
      </c>
    </row>
    <row r="1207" spans="2:10" x14ac:dyDescent="0.35">
      <c r="B1207" s="160">
        <f t="shared" si="0"/>
        <v>3</v>
      </c>
      <c r="C1207" s="160">
        <f t="shared" si="1"/>
        <v>1</v>
      </c>
      <c r="D1207" s="160">
        <f t="shared" si="2"/>
        <v>4</v>
      </c>
      <c r="E1207" s="160">
        <f t="shared" si="3"/>
        <v>8</v>
      </c>
      <c r="F1207" s="160">
        <f t="shared" si="4"/>
        <v>27</v>
      </c>
      <c r="G1207" s="160">
        <f t="shared" si="5"/>
        <v>1</v>
      </c>
      <c r="H1207" s="160">
        <f t="shared" si="6"/>
        <v>20</v>
      </c>
      <c r="I1207" s="160">
        <f t="shared" si="7"/>
        <v>1</v>
      </c>
      <c r="J1207" s="160">
        <f t="shared" si="8"/>
        <v>2</v>
      </c>
    </row>
    <row r="1208" spans="2:10" x14ac:dyDescent="0.35">
      <c r="B1208" s="160">
        <f t="shared" si="0"/>
        <v>3</v>
      </c>
      <c r="C1208" s="160">
        <f t="shared" si="1"/>
        <v>1</v>
      </c>
      <c r="D1208" s="160">
        <f t="shared" si="2"/>
        <v>4</v>
      </c>
      <c r="E1208" s="160">
        <f t="shared" si="3"/>
        <v>8</v>
      </c>
      <c r="F1208" s="160">
        <f t="shared" si="4"/>
        <v>27</v>
      </c>
      <c r="G1208" s="160">
        <f t="shared" si="5"/>
        <v>3</v>
      </c>
      <c r="H1208" s="160">
        <f t="shared" si="6"/>
        <v>20</v>
      </c>
      <c r="I1208" s="160">
        <f t="shared" si="7"/>
        <v>1</v>
      </c>
      <c r="J1208" s="160">
        <f t="shared" si="8"/>
        <v>2</v>
      </c>
    </row>
    <row r="1209" spans="2:10" x14ac:dyDescent="0.35">
      <c r="B1209" s="160">
        <f t="shared" si="0"/>
        <v>3</v>
      </c>
      <c r="C1209" s="160">
        <f t="shared" si="1"/>
        <v>38</v>
      </c>
      <c r="D1209" s="160">
        <f t="shared" si="2"/>
        <v>4</v>
      </c>
      <c r="E1209" s="160">
        <f t="shared" si="3"/>
        <v>8</v>
      </c>
      <c r="F1209" s="160">
        <f t="shared" si="4"/>
        <v>42</v>
      </c>
      <c r="G1209" s="160">
        <f t="shared" si="5"/>
        <v>1</v>
      </c>
      <c r="H1209" s="160">
        <f t="shared" si="6"/>
        <v>2</v>
      </c>
      <c r="I1209" s="160">
        <f t="shared" si="7"/>
        <v>3</v>
      </c>
      <c r="J1209" s="160">
        <f t="shared" si="8"/>
        <v>2</v>
      </c>
    </row>
    <row r="1210" spans="2:10" x14ac:dyDescent="0.35">
      <c r="B1210" s="160">
        <f t="shared" si="0"/>
        <v>3</v>
      </c>
      <c r="C1210" s="160">
        <f t="shared" si="1"/>
        <v>38</v>
      </c>
      <c r="D1210" s="160">
        <f t="shared" si="2"/>
        <v>4</v>
      </c>
      <c r="E1210" s="160">
        <f t="shared" si="3"/>
        <v>8</v>
      </c>
      <c r="F1210" s="160">
        <f t="shared" si="4"/>
        <v>42</v>
      </c>
      <c r="G1210" s="160">
        <f t="shared" si="5"/>
        <v>3</v>
      </c>
      <c r="H1210" s="160">
        <f t="shared" si="6"/>
        <v>2</v>
      </c>
      <c r="I1210" s="160">
        <f t="shared" si="7"/>
        <v>3</v>
      </c>
      <c r="J1210" s="160">
        <f t="shared" si="8"/>
        <v>2</v>
      </c>
    </row>
    <row r="1211" spans="2:10" x14ac:dyDescent="0.35">
      <c r="B1211" s="160">
        <f t="shared" si="0"/>
        <v>3</v>
      </c>
      <c r="C1211" s="160">
        <f t="shared" si="1"/>
        <v>38</v>
      </c>
      <c r="D1211" s="160">
        <f t="shared" si="2"/>
        <v>4</v>
      </c>
      <c r="E1211" s="160">
        <f t="shared" si="3"/>
        <v>8</v>
      </c>
      <c r="F1211" s="160">
        <f t="shared" si="4"/>
        <v>43</v>
      </c>
      <c r="G1211" s="160">
        <f t="shared" si="5"/>
        <v>2</v>
      </c>
      <c r="H1211" s="160">
        <f t="shared" si="6"/>
        <v>2</v>
      </c>
      <c r="I1211" s="160">
        <f t="shared" si="7"/>
        <v>17</v>
      </c>
      <c r="J1211" s="160">
        <f t="shared" si="8"/>
        <v>2</v>
      </c>
    </row>
    <row r="1212" spans="2:10" x14ac:dyDescent="0.35">
      <c r="B1212" s="160">
        <f t="shared" si="0"/>
        <v>3</v>
      </c>
      <c r="C1212" s="160">
        <f t="shared" si="1"/>
        <v>38</v>
      </c>
      <c r="D1212" s="160">
        <f t="shared" si="2"/>
        <v>4</v>
      </c>
      <c r="E1212" s="160">
        <f t="shared" si="3"/>
        <v>8</v>
      </c>
      <c r="F1212" s="160">
        <f t="shared" si="4"/>
        <v>43</v>
      </c>
      <c r="G1212" s="160">
        <f t="shared" si="5"/>
        <v>4</v>
      </c>
      <c r="H1212" s="160">
        <f t="shared" si="6"/>
        <v>2</v>
      </c>
      <c r="I1212" s="160">
        <f t="shared" si="7"/>
        <v>17</v>
      </c>
      <c r="J1212" s="160">
        <f t="shared" si="8"/>
        <v>2</v>
      </c>
    </row>
    <row r="1213" spans="2:10" x14ac:dyDescent="0.35">
      <c r="B1213" s="160">
        <f t="shared" si="0"/>
        <v>3</v>
      </c>
      <c r="C1213" s="160">
        <f t="shared" si="1"/>
        <v>38</v>
      </c>
      <c r="D1213" s="160">
        <f t="shared" si="2"/>
        <v>4</v>
      </c>
      <c r="E1213" s="160">
        <f t="shared" si="3"/>
        <v>8</v>
      </c>
      <c r="F1213" s="160">
        <f t="shared" si="4"/>
        <v>44</v>
      </c>
      <c r="G1213" s="160">
        <f t="shared" si="5"/>
        <v>2</v>
      </c>
      <c r="H1213" s="160">
        <f t="shared" si="6"/>
        <v>11</v>
      </c>
      <c r="I1213" s="160">
        <f t="shared" si="7"/>
        <v>17</v>
      </c>
      <c r="J1213" s="160">
        <f t="shared" si="8"/>
        <v>2</v>
      </c>
    </row>
    <row r="1214" spans="2:10" x14ac:dyDescent="0.35">
      <c r="B1214" s="160">
        <f t="shared" si="0"/>
        <v>3</v>
      </c>
      <c r="C1214" s="160">
        <f t="shared" si="1"/>
        <v>38</v>
      </c>
      <c r="D1214" s="160">
        <f t="shared" si="2"/>
        <v>4</v>
      </c>
      <c r="E1214" s="160">
        <f t="shared" si="3"/>
        <v>8</v>
      </c>
      <c r="F1214" s="160">
        <f t="shared" si="4"/>
        <v>44</v>
      </c>
      <c r="G1214" s="160">
        <f t="shared" si="5"/>
        <v>4</v>
      </c>
      <c r="H1214" s="160">
        <f t="shared" si="6"/>
        <v>11</v>
      </c>
      <c r="I1214" s="160">
        <f t="shared" si="7"/>
        <v>17</v>
      </c>
      <c r="J1214" s="160">
        <f t="shared" si="8"/>
        <v>2</v>
      </c>
    </row>
    <row r="1215" spans="2:10" x14ac:dyDescent="0.35">
      <c r="B1215" s="160">
        <f t="shared" si="0"/>
        <v>3</v>
      </c>
      <c r="C1215" s="160">
        <f t="shared" si="1"/>
        <v>38</v>
      </c>
      <c r="D1215" s="160">
        <f t="shared" si="2"/>
        <v>4</v>
      </c>
      <c r="E1215" s="160">
        <f t="shared" si="3"/>
        <v>8</v>
      </c>
      <c r="F1215" s="160">
        <f t="shared" si="4"/>
        <v>45</v>
      </c>
      <c r="G1215" s="160">
        <f t="shared" si="5"/>
        <v>3</v>
      </c>
      <c r="H1215" s="160">
        <f t="shared" si="6"/>
        <v>11</v>
      </c>
      <c r="I1215" s="160">
        <f t="shared" si="7"/>
        <v>3</v>
      </c>
      <c r="J1215" s="160">
        <f t="shared" si="8"/>
        <v>2</v>
      </c>
    </row>
    <row r="1216" spans="2:10" x14ac:dyDescent="0.35">
      <c r="B1216" s="160">
        <f t="shared" si="0"/>
        <v>3</v>
      </c>
      <c r="C1216" s="160">
        <f t="shared" si="1"/>
        <v>38</v>
      </c>
      <c r="D1216" s="160">
        <f t="shared" si="2"/>
        <v>4</v>
      </c>
      <c r="E1216" s="160">
        <f t="shared" si="3"/>
        <v>8</v>
      </c>
      <c r="F1216" s="160">
        <f t="shared" si="4"/>
        <v>45</v>
      </c>
      <c r="G1216" s="160">
        <f t="shared" si="5"/>
        <v>5</v>
      </c>
      <c r="H1216" s="160">
        <f t="shared" si="6"/>
        <v>2</v>
      </c>
      <c r="I1216" s="160">
        <f t="shared" si="7"/>
        <v>3</v>
      </c>
      <c r="J1216" s="160">
        <f t="shared" si="8"/>
        <v>2</v>
      </c>
    </row>
    <row r="1217" spans="2:10" x14ac:dyDescent="0.35">
      <c r="B1217" s="160">
        <f t="shared" si="0"/>
        <v>4</v>
      </c>
      <c r="C1217" s="160">
        <f t="shared" si="1"/>
        <v>17</v>
      </c>
      <c r="D1217" s="160">
        <f t="shared" si="2"/>
        <v>2</v>
      </c>
      <c r="E1217" s="160">
        <f t="shared" si="3"/>
        <v>18</v>
      </c>
      <c r="F1217" s="160">
        <f t="shared" si="4"/>
        <v>50</v>
      </c>
      <c r="G1217" s="160">
        <f t="shared" si="5"/>
        <v>1</v>
      </c>
      <c r="H1217" s="160">
        <f t="shared" si="6"/>
        <v>20</v>
      </c>
      <c r="I1217" s="160">
        <f t="shared" si="7"/>
        <v>20</v>
      </c>
      <c r="J1217" s="160">
        <f t="shared" si="8"/>
        <v>1</v>
      </c>
    </row>
    <row r="1218" spans="2:10" x14ac:dyDescent="0.35">
      <c r="B1218" s="160">
        <f t="shared" si="0"/>
        <v>4</v>
      </c>
      <c r="C1218" s="160">
        <f t="shared" si="1"/>
        <v>17</v>
      </c>
      <c r="D1218" s="160">
        <f t="shared" si="2"/>
        <v>2</v>
      </c>
      <c r="E1218" s="160">
        <f t="shared" si="3"/>
        <v>18</v>
      </c>
      <c r="F1218" s="160">
        <f t="shared" si="4"/>
        <v>50</v>
      </c>
      <c r="G1218" s="160">
        <f t="shared" si="5"/>
        <v>4</v>
      </c>
      <c r="H1218" s="160">
        <f t="shared" si="6"/>
        <v>18</v>
      </c>
      <c r="I1218" s="160">
        <f t="shared" si="7"/>
        <v>20</v>
      </c>
      <c r="J1218" s="160">
        <f t="shared" si="8"/>
        <v>1</v>
      </c>
    </row>
    <row r="1219" spans="2:10" x14ac:dyDescent="0.35">
      <c r="B1219" s="160">
        <f t="shared" si="0"/>
        <v>4</v>
      </c>
      <c r="C1219" s="160">
        <f t="shared" si="1"/>
        <v>11</v>
      </c>
      <c r="D1219" s="160">
        <f t="shared" si="2"/>
        <v>2</v>
      </c>
      <c r="E1219" s="160">
        <f t="shared" si="3"/>
        <v>10</v>
      </c>
      <c r="F1219" s="160">
        <f t="shared" si="4"/>
        <v>48</v>
      </c>
      <c r="G1219" s="160">
        <f t="shared" si="5"/>
        <v>2</v>
      </c>
      <c r="H1219" s="160">
        <f t="shared" si="6"/>
        <v>2</v>
      </c>
      <c r="I1219" s="160">
        <f t="shared" si="7"/>
        <v>21</v>
      </c>
      <c r="J1219" s="160">
        <f t="shared" si="8"/>
        <v>2</v>
      </c>
    </row>
    <row r="1220" spans="2:10" x14ac:dyDescent="0.35">
      <c r="B1220" s="160">
        <f t="shared" si="0"/>
        <v>4</v>
      </c>
      <c r="C1220" s="160">
        <f t="shared" si="1"/>
        <v>11</v>
      </c>
      <c r="D1220" s="160">
        <f t="shared" si="2"/>
        <v>2</v>
      </c>
      <c r="E1220" s="160">
        <f t="shared" si="3"/>
        <v>10</v>
      </c>
      <c r="F1220" s="160">
        <f t="shared" si="4"/>
        <v>48</v>
      </c>
      <c r="G1220" s="160">
        <f t="shared" si="5"/>
        <v>5</v>
      </c>
      <c r="H1220" s="160">
        <f t="shared" si="6"/>
        <v>2</v>
      </c>
      <c r="I1220" s="160">
        <f t="shared" si="7"/>
        <v>22</v>
      </c>
      <c r="J1220" s="160">
        <f t="shared" si="8"/>
        <v>2</v>
      </c>
    </row>
    <row r="1221" spans="2:10" x14ac:dyDescent="0.35">
      <c r="B1221" s="160">
        <f t="shared" si="0"/>
        <v>4</v>
      </c>
      <c r="C1221" s="160">
        <f t="shared" si="1"/>
        <v>18</v>
      </c>
      <c r="D1221" s="160">
        <f t="shared" si="2"/>
        <v>2</v>
      </c>
      <c r="E1221" s="160">
        <f t="shared" si="3"/>
        <v>10</v>
      </c>
      <c r="F1221" s="160">
        <f t="shared" si="4"/>
        <v>43</v>
      </c>
      <c r="G1221" s="160">
        <f t="shared" si="5"/>
        <v>1</v>
      </c>
      <c r="H1221" s="160">
        <f t="shared" si="6"/>
        <v>2</v>
      </c>
      <c r="I1221" s="160">
        <f t="shared" si="7"/>
        <v>23</v>
      </c>
      <c r="J1221" s="160">
        <f t="shared" si="8"/>
        <v>2</v>
      </c>
    </row>
    <row r="1222" spans="2:10" x14ac:dyDescent="0.35">
      <c r="B1222" s="160">
        <f t="shared" si="0"/>
        <v>4</v>
      </c>
      <c r="C1222" s="160">
        <f t="shared" si="1"/>
        <v>18</v>
      </c>
      <c r="D1222" s="160">
        <f t="shared" si="2"/>
        <v>2</v>
      </c>
      <c r="E1222" s="160">
        <f t="shared" si="3"/>
        <v>10</v>
      </c>
      <c r="F1222" s="160">
        <f t="shared" si="4"/>
        <v>43</v>
      </c>
      <c r="G1222" s="160">
        <f t="shared" si="5"/>
        <v>5</v>
      </c>
      <c r="H1222" s="160">
        <f t="shared" si="6"/>
        <v>20</v>
      </c>
      <c r="I1222" s="160">
        <f t="shared" si="7"/>
        <v>12</v>
      </c>
      <c r="J1222" s="160">
        <f t="shared" si="8"/>
        <v>2</v>
      </c>
    </row>
    <row r="1223" spans="2:10" x14ac:dyDescent="0.35">
      <c r="B1223" s="160">
        <f t="shared" si="0"/>
        <v>4</v>
      </c>
      <c r="C1223" s="160">
        <f t="shared" si="1"/>
        <v>18</v>
      </c>
      <c r="D1223" s="160">
        <f t="shared" si="2"/>
        <v>2</v>
      </c>
      <c r="E1223" s="160">
        <f t="shared" si="3"/>
        <v>10</v>
      </c>
      <c r="F1223" s="160">
        <f t="shared" si="4"/>
        <v>44</v>
      </c>
      <c r="G1223" s="160">
        <f t="shared" si="5"/>
        <v>2</v>
      </c>
      <c r="H1223" s="160">
        <f t="shared" si="6"/>
        <v>20</v>
      </c>
      <c r="I1223" s="160">
        <f t="shared" si="7"/>
        <v>24</v>
      </c>
      <c r="J1223" s="160">
        <f t="shared" si="8"/>
        <v>1</v>
      </c>
    </row>
    <row r="1224" spans="2:10" x14ac:dyDescent="0.35">
      <c r="B1224" s="160">
        <f t="shared" si="0"/>
        <v>4</v>
      </c>
      <c r="C1224" s="160">
        <f t="shared" si="1"/>
        <v>18</v>
      </c>
      <c r="D1224" s="160">
        <f t="shared" si="2"/>
        <v>2</v>
      </c>
      <c r="E1224" s="160">
        <f t="shared" si="3"/>
        <v>10</v>
      </c>
      <c r="F1224" s="160">
        <f t="shared" si="4"/>
        <v>44</v>
      </c>
      <c r="G1224" s="160">
        <f t="shared" si="5"/>
        <v>5</v>
      </c>
      <c r="H1224" s="160">
        <f t="shared" si="6"/>
        <v>20</v>
      </c>
      <c r="I1224" s="160">
        <f t="shared" si="7"/>
        <v>21</v>
      </c>
      <c r="J1224" s="160">
        <f t="shared" si="8"/>
        <v>1</v>
      </c>
    </row>
    <row r="1225" spans="2:10" x14ac:dyDescent="0.35">
      <c r="B1225" s="160">
        <f t="shared" si="0"/>
        <v>4</v>
      </c>
      <c r="C1225" s="160">
        <f t="shared" si="1"/>
        <v>55</v>
      </c>
      <c r="D1225" s="160">
        <f t="shared" si="2"/>
        <v>2</v>
      </c>
      <c r="E1225" s="160">
        <f t="shared" si="3"/>
        <v>10</v>
      </c>
      <c r="F1225" s="160">
        <f t="shared" si="4"/>
        <v>1</v>
      </c>
      <c r="G1225" s="160">
        <f t="shared" si="5"/>
        <v>4</v>
      </c>
      <c r="H1225" s="160">
        <f t="shared" si="6"/>
        <v>2</v>
      </c>
      <c r="I1225" s="160">
        <f t="shared" si="7"/>
        <v>12</v>
      </c>
      <c r="J1225" s="160">
        <f t="shared" si="8"/>
        <v>1</v>
      </c>
    </row>
    <row r="1226" spans="2:10" x14ac:dyDescent="0.35">
      <c r="B1226" s="160">
        <f t="shared" si="0"/>
        <v>4</v>
      </c>
      <c r="C1226" s="160">
        <f t="shared" si="1"/>
        <v>55</v>
      </c>
      <c r="D1226" s="160">
        <f t="shared" si="2"/>
        <v>2</v>
      </c>
      <c r="E1226" s="160">
        <f t="shared" si="3"/>
        <v>10</v>
      </c>
      <c r="F1226" s="160">
        <f t="shared" si="4"/>
        <v>1</v>
      </c>
      <c r="G1226" s="160">
        <f t="shared" si="5"/>
        <v>5</v>
      </c>
      <c r="H1226" s="160">
        <f t="shared" si="6"/>
        <v>5</v>
      </c>
      <c r="I1226" s="160">
        <f t="shared" si="7"/>
        <v>24</v>
      </c>
      <c r="J1226" s="160">
        <f t="shared" si="8"/>
        <v>1</v>
      </c>
    </row>
    <row r="1227" spans="2:10" x14ac:dyDescent="0.35">
      <c r="B1227" s="160">
        <f t="shared" si="0"/>
        <v>4</v>
      </c>
      <c r="C1227" s="160">
        <f t="shared" si="1"/>
        <v>24</v>
      </c>
      <c r="D1227" s="160">
        <f t="shared" si="2"/>
        <v>2</v>
      </c>
      <c r="E1227" s="160">
        <f t="shared" si="3"/>
        <v>1</v>
      </c>
      <c r="F1227" s="160">
        <f t="shared" si="4"/>
        <v>49</v>
      </c>
      <c r="G1227" s="160">
        <f t="shared" si="5"/>
        <v>3</v>
      </c>
      <c r="H1227" s="160">
        <f t="shared" si="6"/>
        <v>25</v>
      </c>
      <c r="I1227" s="160">
        <f t="shared" si="7"/>
        <v>7</v>
      </c>
      <c r="J1227" s="160">
        <f t="shared" si="8"/>
        <v>2</v>
      </c>
    </row>
    <row r="1228" spans="2:10" x14ac:dyDescent="0.35">
      <c r="B1228" s="160">
        <f t="shared" si="0"/>
        <v>4</v>
      </c>
      <c r="C1228" s="160">
        <f t="shared" si="1"/>
        <v>24</v>
      </c>
      <c r="D1228" s="160">
        <f t="shared" si="2"/>
        <v>2</v>
      </c>
      <c r="E1228" s="160">
        <f t="shared" si="3"/>
        <v>1</v>
      </c>
      <c r="F1228" s="160">
        <f t="shared" si="4"/>
        <v>49</v>
      </c>
      <c r="G1228" s="160">
        <f t="shared" si="5"/>
        <v>5</v>
      </c>
      <c r="H1228" s="160">
        <f t="shared" si="6"/>
        <v>23</v>
      </c>
      <c r="I1228" s="160">
        <f t="shared" si="7"/>
        <v>7</v>
      </c>
      <c r="J1228" s="160">
        <f t="shared" si="8"/>
        <v>2</v>
      </c>
    </row>
    <row r="1229" spans="2:10" x14ac:dyDescent="0.35">
      <c r="B1229" s="160">
        <f t="shared" si="0"/>
        <v>4</v>
      </c>
      <c r="C1229" s="160">
        <f t="shared" si="1"/>
        <v>24</v>
      </c>
      <c r="D1229" s="160">
        <f t="shared" si="2"/>
        <v>2</v>
      </c>
      <c r="E1229" s="160">
        <f t="shared" si="3"/>
        <v>1</v>
      </c>
      <c r="F1229" s="160">
        <f t="shared" si="4"/>
        <v>51</v>
      </c>
      <c r="G1229" s="160">
        <f t="shared" si="5"/>
        <v>2</v>
      </c>
      <c r="H1229" s="160">
        <f t="shared" si="6"/>
        <v>25</v>
      </c>
      <c r="I1229" s="160">
        <f t="shared" si="7"/>
        <v>7</v>
      </c>
      <c r="J1229" s="160">
        <f t="shared" si="8"/>
        <v>2</v>
      </c>
    </row>
    <row r="1230" spans="2:10" x14ac:dyDescent="0.35">
      <c r="B1230" s="160">
        <f t="shared" si="0"/>
        <v>4</v>
      </c>
      <c r="C1230" s="160">
        <f t="shared" si="1"/>
        <v>24</v>
      </c>
      <c r="D1230" s="160">
        <f t="shared" si="2"/>
        <v>2</v>
      </c>
      <c r="E1230" s="160">
        <f t="shared" si="3"/>
        <v>1</v>
      </c>
      <c r="F1230" s="160">
        <f t="shared" si="4"/>
        <v>51</v>
      </c>
      <c r="G1230" s="160">
        <f t="shared" si="5"/>
        <v>5</v>
      </c>
      <c r="H1230" s="160">
        <f t="shared" si="6"/>
        <v>23</v>
      </c>
      <c r="I1230" s="160">
        <f t="shared" si="7"/>
        <v>7</v>
      </c>
      <c r="J1230" s="160">
        <f t="shared" si="8"/>
        <v>2</v>
      </c>
    </row>
    <row r="1231" spans="2:10" x14ac:dyDescent="0.35">
      <c r="B1231" s="160">
        <f t="shared" si="0"/>
        <v>5</v>
      </c>
      <c r="C1231" s="160">
        <f t="shared" si="1"/>
        <v>20</v>
      </c>
      <c r="D1231" s="160">
        <f t="shared" si="2"/>
        <v>3</v>
      </c>
      <c r="E1231" s="160">
        <f t="shared" si="3"/>
        <v>10</v>
      </c>
      <c r="F1231" s="160">
        <f t="shared" si="4"/>
        <v>50</v>
      </c>
      <c r="G1231" s="160">
        <f t="shared" si="5"/>
        <v>2</v>
      </c>
      <c r="H1231" s="160">
        <f t="shared" si="6"/>
        <v>19</v>
      </c>
      <c r="I1231" s="160">
        <f t="shared" si="7"/>
        <v>27</v>
      </c>
      <c r="J1231" s="160">
        <f t="shared" si="8"/>
        <v>2</v>
      </c>
    </row>
    <row r="1232" spans="2:10" x14ac:dyDescent="0.35">
      <c r="B1232" s="160">
        <f t="shared" si="0"/>
        <v>5</v>
      </c>
      <c r="C1232" s="160">
        <f t="shared" si="1"/>
        <v>20</v>
      </c>
      <c r="D1232" s="160">
        <f t="shared" si="2"/>
        <v>3</v>
      </c>
      <c r="E1232" s="160">
        <f t="shared" si="3"/>
        <v>10</v>
      </c>
      <c r="F1232" s="160">
        <f t="shared" si="4"/>
        <v>50</v>
      </c>
      <c r="G1232" s="160">
        <f t="shared" si="5"/>
        <v>5</v>
      </c>
      <c r="H1232" s="160">
        <f t="shared" si="6"/>
        <v>19</v>
      </c>
      <c r="I1232" s="160">
        <f t="shared" si="7"/>
        <v>99</v>
      </c>
      <c r="J1232" s="160">
        <f t="shared" si="8"/>
        <v>2</v>
      </c>
    </row>
    <row r="1233" spans="2:10" x14ac:dyDescent="0.35">
      <c r="B1233" s="160">
        <f t="shared" si="0"/>
        <v>5</v>
      </c>
      <c r="C1233" s="160">
        <f t="shared" si="1"/>
        <v>20</v>
      </c>
      <c r="D1233" s="160">
        <f t="shared" si="2"/>
        <v>3</v>
      </c>
      <c r="E1233" s="160">
        <f t="shared" si="3"/>
        <v>15</v>
      </c>
      <c r="F1233" s="160">
        <f t="shared" si="4"/>
        <v>50</v>
      </c>
      <c r="G1233" s="160">
        <f t="shared" si="5"/>
        <v>2</v>
      </c>
      <c r="H1233" s="160">
        <f t="shared" si="6"/>
        <v>1</v>
      </c>
      <c r="I1233" s="160">
        <f t="shared" si="7"/>
        <v>28</v>
      </c>
      <c r="J1233" s="160">
        <f t="shared" si="8"/>
        <v>1</v>
      </c>
    </row>
    <row r="1234" spans="2:10" x14ac:dyDescent="0.35">
      <c r="B1234" s="160">
        <f t="shared" si="0"/>
        <v>5</v>
      </c>
      <c r="C1234" s="160">
        <f t="shared" si="1"/>
        <v>20</v>
      </c>
      <c r="D1234" s="160">
        <f t="shared" si="2"/>
        <v>3</v>
      </c>
      <c r="E1234" s="160">
        <f t="shared" si="3"/>
        <v>15</v>
      </c>
      <c r="F1234" s="160">
        <f t="shared" si="4"/>
        <v>50</v>
      </c>
      <c r="G1234" s="160">
        <f t="shared" si="5"/>
        <v>4</v>
      </c>
      <c r="H1234" s="160">
        <f t="shared" si="6"/>
        <v>10</v>
      </c>
      <c r="I1234" s="160">
        <f t="shared" si="7"/>
        <v>27</v>
      </c>
      <c r="J1234" s="160">
        <f t="shared" si="8"/>
        <v>1</v>
      </c>
    </row>
    <row r="1235" spans="2:10" x14ac:dyDescent="0.35">
      <c r="B1235" s="160">
        <f t="shared" si="0"/>
        <v>5</v>
      </c>
      <c r="C1235" s="160">
        <f t="shared" si="1"/>
        <v>47</v>
      </c>
      <c r="D1235" s="160">
        <f t="shared" si="2"/>
        <v>1</v>
      </c>
      <c r="E1235" s="160">
        <f t="shared" si="3"/>
        <v>10</v>
      </c>
      <c r="F1235" s="160">
        <f t="shared" si="4"/>
        <v>42</v>
      </c>
      <c r="G1235" s="160">
        <f t="shared" si="5"/>
        <v>3</v>
      </c>
      <c r="H1235" s="160">
        <f t="shared" si="6"/>
        <v>25</v>
      </c>
      <c r="I1235" s="160">
        <f t="shared" si="7"/>
        <v>29</v>
      </c>
      <c r="J1235" s="160">
        <f t="shared" si="8"/>
        <v>2</v>
      </c>
    </row>
    <row r="1236" spans="2:10" x14ac:dyDescent="0.35">
      <c r="B1236" s="160">
        <f t="shared" si="0"/>
        <v>5</v>
      </c>
      <c r="C1236" s="160">
        <f t="shared" si="1"/>
        <v>47</v>
      </c>
      <c r="D1236" s="160">
        <f t="shared" si="2"/>
        <v>1</v>
      </c>
      <c r="E1236" s="160">
        <f t="shared" si="3"/>
        <v>10</v>
      </c>
      <c r="F1236" s="160">
        <f t="shared" si="4"/>
        <v>42</v>
      </c>
      <c r="G1236" s="160">
        <f t="shared" si="5"/>
        <v>5</v>
      </c>
      <c r="H1236" s="160">
        <f t="shared" si="6"/>
        <v>10</v>
      </c>
      <c r="I1236" s="160">
        <f t="shared" si="7"/>
        <v>18</v>
      </c>
      <c r="J1236" s="160">
        <f t="shared" si="8"/>
        <v>2</v>
      </c>
    </row>
    <row r="1237" spans="2:10" x14ac:dyDescent="0.35">
      <c r="B1237" s="160">
        <f t="shared" si="0"/>
        <v>5</v>
      </c>
      <c r="C1237" s="160">
        <f t="shared" si="1"/>
        <v>31</v>
      </c>
      <c r="D1237" s="160">
        <f t="shared" si="2"/>
        <v>4</v>
      </c>
      <c r="E1237" s="160">
        <f t="shared" si="3"/>
        <v>10</v>
      </c>
      <c r="F1237" s="160">
        <f t="shared" si="4"/>
        <v>50</v>
      </c>
      <c r="G1237" s="160">
        <f t="shared" si="5"/>
        <v>1</v>
      </c>
      <c r="H1237" s="160">
        <f t="shared" si="6"/>
        <v>8</v>
      </c>
      <c r="I1237" s="160">
        <f t="shared" si="7"/>
        <v>99</v>
      </c>
      <c r="J1237" s="160">
        <f t="shared" si="8"/>
        <v>2</v>
      </c>
    </row>
    <row r="1238" spans="2:10" x14ac:dyDescent="0.35">
      <c r="B1238" s="160">
        <f t="shared" si="0"/>
        <v>5</v>
      </c>
      <c r="C1238" s="160">
        <f t="shared" si="1"/>
        <v>31</v>
      </c>
      <c r="D1238" s="160">
        <f t="shared" si="2"/>
        <v>4</v>
      </c>
      <c r="E1238" s="160">
        <f t="shared" si="3"/>
        <v>10</v>
      </c>
      <c r="F1238" s="160">
        <f t="shared" si="4"/>
        <v>50</v>
      </c>
      <c r="G1238" s="160">
        <f t="shared" si="5"/>
        <v>4</v>
      </c>
      <c r="H1238" s="160">
        <f t="shared" si="6"/>
        <v>20</v>
      </c>
      <c r="I1238" s="160">
        <f t="shared" si="7"/>
        <v>17</v>
      </c>
      <c r="J1238" s="160">
        <f t="shared" si="8"/>
        <v>2</v>
      </c>
    </row>
    <row r="1239" spans="2:10" x14ac:dyDescent="0.35">
      <c r="B1239" s="160">
        <f t="shared" si="0"/>
        <v>5</v>
      </c>
      <c r="C1239" s="160">
        <f t="shared" si="1"/>
        <v>27</v>
      </c>
      <c r="D1239" s="160">
        <f t="shared" si="2"/>
        <v>3</v>
      </c>
      <c r="E1239" s="160">
        <f t="shared" si="3"/>
        <v>10</v>
      </c>
      <c r="F1239" s="160">
        <f t="shared" si="4"/>
        <v>42</v>
      </c>
      <c r="G1239" s="160">
        <f t="shared" si="5"/>
        <v>2</v>
      </c>
      <c r="H1239" s="160">
        <f t="shared" si="6"/>
        <v>7</v>
      </c>
      <c r="I1239" s="160">
        <f t="shared" si="7"/>
        <v>27</v>
      </c>
      <c r="J1239" s="160">
        <f t="shared" si="8"/>
        <v>1</v>
      </c>
    </row>
    <row r="1240" spans="2:10" x14ac:dyDescent="0.35">
      <c r="B1240" s="160">
        <f t="shared" si="0"/>
        <v>5</v>
      </c>
      <c r="C1240" s="160">
        <f t="shared" si="1"/>
        <v>27</v>
      </c>
      <c r="D1240" s="160">
        <f t="shared" si="2"/>
        <v>3</v>
      </c>
      <c r="E1240" s="160">
        <f t="shared" si="3"/>
        <v>10</v>
      </c>
      <c r="F1240" s="160">
        <f t="shared" si="4"/>
        <v>42</v>
      </c>
      <c r="G1240" s="160">
        <f t="shared" si="5"/>
        <v>3</v>
      </c>
      <c r="H1240" s="160">
        <f t="shared" si="6"/>
        <v>25</v>
      </c>
      <c r="I1240" s="160">
        <f t="shared" si="7"/>
        <v>30</v>
      </c>
      <c r="J1240" s="160">
        <f t="shared" si="8"/>
        <v>1</v>
      </c>
    </row>
    <row r="1241" spans="2:10" x14ac:dyDescent="0.35">
      <c r="B1241" s="160">
        <f t="shared" ref="B1241:B1304" si="9">INDEX($A$2:$A$85,MATCH(I126,$B$2:$B$85,0))</f>
        <v>5</v>
      </c>
      <c r="C1241" s="160">
        <f t="shared" ref="C1241:C1304" si="10">INDEX($D$2:$D$117,MATCH(J126,$E$2:$E$117,0))</f>
        <v>27</v>
      </c>
      <c r="D1241" s="160">
        <f t="shared" ref="D1241:D1304" si="11">INDEX($P$2:$P$5,MATCH(K126,$Q$2:$Q$5,0))</f>
        <v>3</v>
      </c>
      <c r="E1241" s="160">
        <f t="shared" ref="E1241:E1304" si="12">INDEX($G$2:$G$19,MATCH(L126,$H$2:$H$19,0))</f>
        <v>10</v>
      </c>
      <c r="F1241" s="160">
        <f t="shared" ref="F1241:F1304" si="13">INDEX($J$2:$J$55,MATCH(M126,$K$2:$K$55,0))</f>
        <v>43</v>
      </c>
      <c r="G1241" s="160">
        <f t="shared" ref="G1241:G1304" si="14">INDEX($M$2:$M$6,MATCH(N126,$N$2:$N$6,0))</f>
        <v>1</v>
      </c>
      <c r="H1241" s="160">
        <f t="shared" ref="H1241:H1304" si="15">INDEX($S$2:$S$26,MATCH(O126,$T$2:$T$26,0))</f>
        <v>10</v>
      </c>
      <c r="I1241" s="160">
        <f t="shared" ref="I1241:I1304" si="16">INDEX($V$2:$V$108,MATCH(P126,$W$2:$W$108,0))</f>
        <v>31</v>
      </c>
      <c r="J1241" s="160">
        <f t="shared" ref="J1241:J1304" si="17">INDEX($Y$2:$Y$4,MATCH(Q126,$Z$2:$Z$4,0))</f>
        <v>1</v>
      </c>
    </row>
    <row r="1242" spans="2:10" x14ac:dyDescent="0.35">
      <c r="B1242" s="160">
        <f t="shared" si="9"/>
        <v>5</v>
      </c>
      <c r="C1242" s="160">
        <f t="shared" si="10"/>
        <v>27</v>
      </c>
      <c r="D1242" s="160">
        <f t="shared" si="11"/>
        <v>3</v>
      </c>
      <c r="E1242" s="160">
        <f t="shared" si="12"/>
        <v>10</v>
      </c>
      <c r="F1242" s="160">
        <f t="shared" si="13"/>
        <v>43</v>
      </c>
      <c r="G1242" s="160">
        <f t="shared" si="14"/>
        <v>5</v>
      </c>
      <c r="H1242" s="160">
        <f t="shared" si="15"/>
        <v>10</v>
      </c>
      <c r="I1242" s="160">
        <f t="shared" si="16"/>
        <v>27</v>
      </c>
      <c r="J1242" s="160">
        <f t="shared" si="17"/>
        <v>1</v>
      </c>
    </row>
    <row r="1243" spans="2:10" x14ac:dyDescent="0.35">
      <c r="B1243" s="160">
        <f t="shared" si="9"/>
        <v>5</v>
      </c>
      <c r="C1243" s="160">
        <f t="shared" si="10"/>
        <v>27</v>
      </c>
      <c r="D1243" s="160">
        <f t="shared" si="11"/>
        <v>3</v>
      </c>
      <c r="E1243" s="160">
        <f t="shared" si="12"/>
        <v>10</v>
      </c>
      <c r="F1243" s="160">
        <f t="shared" si="13"/>
        <v>44</v>
      </c>
      <c r="G1243" s="160">
        <f t="shared" si="14"/>
        <v>1</v>
      </c>
      <c r="H1243" s="160">
        <f t="shared" si="15"/>
        <v>1</v>
      </c>
      <c r="I1243" s="160">
        <f t="shared" si="16"/>
        <v>99</v>
      </c>
      <c r="J1243" s="160">
        <f t="shared" si="17"/>
        <v>2</v>
      </c>
    </row>
    <row r="1244" spans="2:10" x14ac:dyDescent="0.35">
      <c r="B1244" s="160">
        <f t="shared" si="9"/>
        <v>5</v>
      </c>
      <c r="C1244" s="160">
        <f t="shared" si="10"/>
        <v>27</v>
      </c>
      <c r="D1244" s="160">
        <f t="shared" si="11"/>
        <v>3</v>
      </c>
      <c r="E1244" s="160">
        <f t="shared" si="12"/>
        <v>10</v>
      </c>
      <c r="F1244" s="160">
        <f t="shared" si="13"/>
        <v>44</v>
      </c>
      <c r="G1244" s="160">
        <f t="shared" si="14"/>
        <v>5</v>
      </c>
      <c r="H1244" s="160">
        <f t="shared" si="15"/>
        <v>1</v>
      </c>
      <c r="I1244" s="160">
        <f t="shared" si="16"/>
        <v>99</v>
      </c>
      <c r="J1244" s="160">
        <f t="shared" si="17"/>
        <v>2</v>
      </c>
    </row>
    <row r="1245" spans="2:10" x14ac:dyDescent="0.35">
      <c r="B1245" s="160">
        <f t="shared" si="9"/>
        <v>5</v>
      </c>
      <c r="C1245" s="160">
        <f t="shared" si="10"/>
        <v>22</v>
      </c>
      <c r="D1245" s="160">
        <f t="shared" si="11"/>
        <v>4</v>
      </c>
      <c r="E1245" s="160">
        <f t="shared" si="12"/>
        <v>10</v>
      </c>
      <c r="F1245" s="160">
        <f t="shared" si="13"/>
        <v>1</v>
      </c>
      <c r="G1245" s="160">
        <f t="shared" si="14"/>
        <v>1</v>
      </c>
      <c r="H1245" s="160">
        <f t="shared" si="15"/>
        <v>24</v>
      </c>
      <c r="I1245" s="160">
        <f t="shared" si="16"/>
        <v>3</v>
      </c>
      <c r="J1245" s="160">
        <f t="shared" si="17"/>
        <v>3</v>
      </c>
    </row>
    <row r="1246" spans="2:10" x14ac:dyDescent="0.35">
      <c r="B1246" s="160">
        <f t="shared" si="9"/>
        <v>6</v>
      </c>
      <c r="C1246" s="160">
        <f t="shared" si="10"/>
        <v>32</v>
      </c>
      <c r="D1246" s="160">
        <f t="shared" si="11"/>
        <v>4</v>
      </c>
      <c r="E1246" s="160">
        <f t="shared" si="12"/>
        <v>8</v>
      </c>
      <c r="F1246" s="160">
        <f t="shared" si="13"/>
        <v>25</v>
      </c>
      <c r="G1246" s="160">
        <f t="shared" si="14"/>
        <v>2</v>
      </c>
      <c r="H1246" s="160">
        <f t="shared" si="15"/>
        <v>2</v>
      </c>
      <c r="I1246" s="160">
        <f t="shared" si="16"/>
        <v>1</v>
      </c>
      <c r="J1246" s="160">
        <f t="shared" si="17"/>
        <v>1</v>
      </c>
    </row>
    <row r="1247" spans="2:10" x14ac:dyDescent="0.35">
      <c r="B1247" s="160">
        <f t="shared" si="9"/>
        <v>6</v>
      </c>
      <c r="C1247" s="160">
        <f t="shared" si="10"/>
        <v>32</v>
      </c>
      <c r="D1247" s="160">
        <f t="shared" si="11"/>
        <v>4</v>
      </c>
      <c r="E1247" s="160">
        <f t="shared" si="12"/>
        <v>8</v>
      </c>
      <c r="F1247" s="160">
        <f t="shared" si="13"/>
        <v>25</v>
      </c>
      <c r="G1247" s="160">
        <f t="shared" si="14"/>
        <v>4</v>
      </c>
      <c r="H1247" s="160">
        <f t="shared" si="15"/>
        <v>2</v>
      </c>
      <c r="I1247" s="160">
        <f t="shared" si="16"/>
        <v>1</v>
      </c>
      <c r="J1247" s="160">
        <f t="shared" si="17"/>
        <v>1</v>
      </c>
    </row>
    <row r="1248" spans="2:10" x14ac:dyDescent="0.35">
      <c r="B1248" s="160">
        <f t="shared" si="9"/>
        <v>6</v>
      </c>
      <c r="C1248" s="160">
        <f t="shared" si="10"/>
        <v>32</v>
      </c>
      <c r="D1248" s="160">
        <f t="shared" si="11"/>
        <v>4</v>
      </c>
      <c r="E1248" s="160">
        <f t="shared" si="12"/>
        <v>8</v>
      </c>
      <c r="F1248" s="160">
        <f t="shared" si="13"/>
        <v>26</v>
      </c>
      <c r="G1248" s="160">
        <f t="shared" si="14"/>
        <v>2</v>
      </c>
      <c r="H1248" s="160">
        <f t="shared" si="15"/>
        <v>11</v>
      </c>
      <c r="I1248" s="160">
        <f t="shared" si="16"/>
        <v>1</v>
      </c>
      <c r="J1248" s="160">
        <f t="shared" si="17"/>
        <v>1</v>
      </c>
    </row>
    <row r="1249" spans="2:10" x14ac:dyDescent="0.35">
      <c r="B1249" s="160">
        <f t="shared" si="9"/>
        <v>6</v>
      </c>
      <c r="C1249" s="160">
        <f t="shared" si="10"/>
        <v>32</v>
      </c>
      <c r="D1249" s="160">
        <f t="shared" si="11"/>
        <v>4</v>
      </c>
      <c r="E1249" s="160">
        <f t="shared" si="12"/>
        <v>8</v>
      </c>
      <c r="F1249" s="160">
        <f t="shared" si="13"/>
        <v>26</v>
      </c>
      <c r="G1249" s="160">
        <f t="shared" si="14"/>
        <v>4</v>
      </c>
      <c r="H1249" s="160">
        <f t="shared" si="15"/>
        <v>11</v>
      </c>
      <c r="I1249" s="160">
        <f t="shared" si="16"/>
        <v>1</v>
      </c>
      <c r="J1249" s="160">
        <f t="shared" si="17"/>
        <v>1</v>
      </c>
    </row>
    <row r="1250" spans="2:10" x14ac:dyDescent="0.35">
      <c r="B1250" s="160">
        <f t="shared" si="9"/>
        <v>6</v>
      </c>
      <c r="C1250" s="160">
        <f t="shared" si="10"/>
        <v>3</v>
      </c>
      <c r="D1250" s="160">
        <f t="shared" si="11"/>
        <v>4</v>
      </c>
      <c r="E1250" s="160">
        <f t="shared" si="12"/>
        <v>18</v>
      </c>
      <c r="F1250" s="160">
        <f t="shared" si="13"/>
        <v>42</v>
      </c>
      <c r="G1250" s="160">
        <f t="shared" si="14"/>
        <v>1</v>
      </c>
      <c r="H1250" s="160">
        <f t="shared" si="15"/>
        <v>11</v>
      </c>
      <c r="I1250" s="160">
        <f t="shared" si="16"/>
        <v>32</v>
      </c>
      <c r="J1250" s="160">
        <f t="shared" si="17"/>
        <v>2</v>
      </c>
    </row>
    <row r="1251" spans="2:10" x14ac:dyDescent="0.35">
      <c r="B1251" s="160">
        <f t="shared" si="9"/>
        <v>6</v>
      </c>
      <c r="C1251" s="160">
        <f t="shared" si="10"/>
        <v>3</v>
      </c>
      <c r="D1251" s="160">
        <f t="shared" si="11"/>
        <v>4</v>
      </c>
      <c r="E1251" s="160">
        <f t="shared" si="12"/>
        <v>18</v>
      </c>
      <c r="F1251" s="160">
        <f t="shared" si="13"/>
        <v>42</v>
      </c>
      <c r="G1251" s="160">
        <f t="shared" si="14"/>
        <v>3</v>
      </c>
      <c r="H1251" s="160">
        <f t="shared" si="15"/>
        <v>12</v>
      </c>
      <c r="I1251" s="160">
        <f t="shared" si="16"/>
        <v>29</v>
      </c>
      <c r="J1251" s="160">
        <f t="shared" si="17"/>
        <v>2</v>
      </c>
    </row>
    <row r="1252" spans="2:10" x14ac:dyDescent="0.35">
      <c r="B1252" s="160">
        <f t="shared" si="9"/>
        <v>6</v>
      </c>
      <c r="C1252" s="160">
        <f t="shared" si="10"/>
        <v>4</v>
      </c>
      <c r="D1252" s="160">
        <f t="shared" si="11"/>
        <v>4</v>
      </c>
      <c r="E1252" s="160">
        <f t="shared" si="12"/>
        <v>18</v>
      </c>
      <c r="F1252" s="160">
        <f t="shared" si="13"/>
        <v>25</v>
      </c>
      <c r="G1252" s="160">
        <f t="shared" si="14"/>
        <v>4</v>
      </c>
      <c r="H1252" s="160">
        <f t="shared" si="15"/>
        <v>18</v>
      </c>
      <c r="I1252" s="160">
        <f t="shared" si="16"/>
        <v>19</v>
      </c>
      <c r="J1252" s="160">
        <f t="shared" si="17"/>
        <v>1</v>
      </c>
    </row>
    <row r="1253" spans="2:10" x14ac:dyDescent="0.35">
      <c r="B1253" s="160">
        <f t="shared" si="9"/>
        <v>6</v>
      </c>
      <c r="C1253" s="160">
        <f t="shared" si="10"/>
        <v>4</v>
      </c>
      <c r="D1253" s="160">
        <f t="shared" si="11"/>
        <v>4</v>
      </c>
      <c r="E1253" s="160">
        <f t="shared" si="12"/>
        <v>18</v>
      </c>
      <c r="F1253" s="160">
        <f t="shared" si="13"/>
        <v>25</v>
      </c>
      <c r="G1253" s="160">
        <f t="shared" si="14"/>
        <v>5</v>
      </c>
      <c r="H1253" s="160">
        <f t="shared" si="15"/>
        <v>20</v>
      </c>
      <c r="I1253" s="160">
        <f t="shared" si="16"/>
        <v>19</v>
      </c>
      <c r="J1253" s="160">
        <f t="shared" si="17"/>
        <v>1</v>
      </c>
    </row>
    <row r="1254" spans="2:10" x14ac:dyDescent="0.35">
      <c r="B1254" s="160">
        <f t="shared" si="9"/>
        <v>6</v>
      </c>
      <c r="C1254" s="160">
        <f t="shared" si="10"/>
        <v>34</v>
      </c>
      <c r="D1254" s="160">
        <f t="shared" si="11"/>
        <v>3</v>
      </c>
      <c r="E1254" s="160">
        <f t="shared" si="12"/>
        <v>18</v>
      </c>
      <c r="F1254" s="160">
        <f t="shared" si="13"/>
        <v>25</v>
      </c>
      <c r="G1254" s="160">
        <f t="shared" si="14"/>
        <v>2</v>
      </c>
      <c r="H1254" s="160">
        <f t="shared" si="15"/>
        <v>10</v>
      </c>
      <c r="I1254" s="160">
        <f t="shared" si="16"/>
        <v>21</v>
      </c>
      <c r="J1254" s="160">
        <f t="shared" si="17"/>
        <v>2</v>
      </c>
    </row>
    <row r="1255" spans="2:10" x14ac:dyDescent="0.35">
      <c r="B1255" s="160">
        <f t="shared" si="9"/>
        <v>6</v>
      </c>
      <c r="C1255" s="160">
        <f t="shared" si="10"/>
        <v>34</v>
      </c>
      <c r="D1255" s="160">
        <f t="shared" si="11"/>
        <v>3</v>
      </c>
      <c r="E1255" s="160">
        <f t="shared" si="12"/>
        <v>18</v>
      </c>
      <c r="F1255" s="160">
        <f t="shared" si="13"/>
        <v>25</v>
      </c>
      <c r="G1255" s="160">
        <f t="shared" si="14"/>
        <v>5</v>
      </c>
      <c r="H1255" s="160">
        <f t="shared" si="15"/>
        <v>1</v>
      </c>
      <c r="I1255" s="160">
        <f t="shared" si="16"/>
        <v>33</v>
      </c>
      <c r="J1255" s="160">
        <f t="shared" si="17"/>
        <v>2</v>
      </c>
    </row>
    <row r="1256" spans="2:10" x14ac:dyDescent="0.35">
      <c r="B1256" s="160">
        <f t="shared" si="9"/>
        <v>6</v>
      </c>
      <c r="C1256" s="160">
        <f t="shared" si="10"/>
        <v>51</v>
      </c>
      <c r="D1256" s="160">
        <f t="shared" si="11"/>
        <v>1</v>
      </c>
      <c r="E1256" s="160">
        <f t="shared" si="12"/>
        <v>16</v>
      </c>
      <c r="F1256" s="160">
        <f t="shared" si="13"/>
        <v>48</v>
      </c>
      <c r="G1256" s="160">
        <f t="shared" si="14"/>
        <v>1</v>
      </c>
      <c r="H1256" s="160">
        <f t="shared" si="15"/>
        <v>2</v>
      </c>
      <c r="I1256" s="160">
        <f t="shared" si="16"/>
        <v>8</v>
      </c>
      <c r="J1256" s="160">
        <f t="shared" si="17"/>
        <v>2</v>
      </c>
    </row>
    <row r="1257" spans="2:10" x14ac:dyDescent="0.35">
      <c r="B1257" s="160">
        <f t="shared" si="9"/>
        <v>6</v>
      </c>
      <c r="C1257" s="160">
        <f t="shared" si="10"/>
        <v>51</v>
      </c>
      <c r="D1257" s="160">
        <f t="shared" si="11"/>
        <v>1</v>
      </c>
      <c r="E1257" s="160">
        <f t="shared" si="12"/>
        <v>17</v>
      </c>
      <c r="F1257" s="160">
        <f t="shared" si="13"/>
        <v>48</v>
      </c>
      <c r="G1257" s="160">
        <f t="shared" si="14"/>
        <v>2</v>
      </c>
      <c r="H1257" s="160">
        <f t="shared" si="15"/>
        <v>2</v>
      </c>
      <c r="I1257" s="160">
        <f t="shared" si="16"/>
        <v>8</v>
      </c>
      <c r="J1257" s="160">
        <f t="shared" si="17"/>
        <v>2</v>
      </c>
    </row>
    <row r="1258" spans="2:10" x14ac:dyDescent="0.35">
      <c r="B1258" s="160">
        <f t="shared" si="9"/>
        <v>6</v>
      </c>
      <c r="C1258" s="160">
        <f t="shared" si="10"/>
        <v>2</v>
      </c>
      <c r="D1258" s="160">
        <f t="shared" si="11"/>
        <v>2</v>
      </c>
      <c r="E1258" s="160">
        <f t="shared" si="12"/>
        <v>17</v>
      </c>
      <c r="F1258" s="160">
        <f t="shared" si="13"/>
        <v>42</v>
      </c>
      <c r="G1258" s="160">
        <f t="shared" si="14"/>
        <v>1</v>
      </c>
      <c r="H1258" s="160">
        <f t="shared" si="15"/>
        <v>22</v>
      </c>
      <c r="I1258" s="160">
        <f t="shared" si="16"/>
        <v>22</v>
      </c>
      <c r="J1258" s="160">
        <f t="shared" si="17"/>
        <v>1</v>
      </c>
    </row>
    <row r="1259" spans="2:10" x14ac:dyDescent="0.35">
      <c r="B1259" s="160">
        <f t="shared" si="9"/>
        <v>6</v>
      </c>
      <c r="C1259" s="160">
        <f t="shared" si="10"/>
        <v>2</v>
      </c>
      <c r="D1259" s="160">
        <f t="shared" si="11"/>
        <v>2</v>
      </c>
      <c r="E1259" s="160">
        <f t="shared" si="12"/>
        <v>17</v>
      </c>
      <c r="F1259" s="160">
        <f t="shared" si="13"/>
        <v>42</v>
      </c>
      <c r="G1259" s="160">
        <f t="shared" si="14"/>
        <v>4</v>
      </c>
      <c r="H1259" s="160">
        <f t="shared" si="15"/>
        <v>22</v>
      </c>
      <c r="I1259" s="160">
        <f t="shared" si="16"/>
        <v>22</v>
      </c>
      <c r="J1259" s="160">
        <f t="shared" si="17"/>
        <v>1</v>
      </c>
    </row>
    <row r="1260" spans="2:10" x14ac:dyDescent="0.35">
      <c r="B1260" s="160">
        <f t="shared" si="9"/>
        <v>7</v>
      </c>
      <c r="C1260" s="160">
        <f t="shared" si="10"/>
        <v>10</v>
      </c>
      <c r="D1260" s="160">
        <f t="shared" si="11"/>
        <v>4</v>
      </c>
      <c r="E1260" s="160">
        <f t="shared" si="12"/>
        <v>15</v>
      </c>
      <c r="F1260" s="160">
        <f t="shared" si="13"/>
        <v>43</v>
      </c>
      <c r="G1260" s="160">
        <f t="shared" si="14"/>
        <v>1</v>
      </c>
      <c r="H1260" s="160">
        <f t="shared" si="15"/>
        <v>2</v>
      </c>
      <c r="I1260" s="160">
        <f t="shared" si="16"/>
        <v>34</v>
      </c>
      <c r="J1260" s="160">
        <f t="shared" si="17"/>
        <v>2</v>
      </c>
    </row>
    <row r="1261" spans="2:10" x14ac:dyDescent="0.35">
      <c r="B1261" s="160">
        <f t="shared" si="9"/>
        <v>7</v>
      </c>
      <c r="C1261" s="160">
        <f t="shared" si="10"/>
        <v>10</v>
      </c>
      <c r="D1261" s="160">
        <f t="shared" si="11"/>
        <v>4</v>
      </c>
      <c r="E1261" s="160">
        <f t="shared" si="12"/>
        <v>15</v>
      </c>
      <c r="F1261" s="160">
        <f t="shared" si="13"/>
        <v>43</v>
      </c>
      <c r="G1261" s="160">
        <f t="shared" si="14"/>
        <v>4</v>
      </c>
      <c r="H1261" s="160">
        <f t="shared" si="15"/>
        <v>11</v>
      </c>
      <c r="I1261" s="160">
        <f t="shared" si="16"/>
        <v>35</v>
      </c>
      <c r="J1261" s="160">
        <f t="shared" si="17"/>
        <v>2</v>
      </c>
    </row>
    <row r="1262" spans="2:10" x14ac:dyDescent="0.35">
      <c r="B1262" s="160">
        <f t="shared" si="9"/>
        <v>7</v>
      </c>
      <c r="C1262" s="160">
        <f t="shared" si="10"/>
        <v>10</v>
      </c>
      <c r="D1262" s="160">
        <f t="shared" si="11"/>
        <v>4</v>
      </c>
      <c r="E1262" s="160">
        <f t="shared" si="12"/>
        <v>15</v>
      </c>
      <c r="F1262" s="160">
        <f t="shared" si="13"/>
        <v>44</v>
      </c>
      <c r="G1262" s="160">
        <f t="shared" si="14"/>
        <v>2</v>
      </c>
      <c r="H1262" s="160">
        <f t="shared" si="15"/>
        <v>20</v>
      </c>
      <c r="I1262" s="160">
        <f t="shared" si="16"/>
        <v>11</v>
      </c>
      <c r="J1262" s="160">
        <f t="shared" si="17"/>
        <v>2</v>
      </c>
    </row>
    <row r="1263" spans="2:10" x14ac:dyDescent="0.35">
      <c r="B1263" s="160">
        <f t="shared" si="9"/>
        <v>7</v>
      </c>
      <c r="C1263" s="160">
        <f t="shared" si="10"/>
        <v>10</v>
      </c>
      <c r="D1263" s="160">
        <f t="shared" si="11"/>
        <v>4</v>
      </c>
      <c r="E1263" s="160">
        <f t="shared" si="12"/>
        <v>15</v>
      </c>
      <c r="F1263" s="160">
        <f t="shared" si="13"/>
        <v>44</v>
      </c>
      <c r="G1263" s="160">
        <f t="shared" si="14"/>
        <v>5</v>
      </c>
      <c r="H1263" s="160">
        <f t="shared" si="15"/>
        <v>2</v>
      </c>
      <c r="I1263" s="160">
        <f t="shared" si="16"/>
        <v>28</v>
      </c>
      <c r="J1263" s="160">
        <f t="shared" si="17"/>
        <v>2</v>
      </c>
    </row>
    <row r="1264" spans="2:10" x14ac:dyDescent="0.35">
      <c r="B1264" s="160">
        <f t="shared" si="9"/>
        <v>7</v>
      </c>
      <c r="C1264" s="160">
        <f t="shared" si="10"/>
        <v>50</v>
      </c>
      <c r="D1264" s="160">
        <f t="shared" si="11"/>
        <v>3</v>
      </c>
      <c r="E1264" s="160">
        <f t="shared" si="12"/>
        <v>15</v>
      </c>
      <c r="F1264" s="160">
        <f t="shared" si="13"/>
        <v>44</v>
      </c>
      <c r="G1264" s="160">
        <f t="shared" si="14"/>
        <v>1</v>
      </c>
      <c r="H1264" s="160">
        <f t="shared" si="15"/>
        <v>19</v>
      </c>
      <c r="I1264" s="160">
        <f t="shared" si="16"/>
        <v>31</v>
      </c>
      <c r="J1264" s="160">
        <f t="shared" si="17"/>
        <v>2</v>
      </c>
    </row>
    <row r="1265" spans="2:10" x14ac:dyDescent="0.35">
      <c r="B1265" s="160">
        <f t="shared" si="9"/>
        <v>7</v>
      </c>
      <c r="C1265" s="160">
        <f t="shared" si="10"/>
        <v>50</v>
      </c>
      <c r="D1265" s="160">
        <f t="shared" si="11"/>
        <v>3</v>
      </c>
      <c r="E1265" s="160">
        <f t="shared" si="12"/>
        <v>15</v>
      </c>
      <c r="F1265" s="160">
        <f t="shared" si="13"/>
        <v>44</v>
      </c>
      <c r="G1265" s="160">
        <f t="shared" si="14"/>
        <v>5</v>
      </c>
      <c r="H1265" s="160">
        <f t="shared" si="15"/>
        <v>19</v>
      </c>
      <c r="I1265" s="160">
        <f t="shared" si="16"/>
        <v>5</v>
      </c>
      <c r="J1265" s="160">
        <f t="shared" si="17"/>
        <v>2</v>
      </c>
    </row>
    <row r="1266" spans="2:10" x14ac:dyDescent="0.35">
      <c r="B1266" s="160">
        <f t="shared" si="9"/>
        <v>7</v>
      </c>
      <c r="C1266" s="160">
        <f t="shared" si="10"/>
        <v>50</v>
      </c>
      <c r="D1266" s="160">
        <f t="shared" si="11"/>
        <v>3</v>
      </c>
      <c r="E1266" s="160">
        <f t="shared" si="12"/>
        <v>15</v>
      </c>
      <c r="F1266" s="160">
        <f t="shared" si="13"/>
        <v>45</v>
      </c>
      <c r="G1266" s="160">
        <f t="shared" si="14"/>
        <v>3</v>
      </c>
      <c r="H1266" s="160">
        <f t="shared" si="15"/>
        <v>19</v>
      </c>
      <c r="I1266" s="160">
        <f t="shared" si="16"/>
        <v>36</v>
      </c>
      <c r="J1266" s="160">
        <f t="shared" si="17"/>
        <v>2</v>
      </c>
    </row>
    <row r="1267" spans="2:10" x14ac:dyDescent="0.35">
      <c r="B1267" s="160">
        <f t="shared" si="9"/>
        <v>7</v>
      </c>
      <c r="C1267" s="160">
        <f t="shared" si="10"/>
        <v>50</v>
      </c>
      <c r="D1267" s="160">
        <f t="shared" si="11"/>
        <v>3</v>
      </c>
      <c r="E1267" s="160">
        <f t="shared" si="12"/>
        <v>15</v>
      </c>
      <c r="F1267" s="160">
        <f t="shared" si="13"/>
        <v>45</v>
      </c>
      <c r="G1267" s="160">
        <f t="shared" si="14"/>
        <v>5</v>
      </c>
      <c r="H1267" s="160">
        <f t="shared" si="15"/>
        <v>10</v>
      </c>
      <c r="I1267" s="160">
        <f t="shared" si="16"/>
        <v>30</v>
      </c>
      <c r="J1267" s="160">
        <f t="shared" si="17"/>
        <v>2</v>
      </c>
    </row>
    <row r="1268" spans="2:10" x14ac:dyDescent="0.35">
      <c r="B1268" s="160">
        <f t="shared" si="9"/>
        <v>7</v>
      </c>
      <c r="C1268" s="160">
        <f t="shared" si="10"/>
        <v>50</v>
      </c>
      <c r="D1268" s="160">
        <f t="shared" si="11"/>
        <v>3</v>
      </c>
      <c r="E1268" s="160">
        <f t="shared" si="12"/>
        <v>15</v>
      </c>
      <c r="F1268" s="160">
        <f t="shared" si="13"/>
        <v>46</v>
      </c>
      <c r="G1268" s="160">
        <f t="shared" si="14"/>
        <v>1</v>
      </c>
      <c r="H1268" s="160">
        <f t="shared" si="15"/>
        <v>10</v>
      </c>
      <c r="I1268" s="160">
        <f t="shared" si="16"/>
        <v>12</v>
      </c>
      <c r="J1268" s="160">
        <f t="shared" si="17"/>
        <v>1</v>
      </c>
    </row>
    <row r="1269" spans="2:10" x14ac:dyDescent="0.35">
      <c r="B1269" s="160">
        <f t="shared" si="9"/>
        <v>7</v>
      </c>
      <c r="C1269" s="160">
        <f t="shared" si="10"/>
        <v>50</v>
      </c>
      <c r="D1269" s="160">
        <f t="shared" si="11"/>
        <v>3</v>
      </c>
      <c r="E1269" s="160">
        <f t="shared" si="12"/>
        <v>15</v>
      </c>
      <c r="F1269" s="160">
        <f t="shared" si="13"/>
        <v>46</v>
      </c>
      <c r="G1269" s="160">
        <f t="shared" si="14"/>
        <v>5</v>
      </c>
      <c r="H1269" s="160">
        <f t="shared" si="15"/>
        <v>10</v>
      </c>
      <c r="I1269" s="160">
        <f t="shared" si="16"/>
        <v>12</v>
      </c>
      <c r="J1269" s="160">
        <f t="shared" si="17"/>
        <v>1</v>
      </c>
    </row>
    <row r="1270" spans="2:10" x14ac:dyDescent="0.35">
      <c r="B1270" s="160">
        <f t="shared" si="9"/>
        <v>7</v>
      </c>
      <c r="C1270" s="160">
        <f t="shared" si="10"/>
        <v>10</v>
      </c>
      <c r="D1270" s="160">
        <f t="shared" si="11"/>
        <v>2</v>
      </c>
      <c r="E1270" s="160">
        <f t="shared" si="12"/>
        <v>16</v>
      </c>
      <c r="F1270" s="160">
        <f t="shared" si="13"/>
        <v>48</v>
      </c>
      <c r="G1270" s="160">
        <f t="shared" si="14"/>
        <v>1</v>
      </c>
      <c r="H1270" s="160">
        <f t="shared" si="15"/>
        <v>11</v>
      </c>
      <c r="I1270" s="160">
        <f t="shared" si="16"/>
        <v>37</v>
      </c>
      <c r="J1270" s="160">
        <f t="shared" si="17"/>
        <v>2</v>
      </c>
    </row>
    <row r="1271" spans="2:10" x14ac:dyDescent="0.35">
      <c r="B1271" s="160">
        <f t="shared" si="9"/>
        <v>7</v>
      </c>
      <c r="C1271" s="160">
        <f t="shared" si="10"/>
        <v>10</v>
      </c>
      <c r="D1271" s="160">
        <f t="shared" si="11"/>
        <v>2</v>
      </c>
      <c r="E1271" s="160">
        <f t="shared" si="12"/>
        <v>17</v>
      </c>
      <c r="F1271" s="160">
        <f t="shared" si="13"/>
        <v>48</v>
      </c>
      <c r="G1271" s="160">
        <f t="shared" si="14"/>
        <v>2</v>
      </c>
      <c r="H1271" s="160">
        <f t="shared" si="15"/>
        <v>11</v>
      </c>
      <c r="I1271" s="160">
        <f t="shared" si="16"/>
        <v>37</v>
      </c>
      <c r="J1271" s="160">
        <f t="shared" si="17"/>
        <v>2</v>
      </c>
    </row>
    <row r="1272" spans="2:10" x14ac:dyDescent="0.35">
      <c r="B1272" s="160">
        <f t="shared" si="9"/>
        <v>7</v>
      </c>
      <c r="C1272" s="160">
        <f t="shared" si="10"/>
        <v>2</v>
      </c>
      <c r="D1272" s="160">
        <f t="shared" si="11"/>
        <v>2</v>
      </c>
      <c r="E1272" s="160">
        <f t="shared" si="12"/>
        <v>17</v>
      </c>
      <c r="F1272" s="160">
        <f t="shared" si="13"/>
        <v>43</v>
      </c>
      <c r="G1272" s="160">
        <f t="shared" si="14"/>
        <v>1</v>
      </c>
      <c r="H1272" s="160">
        <f t="shared" si="15"/>
        <v>22</v>
      </c>
      <c r="I1272" s="160">
        <f t="shared" si="16"/>
        <v>34</v>
      </c>
      <c r="J1272" s="160">
        <f t="shared" si="17"/>
        <v>1</v>
      </c>
    </row>
    <row r="1273" spans="2:10" x14ac:dyDescent="0.35">
      <c r="B1273" s="160">
        <f t="shared" si="9"/>
        <v>7</v>
      </c>
      <c r="C1273" s="160">
        <f t="shared" si="10"/>
        <v>2</v>
      </c>
      <c r="D1273" s="160">
        <f t="shared" si="11"/>
        <v>2</v>
      </c>
      <c r="E1273" s="160">
        <f t="shared" si="12"/>
        <v>17</v>
      </c>
      <c r="F1273" s="160">
        <f t="shared" si="13"/>
        <v>43</v>
      </c>
      <c r="G1273" s="160">
        <f t="shared" si="14"/>
        <v>4</v>
      </c>
      <c r="H1273" s="160">
        <f t="shared" si="15"/>
        <v>22</v>
      </c>
      <c r="I1273" s="160">
        <f t="shared" si="16"/>
        <v>34</v>
      </c>
      <c r="J1273" s="160">
        <f t="shared" si="17"/>
        <v>1</v>
      </c>
    </row>
    <row r="1274" spans="2:10" x14ac:dyDescent="0.35">
      <c r="B1274" s="160">
        <f t="shared" si="9"/>
        <v>7</v>
      </c>
      <c r="C1274" s="160">
        <f t="shared" si="10"/>
        <v>29</v>
      </c>
      <c r="D1274" s="160">
        <f t="shared" si="11"/>
        <v>2</v>
      </c>
      <c r="E1274" s="160">
        <f t="shared" si="12"/>
        <v>17</v>
      </c>
      <c r="F1274" s="160">
        <f t="shared" si="13"/>
        <v>42</v>
      </c>
      <c r="G1274" s="160">
        <f t="shared" si="14"/>
        <v>2</v>
      </c>
      <c r="H1274" s="160">
        <f t="shared" si="15"/>
        <v>2</v>
      </c>
      <c r="I1274" s="160">
        <f t="shared" si="16"/>
        <v>22</v>
      </c>
      <c r="J1274" s="160">
        <f t="shared" si="17"/>
        <v>2</v>
      </c>
    </row>
    <row r="1275" spans="2:10" x14ac:dyDescent="0.35">
      <c r="B1275" s="160">
        <f t="shared" si="9"/>
        <v>7</v>
      </c>
      <c r="C1275" s="160">
        <f t="shared" si="10"/>
        <v>29</v>
      </c>
      <c r="D1275" s="160">
        <f t="shared" si="11"/>
        <v>2</v>
      </c>
      <c r="E1275" s="160">
        <f t="shared" si="12"/>
        <v>17</v>
      </c>
      <c r="F1275" s="160">
        <f t="shared" si="13"/>
        <v>42</v>
      </c>
      <c r="G1275" s="160">
        <f t="shared" si="14"/>
        <v>5</v>
      </c>
      <c r="H1275" s="160">
        <f t="shared" si="15"/>
        <v>2</v>
      </c>
      <c r="I1275" s="160">
        <f t="shared" si="16"/>
        <v>22</v>
      </c>
      <c r="J1275" s="160">
        <f t="shared" si="17"/>
        <v>2</v>
      </c>
    </row>
    <row r="1276" spans="2:10" x14ac:dyDescent="0.35">
      <c r="B1276" s="160">
        <f t="shared" si="9"/>
        <v>8</v>
      </c>
      <c r="C1276" s="160">
        <f t="shared" si="10"/>
        <v>11</v>
      </c>
      <c r="D1276" s="160">
        <f t="shared" si="11"/>
        <v>4</v>
      </c>
      <c r="E1276" s="160">
        <f t="shared" si="12"/>
        <v>4</v>
      </c>
      <c r="F1276" s="160">
        <f t="shared" si="13"/>
        <v>48</v>
      </c>
      <c r="G1276" s="160">
        <f t="shared" si="14"/>
        <v>1</v>
      </c>
      <c r="H1276" s="160">
        <f t="shared" si="15"/>
        <v>11</v>
      </c>
      <c r="I1276" s="160">
        <f t="shared" si="16"/>
        <v>11</v>
      </c>
      <c r="J1276" s="160">
        <f t="shared" si="17"/>
        <v>1</v>
      </c>
    </row>
    <row r="1277" spans="2:10" x14ac:dyDescent="0.35">
      <c r="B1277" s="160">
        <f t="shared" si="9"/>
        <v>8</v>
      </c>
      <c r="C1277" s="160">
        <f t="shared" si="10"/>
        <v>11</v>
      </c>
      <c r="D1277" s="160">
        <f t="shared" si="11"/>
        <v>4</v>
      </c>
      <c r="E1277" s="160">
        <f t="shared" si="12"/>
        <v>4</v>
      </c>
      <c r="F1277" s="160">
        <f t="shared" si="13"/>
        <v>48</v>
      </c>
      <c r="G1277" s="160">
        <f t="shared" si="14"/>
        <v>4</v>
      </c>
      <c r="H1277" s="160">
        <f t="shared" si="15"/>
        <v>20</v>
      </c>
      <c r="I1277" s="160">
        <f t="shared" si="16"/>
        <v>36</v>
      </c>
      <c r="J1277" s="160">
        <f t="shared" si="17"/>
        <v>1</v>
      </c>
    </row>
    <row r="1278" spans="2:10" x14ac:dyDescent="0.35">
      <c r="B1278" s="160">
        <f t="shared" si="9"/>
        <v>8</v>
      </c>
      <c r="C1278" s="160">
        <f t="shared" si="10"/>
        <v>11</v>
      </c>
      <c r="D1278" s="160">
        <f t="shared" si="11"/>
        <v>4</v>
      </c>
      <c r="E1278" s="160">
        <f t="shared" si="12"/>
        <v>15</v>
      </c>
      <c r="F1278" s="160">
        <f t="shared" si="13"/>
        <v>49</v>
      </c>
      <c r="G1278" s="160">
        <f t="shared" si="14"/>
        <v>2</v>
      </c>
      <c r="H1278" s="160">
        <f t="shared" si="15"/>
        <v>2</v>
      </c>
      <c r="I1278" s="160">
        <f t="shared" si="16"/>
        <v>52</v>
      </c>
      <c r="J1278" s="160">
        <f t="shared" si="17"/>
        <v>1</v>
      </c>
    </row>
    <row r="1279" spans="2:10" x14ac:dyDescent="0.35">
      <c r="B1279" s="160">
        <f t="shared" si="9"/>
        <v>8</v>
      </c>
      <c r="C1279" s="160">
        <f t="shared" si="10"/>
        <v>11</v>
      </c>
      <c r="D1279" s="160">
        <f t="shared" si="11"/>
        <v>4</v>
      </c>
      <c r="E1279" s="160">
        <f t="shared" si="12"/>
        <v>15</v>
      </c>
      <c r="F1279" s="160">
        <f t="shared" si="13"/>
        <v>49</v>
      </c>
      <c r="G1279" s="160">
        <f t="shared" si="14"/>
        <v>5</v>
      </c>
      <c r="H1279" s="160">
        <f t="shared" si="15"/>
        <v>20</v>
      </c>
      <c r="I1279" s="160">
        <f t="shared" si="16"/>
        <v>36</v>
      </c>
      <c r="J1279" s="160">
        <f t="shared" si="17"/>
        <v>1</v>
      </c>
    </row>
    <row r="1280" spans="2:10" x14ac:dyDescent="0.35">
      <c r="B1280" s="160">
        <f t="shared" si="9"/>
        <v>8</v>
      </c>
      <c r="C1280" s="160">
        <f t="shared" si="10"/>
        <v>11</v>
      </c>
      <c r="D1280" s="160">
        <f t="shared" si="11"/>
        <v>4</v>
      </c>
      <c r="E1280" s="160">
        <f t="shared" si="12"/>
        <v>15</v>
      </c>
      <c r="F1280" s="160">
        <f t="shared" si="13"/>
        <v>48</v>
      </c>
      <c r="G1280" s="160">
        <f t="shared" si="14"/>
        <v>1</v>
      </c>
      <c r="H1280" s="160">
        <f t="shared" si="15"/>
        <v>20</v>
      </c>
      <c r="I1280" s="160">
        <f t="shared" si="16"/>
        <v>11</v>
      </c>
      <c r="J1280" s="160">
        <f t="shared" si="17"/>
        <v>1</v>
      </c>
    </row>
    <row r="1281" spans="2:10" x14ac:dyDescent="0.35">
      <c r="B1281" s="160">
        <f t="shared" si="9"/>
        <v>8</v>
      </c>
      <c r="C1281" s="160">
        <f t="shared" si="10"/>
        <v>11</v>
      </c>
      <c r="D1281" s="160">
        <f t="shared" si="11"/>
        <v>4</v>
      </c>
      <c r="E1281" s="160">
        <f t="shared" si="12"/>
        <v>15</v>
      </c>
      <c r="F1281" s="160">
        <f t="shared" si="13"/>
        <v>48</v>
      </c>
      <c r="G1281" s="160">
        <f t="shared" si="14"/>
        <v>4</v>
      </c>
      <c r="H1281" s="160">
        <f t="shared" si="15"/>
        <v>11</v>
      </c>
      <c r="I1281" s="160">
        <f t="shared" si="16"/>
        <v>38</v>
      </c>
      <c r="J1281" s="160">
        <f t="shared" si="17"/>
        <v>1</v>
      </c>
    </row>
    <row r="1282" spans="2:10" x14ac:dyDescent="0.35">
      <c r="B1282" s="160">
        <f t="shared" si="9"/>
        <v>8</v>
      </c>
      <c r="C1282" s="160">
        <f t="shared" si="10"/>
        <v>33</v>
      </c>
      <c r="D1282" s="160">
        <f t="shared" si="11"/>
        <v>3</v>
      </c>
      <c r="E1282" s="160">
        <f t="shared" si="12"/>
        <v>15</v>
      </c>
      <c r="F1282" s="160">
        <f t="shared" si="13"/>
        <v>30</v>
      </c>
      <c r="G1282" s="160">
        <f t="shared" si="14"/>
        <v>2</v>
      </c>
      <c r="H1282" s="160">
        <f t="shared" si="15"/>
        <v>10</v>
      </c>
      <c r="I1282" s="160">
        <f t="shared" si="16"/>
        <v>39</v>
      </c>
      <c r="J1282" s="160">
        <f t="shared" si="17"/>
        <v>1</v>
      </c>
    </row>
    <row r="1283" spans="2:10" x14ac:dyDescent="0.35">
      <c r="B1283" s="160">
        <f t="shared" si="9"/>
        <v>8</v>
      </c>
      <c r="C1283" s="160">
        <f t="shared" si="10"/>
        <v>33</v>
      </c>
      <c r="D1283" s="160">
        <f t="shared" si="11"/>
        <v>3</v>
      </c>
      <c r="E1283" s="160">
        <f t="shared" si="12"/>
        <v>15</v>
      </c>
      <c r="F1283" s="160">
        <f t="shared" si="13"/>
        <v>30</v>
      </c>
      <c r="G1283" s="160">
        <f t="shared" si="14"/>
        <v>3</v>
      </c>
      <c r="H1283" s="160">
        <f t="shared" si="15"/>
        <v>14</v>
      </c>
      <c r="I1283" s="160">
        <f t="shared" si="16"/>
        <v>39</v>
      </c>
      <c r="J1283" s="160">
        <f t="shared" si="17"/>
        <v>1</v>
      </c>
    </row>
    <row r="1284" spans="2:10" x14ac:dyDescent="0.35">
      <c r="B1284" s="160">
        <f t="shared" si="9"/>
        <v>8</v>
      </c>
      <c r="C1284" s="160">
        <f t="shared" si="10"/>
        <v>33</v>
      </c>
      <c r="D1284" s="160">
        <f t="shared" si="11"/>
        <v>3</v>
      </c>
      <c r="E1284" s="160">
        <f t="shared" si="12"/>
        <v>15</v>
      </c>
      <c r="F1284" s="160">
        <f t="shared" si="13"/>
        <v>31</v>
      </c>
      <c r="G1284" s="160">
        <f t="shared" si="14"/>
        <v>1</v>
      </c>
      <c r="H1284" s="160">
        <f t="shared" si="15"/>
        <v>1</v>
      </c>
      <c r="I1284" s="160">
        <f t="shared" si="16"/>
        <v>40</v>
      </c>
      <c r="J1284" s="160">
        <f t="shared" si="17"/>
        <v>1</v>
      </c>
    </row>
    <row r="1285" spans="2:10" x14ac:dyDescent="0.35">
      <c r="B1285" s="160">
        <f t="shared" si="9"/>
        <v>8</v>
      </c>
      <c r="C1285" s="160">
        <f t="shared" si="10"/>
        <v>33</v>
      </c>
      <c r="D1285" s="160">
        <f t="shared" si="11"/>
        <v>3</v>
      </c>
      <c r="E1285" s="160">
        <f t="shared" si="12"/>
        <v>15</v>
      </c>
      <c r="F1285" s="160">
        <f t="shared" si="13"/>
        <v>31</v>
      </c>
      <c r="G1285" s="160">
        <f t="shared" si="14"/>
        <v>5</v>
      </c>
      <c r="H1285" s="160">
        <f t="shared" si="15"/>
        <v>10</v>
      </c>
      <c r="I1285" s="160">
        <f t="shared" si="16"/>
        <v>39</v>
      </c>
      <c r="J1285" s="160">
        <f t="shared" si="17"/>
        <v>1</v>
      </c>
    </row>
    <row r="1286" spans="2:10" x14ac:dyDescent="0.35">
      <c r="B1286" s="160">
        <f t="shared" si="9"/>
        <v>8</v>
      </c>
      <c r="C1286" s="160">
        <f t="shared" si="10"/>
        <v>13</v>
      </c>
      <c r="D1286" s="160">
        <f t="shared" si="11"/>
        <v>2</v>
      </c>
      <c r="E1286" s="160">
        <f t="shared" si="12"/>
        <v>16</v>
      </c>
      <c r="F1286" s="160">
        <f t="shared" si="13"/>
        <v>43</v>
      </c>
      <c r="G1286" s="160">
        <f t="shared" si="14"/>
        <v>4</v>
      </c>
      <c r="H1286" s="160">
        <f t="shared" si="15"/>
        <v>2</v>
      </c>
      <c r="I1286" s="160">
        <f t="shared" si="16"/>
        <v>11</v>
      </c>
      <c r="J1286" s="160">
        <f t="shared" si="17"/>
        <v>1</v>
      </c>
    </row>
    <row r="1287" spans="2:10" x14ac:dyDescent="0.35">
      <c r="B1287" s="160">
        <f t="shared" si="9"/>
        <v>8</v>
      </c>
      <c r="C1287" s="160">
        <f t="shared" si="10"/>
        <v>13</v>
      </c>
      <c r="D1287" s="160">
        <f t="shared" si="11"/>
        <v>2</v>
      </c>
      <c r="E1287" s="160">
        <f t="shared" si="12"/>
        <v>17</v>
      </c>
      <c r="F1287" s="160">
        <f t="shared" si="13"/>
        <v>43</v>
      </c>
      <c r="G1287" s="160">
        <f t="shared" si="14"/>
        <v>5</v>
      </c>
      <c r="H1287" s="160">
        <f t="shared" si="15"/>
        <v>2</v>
      </c>
      <c r="I1287" s="160">
        <f t="shared" si="16"/>
        <v>8</v>
      </c>
      <c r="J1287" s="160">
        <f t="shared" si="17"/>
        <v>1</v>
      </c>
    </row>
    <row r="1288" spans="2:10" x14ac:dyDescent="0.35">
      <c r="B1288" s="160">
        <f t="shared" si="9"/>
        <v>9</v>
      </c>
      <c r="C1288" s="160">
        <f t="shared" si="10"/>
        <v>42</v>
      </c>
      <c r="D1288" s="160">
        <f t="shared" si="11"/>
        <v>2</v>
      </c>
      <c r="E1288" s="160">
        <f t="shared" si="12"/>
        <v>15</v>
      </c>
      <c r="F1288" s="160">
        <f t="shared" si="13"/>
        <v>25</v>
      </c>
      <c r="G1288" s="160">
        <f t="shared" si="14"/>
        <v>2</v>
      </c>
      <c r="H1288" s="160">
        <f t="shared" si="15"/>
        <v>24</v>
      </c>
      <c r="I1288" s="160">
        <f t="shared" si="16"/>
        <v>8</v>
      </c>
      <c r="J1288" s="160">
        <f t="shared" si="17"/>
        <v>1</v>
      </c>
    </row>
    <row r="1289" spans="2:10" x14ac:dyDescent="0.35">
      <c r="B1289" s="160">
        <f t="shared" si="9"/>
        <v>9</v>
      </c>
      <c r="C1289" s="160">
        <f t="shared" si="10"/>
        <v>42</v>
      </c>
      <c r="D1289" s="160">
        <f t="shared" si="11"/>
        <v>2</v>
      </c>
      <c r="E1289" s="160">
        <f t="shared" si="12"/>
        <v>15</v>
      </c>
      <c r="F1289" s="160">
        <f t="shared" si="13"/>
        <v>25</v>
      </c>
      <c r="G1289" s="160">
        <f t="shared" si="14"/>
        <v>5</v>
      </c>
      <c r="H1289" s="160">
        <f t="shared" si="15"/>
        <v>2</v>
      </c>
      <c r="I1289" s="160">
        <f t="shared" si="16"/>
        <v>36</v>
      </c>
      <c r="J1289" s="160">
        <f t="shared" si="17"/>
        <v>1</v>
      </c>
    </row>
    <row r="1290" spans="2:10" x14ac:dyDescent="0.35">
      <c r="B1290" s="160">
        <f t="shared" si="9"/>
        <v>9</v>
      </c>
      <c r="C1290" s="160">
        <f t="shared" si="10"/>
        <v>42</v>
      </c>
      <c r="D1290" s="160">
        <f t="shared" si="11"/>
        <v>2</v>
      </c>
      <c r="E1290" s="160">
        <f t="shared" si="12"/>
        <v>15</v>
      </c>
      <c r="F1290" s="160">
        <f t="shared" si="13"/>
        <v>26</v>
      </c>
      <c r="G1290" s="160">
        <f t="shared" si="14"/>
        <v>3</v>
      </c>
      <c r="H1290" s="160">
        <f t="shared" si="15"/>
        <v>8</v>
      </c>
      <c r="I1290" s="160">
        <f t="shared" si="16"/>
        <v>30</v>
      </c>
      <c r="J1290" s="160">
        <f t="shared" si="17"/>
        <v>1</v>
      </c>
    </row>
    <row r="1291" spans="2:10" x14ac:dyDescent="0.35">
      <c r="B1291" s="160">
        <f t="shared" si="9"/>
        <v>9</v>
      </c>
      <c r="C1291" s="160">
        <f t="shared" si="10"/>
        <v>42</v>
      </c>
      <c r="D1291" s="160">
        <f t="shared" si="11"/>
        <v>2</v>
      </c>
      <c r="E1291" s="160">
        <f t="shared" si="12"/>
        <v>15</v>
      </c>
      <c r="F1291" s="160">
        <f t="shared" si="13"/>
        <v>26</v>
      </c>
      <c r="G1291" s="160">
        <f t="shared" si="14"/>
        <v>4</v>
      </c>
      <c r="H1291" s="160">
        <f t="shared" si="15"/>
        <v>11</v>
      </c>
      <c r="I1291" s="160">
        <f t="shared" si="16"/>
        <v>41</v>
      </c>
      <c r="J1291" s="160">
        <f t="shared" si="17"/>
        <v>1</v>
      </c>
    </row>
    <row r="1292" spans="2:10" x14ac:dyDescent="0.35">
      <c r="B1292" s="160">
        <f t="shared" si="9"/>
        <v>9</v>
      </c>
      <c r="C1292" s="160">
        <f t="shared" si="10"/>
        <v>42</v>
      </c>
      <c r="D1292" s="160">
        <f t="shared" si="11"/>
        <v>2</v>
      </c>
      <c r="E1292" s="160">
        <f t="shared" si="12"/>
        <v>15</v>
      </c>
      <c r="F1292" s="160">
        <f t="shared" si="13"/>
        <v>27</v>
      </c>
      <c r="G1292" s="160">
        <f t="shared" si="14"/>
        <v>2</v>
      </c>
      <c r="H1292" s="160">
        <f t="shared" si="15"/>
        <v>2</v>
      </c>
      <c r="I1292" s="160">
        <f t="shared" si="16"/>
        <v>42</v>
      </c>
      <c r="J1292" s="160">
        <f t="shared" si="17"/>
        <v>1</v>
      </c>
    </row>
    <row r="1293" spans="2:10" x14ac:dyDescent="0.35">
      <c r="B1293" s="160">
        <f t="shared" si="9"/>
        <v>9</v>
      </c>
      <c r="C1293" s="160">
        <f t="shared" si="10"/>
        <v>42</v>
      </c>
      <c r="D1293" s="160">
        <f t="shared" si="11"/>
        <v>2</v>
      </c>
      <c r="E1293" s="160">
        <f t="shared" si="12"/>
        <v>15</v>
      </c>
      <c r="F1293" s="160">
        <f t="shared" si="13"/>
        <v>27</v>
      </c>
      <c r="G1293" s="160">
        <f t="shared" si="14"/>
        <v>5</v>
      </c>
      <c r="H1293" s="160">
        <f t="shared" si="15"/>
        <v>20</v>
      </c>
      <c r="I1293" s="160">
        <f t="shared" si="16"/>
        <v>41</v>
      </c>
      <c r="J1293" s="160">
        <f t="shared" si="17"/>
        <v>1</v>
      </c>
    </row>
    <row r="1294" spans="2:10" x14ac:dyDescent="0.35">
      <c r="B1294" s="160">
        <f t="shared" si="9"/>
        <v>9</v>
      </c>
      <c r="C1294" s="160">
        <f t="shared" si="10"/>
        <v>43</v>
      </c>
      <c r="D1294" s="160">
        <f t="shared" si="11"/>
        <v>1</v>
      </c>
      <c r="E1294" s="160">
        <f t="shared" si="12"/>
        <v>15</v>
      </c>
      <c r="F1294" s="160">
        <f t="shared" si="13"/>
        <v>1</v>
      </c>
      <c r="G1294" s="160">
        <f t="shared" si="14"/>
        <v>1</v>
      </c>
      <c r="H1294" s="160">
        <f t="shared" si="15"/>
        <v>25</v>
      </c>
      <c r="I1294" s="160">
        <f t="shared" si="16"/>
        <v>34</v>
      </c>
      <c r="J1294" s="160">
        <f t="shared" si="17"/>
        <v>2</v>
      </c>
    </row>
    <row r="1295" spans="2:10" x14ac:dyDescent="0.35">
      <c r="B1295" s="160">
        <f t="shared" si="9"/>
        <v>9</v>
      </c>
      <c r="C1295" s="160">
        <f t="shared" si="10"/>
        <v>43</v>
      </c>
      <c r="D1295" s="160">
        <f t="shared" si="11"/>
        <v>1</v>
      </c>
      <c r="E1295" s="160">
        <f t="shared" si="12"/>
        <v>15</v>
      </c>
      <c r="F1295" s="160">
        <f t="shared" si="13"/>
        <v>1</v>
      </c>
      <c r="G1295" s="160">
        <f t="shared" si="14"/>
        <v>4</v>
      </c>
      <c r="H1295" s="160">
        <f t="shared" si="15"/>
        <v>1</v>
      </c>
      <c r="I1295" s="160">
        <f t="shared" si="16"/>
        <v>43</v>
      </c>
      <c r="J1295" s="160">
        <f t="shared" si="17"/>
        <v>2</v>
      </c>
    </row>
    <row r="1296" spans="2:10" x14ac:dyDescent="0.35">
      <c r="B1296" s="160">
        <f t="shared" si="9"/>
        <v>10</v>
      </c>
      <c r="C1296" s="160">
        <f t="shared" si="10"/>
        <v>53</v>
      </c>
      <c r="D1296" s="160">
        <f t="shared" si="11"/>
        <v>4</v>
      </c>
      <c r="E1296" s="160">
        <f t="shared" si="12"/>
        <v>15</v>
      </c>
      <c r="F1296" s="160">
        <f t="shared" si="13"/>
        <v>46</v>
      </c>
      <c r="G1296" s="160">
        <f t="shared" si="14"/>
        <v>1</v>
      </c>
      <c r="H1296" s="160">
        <f t="shared" si="15"/>
        <v>11</v>
      </c>
      <c r="I1296" s="160">
        <f t="shared" si="16"/>
        <v>38</v>
      </c>
      <c r="J1296" s="160">
        <f t="shared" si="17"/>
        <v>2</v>
      </c>
    </row>
    <row r="1297" spans="2:10" x14ac:dyDescent="0.35">
      <c r="B1297" s="160">
        <f t="shared" si="9"/>
        <v>10</v>
      </c>
      <c r="C1297" s="160">
        <f t="shared" si="10"/>
        <v>53</v>
      </c>
      <c r="D1297" s="160">
        <f t="shared" si="11"/>
        <v>4</v>
      </c>
      <c r="E1297" s="160">
        <f t="shared" si="12"/>
        <v>15</v>
      </c>
      <c r="F1297" s="160">
        <f t="shared" si="13"/>
        <v>46</v>
      </c>
      <c r="G1297" s="160">
        <f t="shared" si="14"/>
        <v>5</v>
      </c>
      <c r="H1297" s="160">
        <f t="shared" si="15"/>
        <v>2</v>
      </c>
      <c r="I1297" s="160">
        <f t="shared" si="16"/>
        <v>41</v>
      </c>
      <c r="J1297" s="160">
        <f t="shared" si="17"/>
        <v>2</v>
      </c>
    </row>
    <row r="1298" spans="2:10" x14ac:dyDescent="0.35">
      <c r="B1298" s="160">
        <f t="shared" si="9"/>
        <v>10</v>
      </c>
      <c r="C1298" s="160">
        <f t="shared" si="10"/>
        <v>28</v>
      </c>
      <c r="D1298" s="160">
        <f t="shared" si="11"/>
        <v>4</v>
      </c>
      <c r="E1298" s="160">
        <f t="shared" si="12"/>
        <v>4</v>
      </c>
      <c r="F1298" s="160">
        <f t="shared" si="13"/>
        <v>25</v>
      </c>
      <c r="G1298" s="160">
        <f t="shared" si="14"/>
        <v>2</v>
      </c>
      <c r="H1298" s="160">
        <f t="shared" si="15"/>
        <v>11</v>
      </c>
      <c r="I1298" s="160">
        <f t="shared" si="16"/>
        <v>11</v>
      </c>
      <c r="J1298" s="160">
        <f t="shared" si="17"/>
        <v>1</v>
      </c>
    </row>
    <row r="1299" spans="2:10" x14ac:dyDescent="0.35">
      <c r="B1299" s="160">
        <f t="shared" si="9"/>
        <v>10</v>
      </c>
      <c r="C1299" s="160">
        <f t="shared" si="10"/>
        <v>28</v>
      </c>
      <c r="D1299" s="160">
        <f t="shared" si="11"/>
        <v>4</v>
      </c>
      <c r="E1299" s="160">
        <f t="shared" si="12"/>
        <v>4</v>
      </c>
      <c r="F1299" s="160">
        <f t="shared" si="13"/>
        <v>25</v>
      </c>
      <c r="G1299" s="160">
        <f t="shared" si="14"/>
        <v>4</v>
      </c>
      <c r="H1299" s="160">
        <f t="shared" si="15"/>
        <v>18</v>
      </c>
      <c r="I1299" s="160">
        <f t="shared" si="16"/>
        <v>37</v>
      </c>
      <c r="J1299" s="160">
        <f t="shared" si="17"/>
        <v>1</v>
      </c>
    </row>
    <row r="1300" spans="2:10" x14ac:dyDescent="0.35">
      <c r="B1300" s="160">
        <f t="shared" si="9"/>
        <v>10</v>
      </c>
      <c r="C1300" s="160">
        <f t="shared" si="10"/>
        <v>48</v>
      </c>
      <c r="D1300" s="160">
        <f t="shared" si="11"/>
        <v>4</v>
      </c>
      <c r="E1300" s="160">
        <f t="shared" si="12"/>
        <v>15</v>
      </c>
      <c r="F1300" s="160">
        <f t="shared" si="13"/>
        <v>25</v>
      </c>
      <c r="G1300" s="160">
        <f t="shared" si="14"/>
        <v>1</v>
      </c>
      <c r="H1300" s="160">
        <f t="shared" si="15"/>
        <v>2</v>
      </c>
      <c r="I1300" s="160">
        <f t="shared" si="16"/>
        <v>37</v>
      </c>
      <c r="J1300" s="160">
        <f t="shared" si="17"/>
        <v>1</v>
      </c>
    </row>
    <row r="1301" spans="2:10" x14ac:dyDescent="0.35">
      <c r="B1301" s="160">
        <f t="shared" si="9"/>
        <v>10</v>
      </c>
      <c r="C1301" s="160">
        <f t="shared" si="10"/>
        <v>48</v>
      </c>
      <c r="D1301" s="160">
        <f t="shared" si="11"/>
        <v>4</v>
      </c>
      <c r="E1301" s="160">
        <f t="shared" si="12"/>
        <v>15</v>
      </c>
      <c r="F1301" s="160">
        <f t="shared" si="13"/>
        <v>25</v>
      </c>
      <c r="G1301" s="160">
        <f t="shared" si="14"/>
        <v>4</v>
      </c>
      <c r="H1301" s="160">
        <f t="shared" si="15"/>
        <v>2</v>
      </c>
      <c r="I1301" s="160">
        <f t="shared" si="16"/>
        <v>41</v>
      </c>
      <c r="J1301" s="160">
        <f t="shared" si="17"/>
        <v>1</v>
      </c>
    </row>
    <row r="1302" spans="2:10" x14ac:dyDescent="0.35">
      <c r="B1302" s="160">
        <f t="shared" si="9"/>
        <v>10</v>
      </c>
      <c r="C1302" s="160">
        <f t="shared" si="10"/>
        <v>7</v>
      </c>
      <c r="D1302" s="160">
        <f t="shared" si="11"/>
        <v>3</v>
      </c>
      <c r="E1302" s="160">
        <f t="shared" si="12"/>
        <v>8</v>
      </c>
      <c r="F1302" s="160">
        <f t="shared" si="13"/>
        <v>48</v>
      </c>
      <c r="G1302" s="160">
        <f t="shared" si="14"/>
        <v>1</v>
      </c>
      <c r="H1302" s="160">
        <f t="shared" si="15"/>
        <v>1</v>
      </c>
      <c r="I1302" s="160">
        <f t="shared" si="16"/>
        <v>10</v>
      </c>
      <c r="J1302" s="160">
        <f t="shared" si="17"/>
        <v>2</v>
      </c>
    </row>
    <row r="1303" spans="2:10" x14ac:dyDescent="0.35">
      <c r="B1303" s="160">
        <f t="shared" si="9"/>
        <v>10</v>
      </c>
      <c r="C1303" s="160">
        <f t="shared" si="10"/>
        <v>7</v>
      </c>
      <c r="D1303" s="160">
        <f t="shared" si="11"/>
        <v>3</v>
      </c>
      <c r="E1303" s="160">
        <f t="shared" si="12"/>
        <v>8</v>
      </c>
      <c r="F1303" s="160">
        <f t="shared" si="13"/>
        <v>48</v>
      </c>
      <c r="G1303" s="160">
        <f t="shared" si="14"/>
        <v>3</v>
      </c>
      <c r="H1303" s="160">
        <f t="shared" si="15"/>
        <v>19</v>
      </c>
      <c r="I1303" s="160">
        <f t="shared" si="16"/>
        <v>10</v>
      </c>
      <c r="J1303" s="160">
        <f t="shared" si="17"/>
        <v>2</v>
      </c>
    </row>
    <row r="1304" spans="2:10" x14ac:dyDescent="0.35">
      <c r="B1304" s="160">
        <f t="shared" si="9"/>
        <v>10</v>
      </c>
      <c r="C1304" s="160">
        <f t="shared" si="10"/>
        <v>33</v>
      </c>
      <c r="D1304" s="160">
        <f t="shared" si="11"/>
        <v>3</v>
      </c>
      <c r="E1304" s="160">
        <f t="shared" si="12"/>
        <v>15</v>
      </c>
      <c r="F1304" s="160">
        <f t="shared" si="13"/>
        <v>32</v>
      </c>
      <c r="G1304" s="160">
        <f t="shared" si="14"/>
        <v>1</v>
      </c>
      <c r="H1304" s="160">
        <f t="shared" si="15"/>
        <v>19</v>
      </c>
      <c r="I1304" s="160">
        <f t="shared" si="16"/>
        <v>44</v>
      </c>
      <c r="J1304" s="160">
        <f t="shared" si="17"/>
        <v>1</v>
      </c>
    </row>
    <row r="1305" spans="2:10" x14ac:dyDescent="0.35">
      <c r="B1305" s="160">
        <f t="shared" ref="B1305:B1368" si="18">INDEX($A$2:$A$85,MATCH(I190,$B$2:$B$85,0))</f>
        <v>10</v>
      </c>
      <c r="C1305" s="160">
        <f t="shared" ref="C1305:C1368" si="19">INDEX($D$2:$D$117,MATCH(J190,$E$2:$E$117,0))</f>
        <v>33</v>
      </c>
      <c r="D1305" s="160">
        <f t="shared" ref="D1305:D1368" si="20">INDEX($P$2:$P$5,MATCH(K190,$Q$2:$Q$5,0))</f>
        <v>3</v>
      </c>
      <c r="E1305" s="160">
        <f t="shared" ref="E1305:E1368" si="21">INDEX($G$2:$G$19,MATCH(L190,$H$2:$H$19,0))</f>
        <v>15</v>
      </c>
      <c r="F1305" s="160">
        <f t="shared" ref="F1305:F1368" si="22">INDEX($J$2:$J$55,MATCH(M190,$K$2:$K$55,0))</f>
        <v>32</v>
      </c>
      <c r="G1305" s="160">
        <f t="shared" ref="G1305:G1368" si="23">INDEX($M$2:$M$6,MATCH(N190,$N$2:$N$6,0))</f>
        <v>4</v>
      </c>
      <c r="H1305" s="160">
        <f t="shared" ref="H1305:H1368" si="24">INDEX($S$2:$S$26,MATCH(O190,$T$2:$T$26,0))</f>
        <v>10</v>
      </c>
      <c r="I1305" s="160">
        <f t="shared" ref="I1305:I1368" si="25">INDEX($V$2:$V$108,MATCH(P190,$W$2:$W$108,0))</f>
        <v>44</v>
      </c>
      <c r="J1305" s="160">
        <f t="shared" ref="J1305:J1368" si="26">INDEX($Y$2:$Y$4,MATCH(Q190,$Z$2:$Z$4,0))</f>
        <v>1</v>
      </c>
    </row>
    <row r="1306" spans="2:10" x14ac:dyDescent="0.35">
      <c r="B1306" s="160">
        <f t="shared" si="18"/>
        <v>10</v>
      </c>
      <c r="C1306" s="160">
        <f t="shared" si="19"/>
        <v>46</v>
      </c>
      <c r="D1306" s="160">
        <f t="shared" si="20"/>
        <v>4</v>
      </c>
      <c r="E1306" s="160">
        <f t="shared" si="21"/>
        <v>15</v>
      </c>
      <c r="F1306" s="160">
        <f t="shared" si="22"/>
        <v>6</v>
      </c>
      <c r="G1306" s="160">
        <f t="shared" si="23"/>
        <v>5</v>
      </c>
      <c r="H1306" s="160">
        <f t="shared" si="24"/>
        <v>25</v>
      </c>
      <c r="I1306" s="160">
        <f t="shared" si="25"/>
        <v>24</v>
      </c>
      <c r="J1306" s="160">
        <f t="shared" si="26"/>
        <v>3</v>
      </c>
    </row>
    <row r="1307" spans="2:10" x14ac:dyDescent="0.35">
      <c r="B1307" s="160">
        <f t="shared" si="18"/>
        <v>11</v>
      </c>
      <c r="C1307" s="160">
        <f t="shared" si="19"/>
        <v>57</v>
      </c>
      <c r="D1307" s="160">
        <f t="shared" si="20"/>
        <v>4</v>
      </c>
      <c r="E1307" s="160">
        <f t="shared" si="21"/>
        <v>10</v>
      </c>
      <c r="F1307" s="160">
        <f t="shared" si="22"/>
        <v>25</v>
      </c>
      <c r="G1307" s="160">
        <f t="shared" si="23"/>
        <v>2</v>
      </c>
      <c r="H1307" s="160">
        <f t="shared" si="24"/>
        <v>20</v>
      </c>
      <c r="I1307" s="160">
        <f t="shared" si="25"/>
        <v>30</v>
      </c>
      <c r="J1307" s="160">
        <f t="shared" si="26"/>
        <v>1</v>
      </c>
    </row>
    <row r="1308" spans="2:10" x14ac:dyDescent="0.35">
      <c r="B1308" s="160">
        <f t="shared" si="18"/>
        <v>11</v>
      </c>
      <c r="C1308" s="160">
        <f t="shared" si="19"/>
        <v>57</v>
      </c>
      <c r="D1308" s="160">
        <f t="shared" si="20"/>
        <v>4</v>
      </c>
      <c r="E1308" s="160">
        <f t="shared" si="21"/>
        <v>10</v>
      </c>
      <c r="F1308" s="160">
        <f t="shared" si="22"/>
        <v>25</v>
      </c>
      <c r="G1308" s="160">
        <f t="shared" si="23"/>
        <v>4</v>
      </c>
      <c r="H1308" s="160">
        <f t="shared" si="24"/>
        <v>2</v>
      </c>
      <c r="I1308" s="160">
        <f t="shared" si="25"/>
        <v>31</v>
      </c>
      <c r="J1308" s="160">
        <f t="shared" si="26"/>
        <v>1</v>
      </c>
    </row>
    <row r="1309" spans="2:10" x14ac:dyDescent="0.35">
      <c r="B1309" s="160">
        <f t="shared" si="18"/>
        <v>11</v>
      </c>
      <c r="C1309" s="160">
        <f t="shared" si="19"/>
        <v>57</v>
      </c>
      <c r="D1309" s="160">
        <f t="shared" si="20"/>
        <v>4</v>
      </c>
      <c r="E1309" s="160">
        <f t="shared" si="21"/>
        <v>10</v>
      </c>
      <c r="F1309" s="160">
        <f t="shared" si="22"/>
        <v>26</v>
      </c>
      <c r="G1309" s="160">
        <f t="shared" si="23"/>
        <v>2</v>
      </c>
      <c r="H1309" s="160">
        <f t="shared" si="24"/>
        <v>2</v>
      </c>
      <c r="I1309" s="160">
        <f t="shared" si="25"/>
        <v>31</v>
      </c>
      <c r="J1309" s="160">
        <f t="shared" si="26"/>
        <v>1</v>
      </c>
    </row>
    <row r="1310" spans="2:10" x14ac:dyDescent="0.35">
      <c r="B1310" s="160">
        <f t="shared" si="18"/>
        <v>11</v>
      </c>
      <c r="C1310" s="160">
        <f t="shared" si="19"/>
        <v>57</v>
      </c>
      <c r="D1310" s="160">
        <f t="shared" si="20"/>
        <v>4</v>
      </c>
      <c r="E1310" s="160">
        <f t="shared" si="21"/>
        <v>10</v>
      </c>
      <c r="F1310" s="160">
        <f t="shared" si="22"/>
        <v>26</v>
      </c>
      <c r="G1310" s="160">
        <f t="shared" si="23"/>
        <v>4</v>
      </c>
      <c r="H1310" s="160">
        <f t="shared" si="24"/>
        <v>11</v>
      </c>
      <c r="I1310" s="160">
        <f t="shared" si="25"/>
        <v>8</v>
      </c>
      <c r="J1310" s="160">
        <f t="shared" si="26"/>
        <v>1</v>
      </c>
    </row>
    <row r="1311" spans="2:10" x14ac:dyDescent="0.35">
      <c r="B1311" s="160">
        <f t="shared" si="18"/>
        <v>11</v>
      </c>
      <c r="C1311" s="160">
        <f t="shared" si="19"/>
        <v>52</v>
      </c>
      <c r="D1311" s="160">
        <f t="shared" si="20"/>
        <v>4</v>
      </c>
      <c r="E1311" s="160">
        <f t="shared" si="21"/>
        <v>10</v>
      </c>
      <c r="F1311" s="160">
        <f t="shared" si="22"/>
        <v>1</v>
      </c>
      <c r="G1311" s="160">
        <f t="shared" si="23"/>
        <v>1</v>
      </c>
      <c r="H1311" s="160">
        <f t="shared" si="24"/>
        <v>11</v>
      </c>
      <c r="I1311" s="160">
        <f t="shared" si="25"/>
        <v>33</v>
      </c>
      <c r="J1311" s="160">
        <f t="shared" si="26"/>
        <v>2</v>
      </c>
    </row>
    <row r="1312" spans="2:10" x14ac:dyDescent="0.35">
      <c r="B1312" s="160">
        <f t="shared" si="18"/>
        <v>11</v>
      </c>
      <c r="C1312" s="160">
        <f t="shared" si="19"/>
        <v>52</v>
      </c>
      <c r="D1312" s="160">
        <f t="shared" si="20"/>
        <v>4</v>
      </c>
      <c r="E1312" s="160">
        <f t="shared" si="21"/>
        <v>10</v>
      </c>
      <c r="F1312" s="160">
        <f t="shared" si="22"/>
        <v>1</v>
      </c>
      <c r="G1312" s="160">
        <f t="shared" si="23"/>
        <v>5</v>
      </c>
      <c r="H1312" s="160">
        <f t="shared" si="24"/>
        <v>2</v>
      </c>
      <c r="I1312" s="160">
        <f t="shared" si="25"/>
        <v>45</v>
      </c>
      <c r="J1312" s="160">
        <f t="shared" si="26"/>
        <v>2</v>
      </c>
    </row>
    <row r="1313" spans="2:10" x14ac:dyDescent="0.35">
      <c r="B1313" s="160">
        <f t="shared" si="18"/>
        <v>11</v>
      </c>
      <c r="C1313" s="160">
        <f t="shared" si="19"/>
        <v>52</v>
      </c>
      <c r="D1313" s="160">
        <f t="shared" si="20"/>
        <v>4</v>
      </c>
      <c r="E1313" s="160">
        <f t="shared" si="21"/>
        <v>10</v>
      </c>
      <c r="F1313" s="160">
        <f t="shared" si="22"/>
        <v>2</v>
      </c>
      <c r="G1313" s="160">
        <f t="shared" si="23"/>
        <v>1</v>
      </c>
      <c r="H1313" s="160">
        <f t="shared" si="24"/>
        <v>20</v>
      </c>
      <c r="I1313" s="160">
        <f t="shared" si="25"/>
        <v>11</v>
      </c>
      <c r="J1313" s="160">
        <f t="shared" si="26"/>
        <v>2</v>
      </c>
    </row>
    <row r="1314" spans="2:10" x14ac:dyDescent="0.35">
      <c r="B1314" s="160">
        <f t="shared" si="18"/>
        <v>11</v>
      </c>
      <c r="C1314" s="160">
        <f t="shared" si="19"/>
        <v>52</v>
      </c>
      <c r="D1314" s="160">
        <f t="shared" si="20"/>
        <v>4</v>
      </c>
      <c r="E1314" s="160">
        <f t="shared" si="21"/>
        <v>10</v>
      </c>
      <c r="F1314" s="160">
        <f t="shared" si="22"/>
        <v>2</v>
      </c>
      <c r="G1314" s="160">
        <f t="shared" si="23"/>
        <v>3</v>
      </c>
      <c r="H1314" s="160">
        <f t="shared" si="24"/>
        <v>20</v>
      </c>
      <c r="I1314" s="160">
        <f t="shared" si="25"/>
        <v>12</v>
      </c>
      <c r="J1314" s="160">
        <f t="shared" si="26"/>
        <v>2</v>
      </c>
    </row>
    <row r="1315" spans="2:10" x14ac:dyDescent="0.35">
      <c r="B1315" s="160">
        <f t="shared" si="18"/>
        <v>11</v>
      </c>
      <c r="C1315" s="160">
        <f t="shared" si="19"/>
        <v>7</v>
      </c>
      <c r="D1315" s="160">
        <f t="shared" si="20"/>
        <v>3</v>
      </c>
      <c r="E1315" s="160">
        <f t="shared" si="21"/>
        <v>8</v>
      </c>
      <c r="F1315" s="160">
        <f t="shared" si="22"/>
        <v>51</v>
      </c>
      <c r="G1315" s="160">
        <f t="shared" si="23"/>
        <v>2</v>
      </c>
      <c r="H1315" s="160">
        <f t="shared" si="24"/>
        <v>7</v>
      </c>
      <c r="I1315" s="160">
        <f t="shared" si="25"/>
        <v>46</v>
      </c>
      <c r="J1315" s="160">
        <f t="shared" si="26"/>
        <v>2</v>
      </c>
    </row>
    <row r="1316" spans="2:10" x14ac:dyDescent="0.35">
      <c r="B1316" s="160">
        <f t="shared" si="18"/>
        <v>11</v>
      </c>
      <c r="C1316" s="160">
        <f t="shared" si="19"/>
        <v>7</v>
      </c>
      <c r="D1316" s="160">
        <f t="shared" si="20"/>
        <v>3</v>
      </c>
      <c r="E1316" s="160">
        <f t="shared" si="21"/>
        <v>8</v>
      </c>
      <c r="F1316" s="160">
        <f t="shared" si="22"/>
        <v>51</v>
      </c>
      <c r="G1316" s="160">
        <f t="shared" si="23"/>
        <v>4</v>
      </c>
      <c r="H1316" s="160">
        <f t="shared" si="24"/>
        <v>7</v>
      </c>
      <c r="I1316" s="160">
        <f t="shared" si="25"/>
        <v>10</v>
      </c>
      <c r="J1316" s="160">
        <f t="shared" si="26"/>
        <v>2</v>
      </c>
    </row>
    <row r="1317" spans="2:10" x14ac:dyDescent="0.35">
      <c r="B1317" s="160">
        <f t="shared" si="18"/>
        <v>12</v>
      </c>
      <c r="C1317" s="160">
        <f t="shared" si="19"/>
        <v>35</v>
      </c>
      <c r="D1317" s="160">
        <f t="shared" si="20"/>
        <v>4</v>
      </c>
      <c r="E1317" s="160">
        <f t="shared" si="21"/>
        <v>8</v>
      </c>
      <c r="F1317" s="160">
        <f t="shared" si="22"/>
        <v>42</v>
      </c>
      <c r="G1317" s="160">
        <f t="shared" si="23"/>
        <v>1</v>
      </c>
      <c r="H1317" s="160">
        <f t="shared" si="24"/>
        <v>11</v>
      </c>
      <c r="I1317" s="160">
        <f t="shared" si="25"/>
        <v>10</v>
      </c>
      <c r="J1317" s="160">
        <f t="shared" si="26"/>
        <v>1</v>
      </c>
    </row>
    <row r="1318" spans="2:10" x14ac:dyDescent="0.35">
      <c r="B1318" s="160">
        <f t="shared" si="18"/>
        <v>12</v>
      </c>
      <c r="C1318" s="160">
        <f t="shared" si="19"/>
        <v>35</v>
      </c>
      <c r="D1318" s="160">
        <f t="shared" si="20"/>
        <v>4</v>
      </c>
      <c r="E1318" s="160">
        <f t="shared" si="21"/>
        <v>8</v>
      </c>
      <c r="F1318" s="160">
        <f t="shared" si="22"/>
        <v>42</v>
      </c>
      <c r="G1318" s="160">
        <f t="shared" si="23"/>
        <v>3</v>
      </c>
      <c r="H1318" s="160">
        <f t="shared" si="24"/>
        <v>11</v>
      </c>
      <c r="I1318" s="160">
        <f t="shared" si="25"/>
        <v>10</v>
      </c>
      <c r="J1318" s="160">
        <f t="shared" si="26"/>
        <v>1</v>
      </c>
    </row>
    <row r="1319" spans="2:10" x14ac:dyDescent="0.35">
      <c r="B1319" s="160">
        <f t="shared" si="18"/>
        <v>12</v>
      </c>
      <c r="C1319" s="160">
        <f t="shared" si="19"/>
        <v>35</v>
      </c>
      <c r="D1319" s="160">
        <f t="shared" si="20"/>
        <v>4</v>
      </c>
      <c r="E1319" s="160">
        <f t="shared" si="21"/>
        <v>8</v>
      </c>
      <c r="F1319" s="160">
        <f t="shared" si="22"/>
        <v>43</v>
      </c>
      <c r="G1319" s="160">
        <f t="shared" si="23"/>
        <v>2</v>
      </c>
      <c r="H1319" s="160">
        <f t="shared" si="24"/>
        <v>2</v>
      </c>
      <c r="I1319" s="160">
        <f t="shared" si="25"/>
        <v>10</v>
      </c>
      <c r="J1319" s="160">
        <f t="shared" si="26"/>
        <v>1</v>
      </c>
    </row>
    <row r="1320" spans="2:10" x14ac:dyDescent="0.35">
      <c r="B1320" s="160">
        <f t="shared" si="18"/>
        <v>12</v>
      </c>
      <c r="C1320" s="160">
        <f t="shared" si="19"/>
        <v>35</v>
      </c>
      <c r="D1320" s="160">
        <f t="shared" si="20"/>
        <v>4</v>
      </c>
      <c r="E1320" s="160">
        <f t="shared" si="21"/>
        <v>8</v>
      </c>
      <c r="F1320" s="160">
        <f t="shared" si="22"/>
        <v>43</v>
      </c>
      <c r="G1320" s="160">
        <f t="shared" si="23"/>
        <v>4</v>
      </c>
      <c r="H1320" s="160">
        <f t="shared" si="24"/>
        <v>11</v>
      </c>
      <c r="I1320" s="160">
        <f t="shared" si="25"/>
        <v>10</v>
      </c>
      <c r="J1320" s="160">
        <f t="shared" si="26"/>
        <v>1</v>
      </c>
    </row>
    <row r="1321" spans="2:10" x14ac:dyDescent="0.35">
      <c r="B1321" s="160">
        <f t="shared" si="18"/>
        <v>12</v>
      </c>
      <c r="C1321" s="160">
        <f t="shared" si="19"/>
        <v>35</v>
      </c>
      <c r="D1321" s="160">
        <f t="shared" si="20"/>
        <v>4</v>
      </c>
      <c r="E1321" s="160">
        <f t="shared" si="21"/>
        <v>8</v>
      </c>
      <c r="F1321" s="160">
        <f t="shared" si="22"/>
        <v>44</v>
      </c>
      <c r="G1321" s="160">
        <f t="shared" si="23"/>
        <v>2</v>
      </c>
      <c r="H1321" s="160">
        <f t="shared" si="24"/>
        <v>11</v>
      </c>
      <c r="I1321" s="160">
        <f t="shared" si="25"/>
        <v>10</v>
      </c>
      <c r="J1321" s="160">
        <f t="shared" si="26"/>
        <v>1</v>
      </c>
    </row>
    <row r="1322" spans="2:10" x14ac:dyDescent="0.35">
      <c r="B1322" s="160">
        <f t="shared" si="18"/>
        <v>12</v>
      </c>
      <c r="C1322" s="160">
        <f t="shared" si="19"/>
        <v>35</v>
      </c>
      <c r="D1322" s="160">
        <f t="shared" si="20"/>
        <v>4</v>
      </c>
      <c r="E1322" s="160">
        <f t="shared" si="21"/>
        <v>8</v>
      </c>
      <c r="F1322" s="160">
        <f t="shared" si="22"/>
        <v>44</v>
      </c>
      <c r="G1322" s="160">
        <f t="shared" si="23"/>
        <v>4</v>
      </c>
      <c r="H1322" s="160">
        <f t="shared" si="24"/>
        <v>18</v>
      </c>
      <c r="I1322" s="160">
        <f t="shared" si="25"/>
        <v>10</v>
      </c>
      <c r="J1322" s="160">
        <f t="shared" si="26"/>
        <v>1</v>
      </c>
    </row>
    <row r="1323" spans="2:10" x14ac:dyDescent="0.35">
      <c r="B1323" s="160">
        <f t="shared" si="18"/>
        <v>12</v>
      </c>
      <c r="C1323" s="160">
        <f t="shared" si="19"/>
        <v>35</v>
      </c>
      <c r="D1323" s="160">
        <f t="shared" si="20"/>
        <v>4</v>
      </c>
      <c r="E1323" s="160">
        <f t="shared" si="21"/>
        <v>8</v>
      </c>
      <c r="F1323" s="160">
        <f t="shared" si="22"/>
        <v>45</v>
      </c>
      <c r="G1323" s="160">
        <f t="shared" si="23"/>
        <v>2</v>
      </c>
      <c r="H1323" s="160">
        <f t="shared" si="24"/>
        <v>18</v>
      </c>
      <c r="I1323" s="160">
        <f t="shared" si="25"/>
        <v>3</v>
      </c>
      <c r="J1323" s="160">
        <f t="shared" si="26"/>
        <v>1</v>
      </c>
    </row>
    <row r="1324" spans="2:10" x14ac:dyDescent="0.35">
      <c r="B1324" s="160">
        <f t="shared" si="18"/>
        <v>12</v>
      </c>
      <c r="C1324" s="160">
        <f t="shared" si="19"/>
        <v>35</v>
      </c>
      <c r="D1324" s="160">
        <f t="shared" si="20"/>
        <v>4</v>
      </c>
      <c r="E1324" s="160">
        <f t="shared" si="21"/>
        <v>8</v>
      </c>
      <c r="F1324" s="160">
        <f t="shared" si="22"/>
        <v>45</v>
      </c>
      <c r="G1324" s="160">
        <f t="shared" si="23"/>
        <v>5</v>
      </c>
      <c r="H1324" s="160">
        <f t="shared" si="24"/>
        <v>2</v>
      </c>
      <c r="I1324" s="160">
        <f t="shared" si="25"/>
        <v>3</v>
      </c>
      <c r="J1324" s="160">
        <f t="shared" si="26"/>
        <v>1</v>
      </c>
    </row>
    <row r="1325" spans="2:10" x14ac:dyDescent="0.35">
      <c r="B1325" s="160">
        <f t="shared" si="18"/>
        <v>12</v>
      </c>
      <c r="C1325" s="160">
        <f t="shared" si="19"/>
        <v>30</v>
      </c>
      <c r="D1325" s="160">
        <f t="shared" si="20"/>
        <v>4</v>
      </c>
      <c r="E1325" s="160">
        <f t="shared" si="21"/>
        <v>8</v>
      </c>
      <c r="F1325" s="160">
        <f t="shared" si="22"/>
        <v>43</v>
      </c>
      <c r="G1325" s="160">
        <f t="shared" si="23"/>
        <v>3</v>
      </c>
      <c r="H1325" s="160">
        <f t="shared" si="24"/>
        <v>20</v>
      </c>
      <c r="I1325" s="160">
        <f t="shared" si="25"/>
        <v>17</v>
      </c>
      <c r="J1325" s="160">
        <f t="shared" si="26"/>
        <v>2</v>
      </c>
    </row>
    <row r="1326" spans="2:10" x14ac:dyDescent="0.35">
      <c r="B1326" s="160">
        <f t="shared" si="18"/>
        <v>12</v>
      </c>
      <c r="C1326" s="160">
        <f t="shared" si="19"/>
        <v>30</v>
      </c>
      <c r="D1326" s="160">
        <f t="shared" si="20"/>
        <v>4</v>
      </c>
      <c r="E1326" s="160">
        <f t="shared" si="21"/>
        <v>8</v>
      </c>
      <c r="F1326" s="160">
        <f t="shared" si="22"/>
        <v>43</v>
      </c>
      <c r="G1326" s="160">
        <f t="shared" si="23"/>
        <v>5</v>
      </c>
      <c r="H1326" s="160">
        <f t="shared" si="24"/>
        <v>2</v>
      </c>
      <c r="I1326" s="160">
        <f t="shared" si="25"/>
        <v>17</v>
      </c>
      <c r="J1326" s="160">
        <f t="shared" si="26"/>
        <v>2</v>
      </c>
    </row>
    <row r="1327" spans="2:10" x14ac:dyDescent="0.35">
      <c r="B1327" s="160">
        <f t="shared" si="18"/>
        <v>12</v>
      </c>
      <c r="C1327" s="160">
        <f t="shared" si="19"/>
        <v>14</v>
      </c>
      <c r="D1327" s="160">
        <f t="shared" si="20"/>
        <v>2</v>
      </c>
      <c r="E1327" s="160">
        <f t="shared" si="21"/>
        <v>8</v>
      </c>
      <c r="F1327" s="160">
        <f t="shared" si="22"/>
        <v>27</v>
      </c>
      <c r="G1327" s="160">
        <f t="shared" si="23"/>
        <v>1</v>
      </c>
      <c r="H1327" s="160">
        <f t="shared" si="24"/>
        <v>11</v>
      </c>
      <c r="I1327" s="160">
        <f t="shared" si="25"/>
        <v>19</v>
      </c>
      <c r="J1327" s="160">
        <f t="shared" si="26"/>
        <v>2</v>
      </c>
    </row>
    <row r="1328" spans="2:10" x14ac:dyDescent="0.35">
      <c r="B1328" s="160">
        <f t="shared" si="18"/>
        <v>12</v>
      </c>
      <c r="C1328" s="160">
        <f t="shared" si="19"/>
        <v>14</v>
      </c>
      <c r="D1328" s="160">
        <f t="shared" si="20"/>
        <v>2</v>
      </c>
      <c r="E1328" s="160">
        <f t="shared" si="21"/>
        <v>8</v>
      </c>
      <c r="F1328" s="160">
        <f t="shared" si="22"/>
        <v>27</v>
      </c>
      <c r="G1328" s="160">
        <f t="shared" si="23"/>
        <v>4</v>
      </c>
      <c r="H1328" s="160">
        <f t="shared" si="24"/>
        <v>2</v>
      </c>
      <c r="I1328" s="160">
        <f t="shared" si="25"/>
        <v>29</v>
      </c>
      <c r="J1328" s="160">
        <f t="shared" si="26"/>
        <v>2</v>
      </c>
    </row>
    <row r="1329" spans="2:10" x14ac:dyDescent="0.35">
      <c r="B1329" s="160">
        <f t="shared" si="18"/>
        <v>13</v>
      </c>
      <c r="C1329" s="160">
        <f t="shared" si="19"/>
        <v>21</v>
      </c>
      <c r="D1329" s="160">
        <f t="shared" si="20"/>
        <v>4</v>
      </c>
      <c r="E1329" s="160">
        <f t="shared" si="21"/>
        <v>8</v>
      </c>
      <c r="F1329" s="160">
        <f t="shared" si="22"/>
        <v>25</v>
      </c>
      <c r="G1329" s="160">
        <f t="shared" si="23"/>
        <v>3</v>
      </c>
      <c r="H1329" s="160">
        <f t="shared" si="24"/>
        <v>2</v>
      </c>
      <c r="I1329" s="160">
        <f t="shared" si="25"/>
        <v>18</v>
      </c>
      <c r="J1329" s="160">
        <f t="shared" si="26"/>
        <v>1</v>
      </c>
    </row>
    <row r="1330" spans="2:10" x14ac:dyDescent="0.35">
      <c r="B1330" s="160">
        <f t="shared" si="18"/>
        <v>13</v>
      </c>
      <c r="C1330" s="160">
        <f t="shared" si="19"/>
        <v>21</v>
      </c>
      <c r="D1330" s="160">
        <f t="shared" si="20"/>
        <v>4</v>
      </c>
      <c r="E1330" s="160">
        <f t="shared" si="21"/>
        <v>8</v>
      </c>
      <c r="F1330" s="160">
        <f t="shared" si="22"/>
        <v>25</v>
      </c>
      <c r="G1330" s="160">
        <f t="shared" si="23"/>
        <v>5</v>
      </c>
      <c r="H1330" s="160">
        <f t="shared" si="24"/>
        <v>2</v>
      </c>
      <c r="I1330" s="160">
        <f t="shared" si="25"/>
        <v>18</v>
      </c>
      <c r="J1330" s="160">
        <f t="shared" si="26"/>
        <v>1</v>
      </c>
    </row>
    <row r="1331" spans="2:10" x14ac:dyDescent="0.35">
      <c r="B1331" s="160">
        <f t="shared" si="18"/>
        <v>13</v>
      </c>
      <c r="C1331" s="160">
        <f t="shared" si="19"/>
        <v>21</v>
      </c>
      <c r="D1331" s="160">
        <f t="shared" si="20"/>
        <v>4</v>
      </c>
      <c r="E1331" s="160">
        <f t="shared" si="21"/>
        <v>8</v>
      </c>
      <c r="F1331" s="160">
        <f t="shared" si="22"/>
        <v>26</v>
      </c>
      <c r="G1331" s="160">
        <f t="shared" si="23"/>
        <v>1</v>
      </c>
      <c r="H1331" s="160">
        <f t="shared" si="24"/>
        <v>2</v>
      </c>
      <c r="I1331" s="160">
        <f t="shared" si="25"/>
        <v>18</v>
      </c>
      <c r="J1331" s="160">
        <f t="shared" si="26"/>
        <v>1</v>
      </c>
    </row>
    <row r="1332" spans="2:10" x14ac:dyDescent="0.35">
      <c r="B1332" s="160">
        <f t="shared" si="18"/>
        <v>13</v>
      </c>
      <c r="C1332" s="160">
        <f t="shared" si="19"/>
        <v>21</v>
      </c>
      <c r="D1332" s="160">
        <f t="shared" si="20"/>
        <v>4</v>
      </c>
      <c r="E1332" s="160">
        <f t="shared" si="21"/>
        <v>8</v>
      </c>
      <c r="F1332" s="160">
        <f t="shared" si="22"/>
        <v>26</v>
      </c>
      <c r="G1332" s="160">
        <f t="shared" si="23"/>
        <v>3</v>
      </c>
      <c r="H1332" s="160">
        <f t="shared" si="24"/>
        <v>11</v>
      </c>
      <c r="I1332" s="160">
        <f t="shared" si="25"/>
        <v>18</v>
      </c>
      <c r="J1332" s="160">
        <f t="shared" si="26"/>
        <v>1</v>
      </c>
    </row>
    <row r="1333" spans="2:10" x14ac:dyDescent="0.35">
      <c r="B1333" s="160">
        <f t="shared" si="18"/>
        <v>13</v>
      </c>
      <c r="C1333" s="160">
        <f t="shared" si="19"/>
        <v>21</v>
      </c>
      <c r="D1333" s="160">
        <f t="shared" si="20"/>
        <v>4</v>
      </c>
      <c r="E1333" s="160">
        <f t="shared" si="21"/>
        <v>8</v>
      </c>
      <c r="F1333" s="160">
        <f t="shared" si="22"/>
        <v>27</v>
      </c>
      <c r="G1333" s="160">
        <f t="shared" si="23"/>
        <v>2</v>
      </c>
      <c r="H1333" s="160">
        <f t="shared" si="24"/>
        <v>2</v>
      </c>
      <c r="I1333" s="160">
        <f t="shared" si="25"/>
        <v>19</v>
      </c>
      <c r="J1333" s="160">
        <f t="shared" si="26"/>
        <v>1</v>
      </c>
    </row>
    <row r="1334" spans="2:10" x14ac:dyDescent="0.35">
      <c r="B1334" s="160">
        <f t="shared" si="18"/>
        <v>13</v>
      </c>
      <c r="C1334" s="160">
        <f t="shared" si="19"/>
        <v>21</v>
      </c>
      <c r="D1334" s="160">
        <f t="shared" si="20"/>
        <v>4</v>
      </c>
      <c r="E1334" s="160">
        <f t="shared" si="21"/>
        <v>8</v>
      </c>
      <c r="F1334" s="160">
        <f t="shared" si="22"/>
        <v>27</v>
      </c>
      <c r="G1334" s="160">
        <f t="shared" si="23"/>
        <v>4</v>
      </c>
      <c r="H1334" s="160">
        <f t="shared" si="24"/>
        <v>2</v>
      </c>
      <c r="I1334" s="160">
        <f t="shared" si="25"/>
        <v>19</v>
      </c>
      <c r="J1334" s="160">
        <f t="shared" si="26"/>
        <v>1</v>
      </c>
    </row>
    <row r="1335" spans="2:10" x14ac:dyDescent="0.35">
      <c r="B1335" s="160">
        <f t="shared" si="18"/>
        <v>13</v>
      </c>
      <c r="C1335" s="160">
        <f t="shared" si="19"/>
        <v>21</v>
      </c>
      <c r="D1335" s="160">
        <f t="shared" si="20"/>
        <v>4</v>
      </c>
      <c r="E1335" s="160">
        <f t="shared" si="21"/>
        <v>8</v>
      </c>
      <c r="F1335" s="160">
        <f t="shared" si="22"/>
        <v>28</v>
      </c>
      <c r="G1335" s="160">
        <f t="shared" si="23"/>
        <v>1</v>
      </c>
      <c r="H1335" s="160">
        <f t="shared" si="24"/>
        <v>11</v>
      </c>
      <c r="I1335" s="160">
        <f t="shared" si="25"/>
        <v>29</v>
      </c>
      <c r="J1335" s="160">
        <f t="shared" si="26"/>
        <v>1</v>
      </c>
    </row>
    <row r="1336" spans="2:10" x14ac:dyDescent="0.35">
      <c r="B1336" s="160">
        <f t="shared" si="18"/>
        <v>13</v>
      </c>
      <c r="C1336" s="160">
        <f t="shared" si="19"/>
        <v>21</v>
      </c>
      <c r="D1336" s="160">
        <f t="shared" si="20"/>
        <v>4</v>
      </c>
      <c r="E1336" s="160">
        <f t="shared" si="21"/>
        <v>8</v>
      </c>
      <c r="F1336" s="160">
        <f t="shared" si="22"/>
        <v>28</v>
      </c>
      <c r="G1336" s="160">
        <f t="shared" si="23"/>
        <v>3</v>
      </c>
      <c r="H1336" s="160">
        <f t="shared" si="24"/>
        <v>18</v>
      </c>
      <c r="I1336" s="160">
        <f t="shared" si="25"/>
        <v>29</v>
      </c>
      <c r="J1336" s="160">
        <f t="shared" si="26"/>
        <v>1</v>
      </c>
    </row>
    <row r="1337" spans="2:10" x14ac:dyDescent="0.35">
      <c r="B1337" s="160">
        <f t="shared" si="18"/>
        <v>13</v>
      </c>
      <c r="C1337" s="160">
        <f t="shared" si="19"/>
        <v>14</v>
      </c>
      <c r="D1337" s="160">
        <f t="shared" si="20"/>
        <v>2</v>
      </c>
      <c r="E1337" s="160">
        <f t="shared" si="21"/>
        <v>8</v>
      </c>
      <c r="F1337" s="160">
        <f t="shared" si="22"/>
        <v>27</v>
      </c>
      <c r="G1337" s="160">
        <f t="shared" si="23"/>
        <v>1</v>
      </c>
      <c r="H1337" s="160">
        <f t="shared" si="24"/>
        <v>11</v>
      </c>
      <c r="I1337" s="160">
        <f t="shared" si="25"/>
        <v>19</v>
      </c>
      <c r="J1337" s="160">
        <f t="shared" si="26"/>
        <v>2</v>
      </c>
    </row>
    <row r="1338" spans="2:10" x14ac:dyDescent="0.35">
      <c r="B1338" s="160">
        <f t="shared" si="18"/>
        <v>13</v>
      </c>
      <c r="C1338" s="160">
        <f t="shared" si="19"/>
        <v>14</v>
      </c>
      <c r="D1338" s="160">
        <f t="shared" si="20"/>
        <v>2</v>
      </c>
      <c r="E1338" s="160">
        <f t="shared" si="21"/>
        <v>8</v>
      </c>
      <c r="F1338" s="160">
        <f t="shared" si="22"/>
        <v>27</v>
      </c>
      <c r="G1338" s="160">
        <f t="shared" si="23"/>
        <v>4</v>
      </c>
      <c r="H1338" s="160">
        <f t="shared" si="24"/>
        <v>2</v>
      </c>
      <c r="I1338" s="160">
        <f t="shared" si="25"/>
        <v>29</v>
      </c>
      <c r="J1338" s="160">
        <f t="shared" si="26"/>
        <v>2</v>
      </c>
    </row>
    <row r="1339" spans="2:10" x14ac:dyDescent="0.35">
      <c r="B1339" s="160">
        <f t="shared" si="18"/>
        <v>13</v>
      </c>
      <c r="C1339" s="160">
        <f t="shared" si="19"/>
        <v>14</v>
      </c>
      <c r="D1339" s="160">
        <f t="shared" si="20"/>
        <v>4</v>
      </c>
      <c r="E1339" s="160">
        <f t="shared" si="21"/>
        <v>8</v>
      </c>
      <c r="F1339" s="160">
        <f t="shared" si="22"/>
        <v>28</v>
      </c>
      <c r="G1339" s="160">
        <f t="shared" si="23"/>
        <v>3</v>
      </c>
      <c r="H1339" s="160">
        <f t="shared" si="24"/>
        <v>2</v>
      </c>
      <c r="I1339" s="160">
        <f t="shared" si="25"/>
        <v>29</v>
      </c>
      <c r="J1339" s="160">
        <f t="shared" si="26"/>
        <v>2</v>
      </c>
    </row>
    <row r="1340" spans="2:10" x14ac:dyDescent="0.35">
      <c r="B1340" s="160">
        <f t="shared" si="18"/>
        <v>13</v>
      </c>
      <c r="C1340" s="160">
        <f t="shared" si="19"/>
        <v>14</v>
      </c>
      <c r="D1340" s="160">
        <f t="shared" si="20"/>
        <v>4</v>
      </c>
      <c r="E1340" s="160">
        <f t="shared" si="21"/>
        <v>8</v>
      </c>
      <c r="F1340" s="160">
        <f t="shared" si="22"/>
        <v>28</v>
      </c>
      <c r="G1340" s="160">
        <f t="shared" si="23"/>
        <v>4</v>
      </c>
      <c r="H1340" s="160">
        <f t="shared" si="24"/>
        <v>20</v>
      </c>
      <c r="I1340" s="160">
        <f t="shared" si="25"/>
        <v>29</v>
      </c>
      <c r="J1340" s="160">
        <f t="shared" si="26"/>
        <v>2</v>
      </c>
    </row>
    <row r="1341" spans="2:10" x14ac:dyDescent="0.35">
      <c r="B1341" s="160">
        <f t="shared" si="18"/>
        <v>14</v>
      </c>
      <c r="C1341" s="160">
        <f t="shared" si="19"/>
        <v>28</v>
      </c>
      <c r="D1341" s="160">
        <f t="shared" si="20"/>
        <v>4</v>
      </c>
      <c r="E1341" s="160">
        <f t="shared" si="21"/>
        <v>15</v>
      </c>
      <c r="F1341" s="160">
        <f t="shared" si="22"/>
        <v>25</v>
      </c>
      <c r="G1341" s="160">
        <f t="shared" si="23"/>
        <v>1</v>
      </c>
      <c r="H1341" s="160">
        <f t="shared" si="24"/>
        <v>11</v>
      </c>
      <c r="I1341" s="160">
        <f t="shared" si="25"/>
        <v>19</v>
      </c>
      <c r="J1341" s="160">
        <f t="shared" si="26"/>
        <v>1</v>
      </c>
    </row>
    <row r="1342" spans="2:10" x14ac:dyDescent="0.35">
      <c r="B1342" s="160">
        <f t="shared" si="18"/>
        <v>14</v>
      </c>
      <c r="C1342" s="160">
        <f t="shared" si="19"/>
        <v>28</v>
      </c>
      <c r="D1342" s="160">
        <f t="shared" si="20"/>
        <v>4</v>
      </c>
      <c r="E1342" s="160">
        <f t="shared" si="21"/>
        <v>15</v>
      </c>
      <c r="F1342" s="160">
        <f t="shared" si="22"/>
        <v>25</v>
      </c>
      <c r="G1342" s="160">
        <f t="shared" si="23"/>
        <v>4</v>
      </c>
      <c r="H1342" s="160">
        <f t="shared" si="24"/>
        <v>18</v>
      </c>
      <c r="I1342" s="160">
        <f t="shared" si="25"/>
        <v>47</v>
      </c>
      <c r="J1342" s="160">
        <f t="shared" si="26"/>
        <v>1</v>
      </c>
    </row>
    <row r="1343" spans="2:10" x14ac:dyDescent="0.35">
      <c r="B1343" s="160">
        <f t="shared" si="18"/>
        <v>14</v>
      </c>
      <c r="C1343" s="160">
        <f t="shared" si="19"/>
        <v>28</v>
      </c>
      <c r="D1343" s="160">
        <f t="shared" si="20"/>
        <v>4</v>
      </c>
      <c r="E1343" s="160">
        <f t="shared" si="21"/>
        <v>15</v>
      </c>
      <c r="F1343" s="160">
        <f t="shared" si="22"/>
        <v>26</v>
      </c>
      <c r="G1343" s="160">
        <f t="shared" si="23"/>
        <v>2</v>
      </c>
      <c r="H1343" s="160">
        <f t="shared" si="24"/>
        <v>18</v>
      </c>
      <c r="I1343" s="160">
        <f t="shared" si="25"/>
        <v>18</v>
      </c>
      <c r="J1343" s="160">
        <f t="shared" si="26"/>
        <v>1</v>
      </c>
    </row>
    <row r="1344" spans="2:10" x14ac:dyDescent="0.35">
      <c r="B1344" s="160">
        <f t="shared" si="18"/>
        <v>14</v>
      </c>
      <c r="C1344" s="160">
        <f t="shared" si="19"/>
        <v>28</v>
      </c>
      <c r="D1344" s="160">
        <f t="shared" si="20"/>
        <v>4</v>
      </c>
      <c r="E1344" s="160">
        <f t="shared" si="21"/>
        <v>15</v>
      </c>
      <c r="F1344" s="160">
        <f t="shared" si="22"/>
        <v>26</v>
      </c>
      <c r="G1344" s="160">
        <f t="shared" si="23"/>
        <v>5</v>
      </c>
      <c r="H1344" s="160">
        <f t="shared" si="24"/>
        <v>2</v>
      </c>
      <c r="I1344" s="160">
        <f t="shared" si="25"/>
        <v>9</v>
      </c>
      <c r="J1344" s="160">
        <f t="shared" si="26"/>
        <v>1</v>
      </c>
    </row>
    <row r="1345" spans="2:10" x14ac:dyDescent="0.35">
      <c r="B1345" s="160">
        <f t="shared" si="18"/>
        <v>14</v>
      </c>
      <c r="C1345" s="160">
        <f t="shared" si="19"/>
        <v>15</v>
      </c>
      <c r="D1345" s="160">
        <f t="shared" si="20"/>
        <v>3</v>
      </c>
      <c r="E1345" s="160">
        <f t="shared" si="21"/>
        <v>15</v>
      </c>
      <c r="F1345" s="160">
        <f t="shared" si="22"/>
        <v>28</v>
      </c>
      <c r="G1345" s="160">
        <f t="shared" si="23"/>
        <v>3</v>
      </c>
      <c r="H1345" s="160">
        <f t="shared" si="24"/>
        <v>19</v>
      </c>
      <c r="I1345" s="160">
        <f t="shared" si="25"/>
        <v>48</v>
      </c>
      <c r="J1345" s="160">
        <f t="shared" si="26"/>
        <v>2</v>
      </c>
    </row>
    <row r="1346" spans="2:10" x14ac:dyDescent="0.35">
      <c r="B1346" s="160">
        <f t="shared" si="18"/>
        <v>14</v>
      </c>
      <c r="C1346" s="160">
        <f t="shared" si="19"/>
        <v>15</v>
      </c>
      <c r="D1346" s="160">
        <f t="shared" si="20"/>
        <v>3</v>
      </c>
      <c r="E1346" s="160">
        <f t="shared" si="21"/>
        <v>15</v>
      </c>
      <c r="F1346" s="160">
        <f t="shared" si="22"/>
        <v>28</v>
      </c>
      <c r="G1346" s="160">
        <f t="shared" si="23"/>
        <v>5</v>
      </c>
      <c r="H1346" s="160">
        <f t="shared" si="24"/>
        <v>2</v>
      </c>
      <c r="I1346" s="160">
        <f t="shared" si="25"/>
        <v>8</v>
      </c>
      <c r="J1346" s="160">
        <f t="shared" si="26"/>
        <v>2</v>
      </c>
    </row>
    <row r="1347" spans="2:10" x14ac:dyDescent="0.35">
      <c r="B1347" s="160">
        <f t="shared" si="18"/>
        <v>14</v>
      </c>
      <c r="C1347" s="160">
        <f t="shared" si="19"/>
        <v>15</v>
      </c>
      <c r="D1347" s="160">
        <f t="shared" si="20"/>
        <v>3</v>
      </c>
      <c r="E1347" s="160">
        <f t="shared" si="21"/>
        <v>4</v>
      </c>
      <c r="F1347" s="160">
        <f t="shared" si="22"/>
        <v>25</v>
      </c>
      <c r="G1347" s="160">
        <f t="shared" si="23"/>
        <v>1</v>
      </c>
      <c r="H1347" s="160">
        <f t="shared" si="24"/>
        <v>1</v>
      </c>
      <c r="I1347" s="160">
        <f t="shared" si="25"/>
        <v>5</v>
      </c>
      <c r="J1347" s="160">
        <f t="shared" si="26"/>
        <v>2</v>
      </c>
    </row>
    <row r="1348" spans="2:10" x14ac:dyDescent="0.35">
      <c r="B1348" s="160">
        <f t="shared" si="18"/>
        <v>14</v>
      </c>
      <c r="C1348" s="160">
        <f t="shared" si="19"/>
        <v>15</v>
      </c>
      <c r="D1348" s="160">
        <f t="shared" si="20"/>
        <v>3</v>
      </c>
      <c r="E1348" s="160">
        <f t="shared" si="21"/>
        <v>4</v>
      </c>
      <c r="F1348" s="160">
        <f t="shared" si="22"/>
        <v>25</v>
      </c>
      <c r="G1348" s="160">
        <f t="shared" si="23"/>
        <v>5</v>
      </c>
      <c r="H1348" s="160">
        <f t="shared" si="24"/>
        <v>9</v>
      </c>
      <c r="I1348" s="160">
        <f t="shared" si="25"/>
        <v>34</v>
      </c>
      <c r="J1348" s="160">
        <f t="shared" si="26"/>
        <v>2</v>
      </c>
    </row>
    <row r="1349" spans="2:10" x14ac:dyDescent="0.35">
      <c r="B1349" s="160">
        <f t="shared" si="18"/>
        <v>14</v>
      </c>
      <c r="C1349" s="160">
        <f t="shared" si="19"/>
        <v>33</v>
      </c>
      <c r="D1349" s="160">
        <f t="shared" si="20"/>
        <v>3</v>
      </c>
      <c r="E1349" s="160">
        <f t="shared" si="21"/>
        <v>15</v>
      </c>
      <c r="F1349" s="160">
        <f t="shared" si="22"/>
        <v>33</v>
      </c>
      <c r="G1349" s="160">
        <f t="shared" si="23"/>
        <v>2</v>
      </c>
      <c r="H1349" s="160">
        <f t="shared" si="24"/>
        <v>10</v>
      </c>
      <c r="I1349" s="160">
        <f t="shared" si="25"/>
        <v>44</v>
      </c>
      <c r="J1349" s="160">
        <f t="shared" si="26"/>
        <v>1</v>
      </c>
    </row>
    <row r="1350" spans="2:10" x14ac:dyDescent="0.35">
      <c r="B1350" s="160">
        <f t="shared" si="18"/>
        <v>14</v>
      </c>
      <c r="C1350" s="160">
        <f t="shared" si="19"/>
        <v>33</v>
      </c>
      <c r="D1350" s="160">
        <f t="shared" si="20"/>
        <v>3</v>
      </c>
      <c r="E1350" s="160">
        <f t="shared" si="21"/>
        <v>15</v>
      </c>
      <c r="F1350" s="160">
        <f t="shared" si="22"/>
        <v>33</v>
      </c>
      <c r="G1350" s="160">
        <f t="shared" si="23"/>
        <v>4</v>
      </c>
      <c r="H1350" s="160">
        <f t="shared" si="24"/>
        <v>1</v>
      </c>
      <c r="I1350" s="160">
        <f t="shared" si="25"/>
        <v>39</v>
      </c>
      <c r="J1350" s="160">
        <f t="shared" si="26"/>
        <v>1</v>
      </c>
    </row>
    <row r="1351" spans="2:10" x14ac:dyDescent="0.35">
      <c r="B1351" s="160">
        <f t="shared" si="18"/>
        <v>14</v>
      </c>
      <c r="C1351" s="160">
        <f t="shared" si="19"/>
        <v>33</v>
      </c>
      <c r="D1351" s="160">
        <f t="shared" si="20"/>
        <v>3</v>
      </c>
      <c r="E1351" s="160">
        <f t="shared" si="21"/>
        <v>15</v>
      </c>
      <c r="F1351" s="160">
        <f t="shared" si="22"/>
        <v>33</v>
      </c>
      <c r="G1351" s="160">
        <f t="shared" si="23"/>
        <v>2</v>
      </c>
      <c r="H1351" s="160">
        <f t="shared" si="24"/>
        <v>1</v>
      </c>
      <c r="I1351" s="160">
        <f t="shared" si="25"/>
        <v>39</v>
      </c>
      <c r="J1351" s="160">
        <f t="shared" si="26"/>
        <v>1</v>
      </c>
    </row>
    <row r="1352" spans="2:10" x14ac:dyDescent="0.35">
      <c r="B1352" s="160">
        <f t="shared" si="18"/>
        <v>14</v>
      </c>
      <c r="C1352" s="160">
        <f t="shared" si="19"/>
        <v>33</v>
      </c>
      <c r="D1352" s="160">
        <f t="shared" si="20"/>
        <v>3</v>
      </c>
      <c r="E1352" s="160">
        <f t="shared" si="21"/>
        <v>15</v>
      </c>
      <c r="F1352" s="160">
        <f t="shared" si="22"/>
        <v>33</v>
      </c>
      <c r="G1352" s="160">
        <f t="shared" si="23"/>
        <v>4</v>
      </c>
      <c r="H1352" s="160">
        <f t="shared" si="24"/>
        <v>10</v>
      </c>
      <c r="I1352" s="160">
        <f t="shared" si="25"/>
        <v>39</v>
      </c>
      <c r="J1352" s="160">
        <f t="shared" si="26"/>
        <v>1</v>
      </c>
    </row>
    <row r="1353" spans="2:10" x14ac:dyDescent="0.35">
      <c r="B1353" s="160">
        <f t="shared" si="18"/>
        <v>14</v>
      </c>
      <c r="C1353" s="160">
        <f t="shared" si="19"/>
        <v>46</v>
      </c>
      <c r="D1353" s="160">
        <f t="shared" si="20"/>
        <v>4</v>
      </c>
      <c r="E1353" s="160">
        <f t="shared" si="21"/>
        <v>15</v>
      </c>
      <c r="F1353" s="160">
        <f t="shared" si="22"/>
        <v>7</v>
      </c>
      <c r="G1353" s="160">
        <f t="shared" si="23"/>
        <v>5</v>
      </c>
      <c r="H1353" s="160">
        <f t="shared" si="24"/>
        <v>25</v>
      </c>
      <c r="I1353" s="160">
        <f t="shared" si="25"/>
        <v>5</v>
      </c>
      <c r="J1353" s="160">
        <f t="shared" si="26"/>
        <v>3</v>
      </c>
    </row>
    <row r="1354" spans="2:10" x14ac:dyDescent="0.35">
      <c r="B1354" s="160">
        <f t="shared" si="18"/>
        <v>15</v>
      </c>
      <c r="C1354" s="160">
        <f t="shared" si="19"/>
        <v>10</v>
      </c>
      <c r="D1354" s="160">
        <f t="shared" si="20"/>
        <v>4</v>
      </c>
      <c r="E1354" s="160">
        <f t="shared" si="21"/>
        <v>15</v>
      </c>
      <c r="F1354" s="160">
        <f t="shared" si="22"/>
        <v>42</v>
      </c>
      <c r="G1354" s="160">
        <f t="shared" si="23"/>
        <v>1</v>
      </c>
      <c r="H1354" s="160">
        <f t="shared" si="24"/>
        <v>2</v>
      </c>
      <c r="I1354" s="160">
        <f t="shared" si="25"/>
        <v>47</v>
      </c>
      <c r="J1354" s="160">
        <f t="shared" si="26"/>
        <v>2</v>
      </c>
    </row>
    <row r="1355" spans="2:10" x14ac:dyDescent="0.35">
      <c r="B1355" s="160">
        <f t="shared" si="18"/>
        <v>15</v>
      </c>
      <c r="C1355" s="160">
        <f t="shared" si="19"/>
        <v>10</v>
      </c>
      <c r="D1355" s="160">
        <f t="shared" si="20"/>
        <v>4</v>
      </c>
      <c r="E1355" s="160">
        <f t="shared" si="21"/>
        <v>15</v>
      </c>
      <c r="F1355" s="160">
        <f t="shared" si="22"/>
        <v>42</v>
      </c>
      <c r="G1355" s="160">
        <f t="shared" si="23"/>
        <v>5</v>
      </c>
      <c r="H1355" s="160">
        <f t="shared" si="24"/>
        <v>2</v>
      </c>
      <c r="I1355" s="160">
        <f t="shared" si="25"/>
        <v>5</v>
      </c>
      <c r="J1355" s="160">
        <f t="shared" si="26"/>
        <v>2</v>
      </c>
    </row>
    <row r="1356" spans="2:10" x14ac:dyDescent="0.35">
      <c r="B1356" s="160">
        <f t="shared" si="18"/>
        <v>15</v>
      </c>
      <c r="C1356" s="160">
        <f t="shared" si="19"/>
        <v>10</v>
      </c>
      <c r="D1356" s="160">
        <f t="shared" si="20"/>
        <v>4</v>
      </c>
      <c r="E1356" s="160">
        <f t="shared" si="21"/>
        <v>4</v>
      </c>
      <c r="F1356" s="160">
        <f t="shared" si="22"/>
        <v>42</v>
      </c>
      <c r="G1356" s="160">
        <f t="shared" si="23"/>
        <v>1</v>
      </c>
      <c r="H1356" s="160">
        <f t="shared" si="24"/>
        <v>2</v>
      </c>
      <c r="I1356" s="160">
        <f t="shared" si="25"/>
        <v>9</v>
      </c>
      <c r="J1356" s="160">
        <f t="shared" si="26"/>
        <v>2</v>
      </c>
    </row>
    <row r="1357" spans="2:10" x14ac:dyDescent="0.35">
      <c r="B1357" s="160">
        <f t="shared" si="18"/>
        <v>15</v>
      </c>
      <c r="C1357" s="160">
        <f t="shared" si="19"/>
        <v>10</v>
      </c>
      <c r="D1357" s="160">
        <f t="shared" si="20"/>
        <v>4</v>
      </c>
      <c r="E1357" s="160">
        <f t="shared" si="21"/>
        <v>4</v>
      </c>
      <c r="F1357" s="160">
        <f t="shared" si="22"/>
        <v>42</v>
      </c>
      <c r="G1357" s="160">
        <f t="shared" si="23"/>
        <v>5</v>
      </c>
      <c r="H1357" s="160">
        <f t="shared" si="24"/>
        <v>20</v>
      </c>
      <c r="I1357" s="160">
        <f t="shared" si="25"/>
        <v>48</v>
      </c>
      <c r="J1357" s="160">
        <f t="shared" si="26"/>
        <v>2</v>
      </c>
    </row>
    <row r="1358" spans="2:10" x14ac:dyDescent="0.35">
      <c r="B1358" s="160">
        <f t="shared" si="18"/>
        <v>15</v>
      </c>
      <c r="C1358" s="160">
        <f t="shared" si="19"/>
        <v>8</v>
      </c>
      <c r="D1358" s="160">
        <f t="shared" si="20"/>
        <v>1</v>
      </c>
      <c r="E1358" s="160">
        <f t="shared" si="21"/>
        <v>16</v>
      </c>
      <c r="F1358" s="160">
        <f t="shared" si="22"/>
        <v>48</v>
      </c>
      <c r="G1358" s="160">
        <f t="shared" si="23"/>
        <v>1</v>
      </c>
      <c r="H1358" s="160">
        <f t="shared" si="24"/>
        <v>18</v>
      </c>
      <c r="I1358" s="160">
        <f t="shared" si="25"/>
        <v>8</v>
      </c>
      <c r="J1358" s="160">
        <f t="shared" si="26"/>
        <v>1</v>
      </c>
    </row>
    <row r="1359" spans="2:10" x14ac:dyDescent="0.35">
      <c r="B1359" s="160">
        <f t="shared" si="18"/>
        <v>15</v>
      </c>
      <c r="C1359" s="160">
        <f t="shared" si="19"/>
        <v>8</v>
      </c>
      <c r="D1359" s="160">
        <f t="shared" si="20"/>
        <v>1</v>
      </c>
      <c r="E1359" s="160">
        <f t="shared" si="21"/>
        <v>17</v>
      </c>
      <c r="F1359" s="160">
        <f t="shared" si="22"/>
        <v>48</v>
      </c>
      <c r="G1359" s="160">
        <f t="shared" si="23"/>
        <v>2</v>
      </c>
      <c r="H1359" s="160">
        <f t="shared" si="24"/>
        <v>18</v>
      </c>
      <c r="I1359" s="160">
        <f t="shared" si="25"/>
        <v>8</v>
      </c>
      <c r="J1359" s="160">
        <f t="shared" si="26"/>
        <v>1</v>
      </c>
    </row>
    <row r="1360" spans="2:10" x14ac:dyDescent="0.35">
      <c r="B1360" s="160">
        <f t="shared" si="18"/>
        <v>15</v>
      </c>
      <c r="C1360" s="160">
        <f t="shared" si="19"/>
        <v>16</v>
      </c>
      <c r="D1360" s="160">
        <f t="shared" si="20"/>
        <v>3</v>
      </c>
      <c r="E1360" s="160">
        <f t="shared" si="21"/>
        <v>17</v>
      </c>
      <c r="F1360" s="160">
        <f t="shared" si="22"/>
        <v>42</v>
      </c>
      <c r="G1360" s="160">
        <f t="shared" si="23"/>
        <v>1</v>
      </c>
      <c r="H1360" s="160">
        <f t="shared" si="24"/>
        <v>3</v>
      </c>
      <c r="I1360" s="160">
        <f t="shared" si="25"/>
        <v>22</v>
      </c>
      <c r="J1360" s="160">
        <f t="shared" si="26"/>
        <v>1</v>
      </c>
    </row>
    <row r="1361" spans="2:10" x14ac:dyDescent="0.35">
      <c r="B1361" s="160">
        <f t="shared" si="18"/>
        <v>15</v>
      </c>
      <c r="C1361" s="160">
        <f t="shared" si="19"/>
        <v>16</v>
      </c>
      <c r="D1361" s="160">
        <f t="shared" si="20"/>
        <v>3</v>
      </c>
      <c r="E1361" s="160">
        <f t="shared" si="21"/>
        <v>17</v>
      </c>
      <c r="F1361" s="160">
        <f t="shared" si="22"/>
        <v>42</v>
      </c>
      <c r="G1361" s="160">
        <f t="shared" si="23"/>
        <v>4</v>
      </c>
      <c r="H1361" s="160">
        <f t="shared" si="24"/>
        <v>3</v>
      </c>
      <c r="I1361" s="160">
        <f t="shared" si="25"/>
        <v>22</v>
      </c>
      <c r="J1361" s="160">
        <f t="shared" si="26"/>
        <v>1</v>
      </c>
    </row>
    <row r="1362" spans="2:10" x14ac:dyDescent="0.35">
      <c r="B1362" s="160">
        <f t="shared" si="18"/>
        <v>16</v>
      </c>
      <c r="C1362" s="160">
        <f t="shared" si="19"/>
        <v>17</v>
      </c>
      <c r="D1362" s="160">
        <f t="shared" si="20"/>
        <v>4</v>
      </c>
      <c r="E1362" s="160">
        <f t="shared" si="21"/>
        <v>18</v>
      </c>
      <c r="F1362" s="160">
        <f t="shared" si="22"/>
        <v>48</v>
      </c>
      <c r="G1362" s="160">
        <f t="shared" si="23"/>
        <v>2</v>
      </c>
      <c r="H1362" s="160">
        <f t="shared" si="24"/>
        <v>14</v>
      </c>
      <c r="I1362" s="160">
        <f t="shared" si="25"/>
        <v>46</v>
      </c>
      <c r="J1362" s="160">
        <f t="shared" si="26"/>
        <v>2</v>
      </c>
    </row>
    <row r="1363" spans="2:10" x14ac:dyDescent="0.35">
      <c r="B1363" s="160">
        <f t="shared" si="18"/>
        <v>16</v>
      </c>
      <c r="C1363" s="160">
        <f t="shared" si="19"/>
        <v>17</v>
      </c>
      <c r="D1363" s="160">
        <f t="shared" si="20"/>
        <v>4</v>
      </c>
      <c r="E1363" s="160">
        <f t="shared" si="21"/>
        <v>18</v>
      </c>
      <c r="F1363" s="160">
        <f t="shared" si="22"/>
        <v>48</v>
      </c>
      <c r="G1363" s="160">
        <f t="shared" si="23"/>
        <v>3</v>
      </c>
      <c r="H1363" s="160">
        <f t="shared" si="24"/>
        <v>2</v>
      </c>
      <c r="I1363" s="160">
        <f t="shared" si="25"/>
        <v>33</v>
      </c>
      <c r="J1363" s="160">
        <f t="shared" si="26"/>
        <v>2</v>
      </c>
    </row>
    <row r="1364" spans="2:10" x14ac:dyDescent="0.35">
      <c r="B1364" s="160">
        <f t="shared" si="18"/>
        <v>16</v>
      </c>
      <c r="C1364" s="160">
        <f t="shared" si="19"/>
        <v>17</v>
      </c>
      <c r="D1364" s="160">
        <f>INDEX($P$2:$P$5,MATCH(K249,$Q$2:$Q$5,0))</f>
        <v>2</v>
      </c>
      <c r="E1364" s="160">
        <f t="shared" si="21"/>
        <v>18</v>
      </c>
      <c r="F1364" s="160">
        <f t="shared" si="22"/>
        <v>50</v>
      </c>
      <c r="G1364" s="160">
        <f t="shared" si="23"/>
        <v>1</v>
      </c>
      <c r="H1364" s="160">
        <f t="shared" si="24"/>
        <v>20</v>
      </c>
      <c r="I1364" s="160">
        <f t="shared" si="25"/>
        <v>20</v>
      </c>
      <c r="J1364" s="160">
        <f t="shared" si="26"/>
        <v>1</v>
      </c>
    </row>
    <row r="1365" spans="2:10" x14ac:dyDescent="0.35">
      <c r="B1365" s="160">
        <f t="shared" si="18"/>
        <v>16</v>
      </c>
      <c r="C1365" s="160">
        <f t="shared" si="19"/>
        <v>17</v>
      </c>
      <c r="D1365" s="160">
        <f t="shared" si="20"/>
        <v>2</v>
      </c>
      <c r="E1365" s="160">
        <f t="shared" si="21"/>
        <v>18</v>
      </c>
      <c r="F1365" s="160">
        <f t="shared" si="22"/>
        <v>50</v>
      </c>
      <c r="G1365" s="160">
        <f t="shared" si="23"/>
        <v>4</v>
      </c>
      <c r="H1365" s="160">
        <f t="shared" si="24"/>
        <v>18</v>
      </c>
      <c r="I1365" s="160">
        <f t="shared" si="25"/>
        <v>20</v>
      </c>
      <c r="J1365" s="160">
        <f t="shared" si="26"/>
        <v>1</v>
      </c>
    </row>
    <row r="1366" spans="2:10" x14ac:dyDescent="0.35">
      <c r="B1366" s="160">
        <f t="shared" si="18"/>
        <v>16</v>
      </c>
      <c r="C1366" s="160">
        <f t="shared" si="19"/>
        <v>3</v>
      </c>
      <c r="D1366" s="160">
        <f t="shared" si="20"/>
        <v>4</v>
      </c>
      <c r="E1366" s="160">
        <f t="shared" si="21"/>
        <v>18</v>
      </c>
      <c r="F1366" s="160">
        <f t="shared" si="22"/>
        <v>43</v>
      </c>
      <c r="G1366" s="160">
        <f t="shared" si="23"/>
        <v>1</v>
      </c>
      <c r="H1366" s="160">
        <f t="shared" si="24"/>
        <v>24</v>
      </c>
      <c r="I1366" s="160">
        <f t="shared" si="25"/>
        <v>29</v>
      </c>
      <c r="J1366" s="160">
        <f t="shared" si="26"/>
        <v>1</v>
      </c>
    </row>
    <row r="1367" spans="2:10" x14ac:dyDescent="0.35">
      <c r="B1367" s="160">
        <f t="shared" si="18"/>
        <v>16</v>
      </c>
      <c r="C1367" s="160">
        <f t="shared" si="19"/>
        <v>3</v>
      </c>
      <c r="D1367" s="160">
        <f t="shared" si="20"/>
        <v>4</v>
      </c>
      <c r="E1367" s="160">
        <f t="shared" si="21"/>
        <v>18</v>
      </c>
      <c r="F1367" s="160">
        <f t="shared" si="22"/>
        <v>43</v>
      </c>
      <c r="G1367" s="160">
        <f t="shared" si="23"/>
        <v>3</v>
      </c>
      <c r="H1367" s="160">
        <f t="shared" si="24"/>
        <v>18</v>
      </c>
      <c r="I1367" s="160">
        <f t="shared" si="25"/>
        <v>46</v>
      </c>
      <c r="J1367" s="160">
        <f t="shared" si="26"/>
        <v>1</v>
      </c>
    </row>
    <row r="1368" spans="2:10" x14ac:dyDescent="0.35">
      <c r="B1368" s="160">
        <f t="shared" si="18"/>
        <v>16</v>
      </c>
      <c r="C1368" s="160">
        <f t="shared" si="19"/>
        <v>39</v>
      </c>
      <c r="D1368" s="160">
        <f t="shared" si="20"/>
        <v>3</v>
      </c>
      <c r="E1368" s="160">
        <f t="shared" si="21"/>
        <v>18</v>
      </c>
      <c r="F1368" s="160">
        <f t="shared" si="22"/>
        <v>25</v>
      </c>
      <c r="G1368" s="160">
        <f t="shared" si="23"/>
        <v>2</v>
      </c>
      <c r="H1368" s="160">
        <f t="shared" si="24"/>
        <v>19</v>
      </c>
      <c r="I1368" s="160">
        <f t="shared" si="25"/>
        <v>46</v>
      </c>
      <c r="J1368" s="160">
        <f t="shared" si="26"/>
        <v>1</v>
      </c>
    </row>
    <row r="1369" spans="2:10" x14ac:dyDescent="0.35">
      <c r="B1369" s="160">
        <f t="shared" ref="B1369:B1432" si="27">INDEX($A$2:$A$85,MATCH(I254,$B$2:$B$85,0))</f>
        <v>16</v>
      </c>
      <c r="C1369" s="160">
        <f t="shared" ref="C1369:C1432" si="28">INDEX($D$2:$D$117,MATCH(J254,$E$2:$E$117,0))</f>
        <v>39</v>
      </c>
      <c r="D1369" s="160">
        <f t="shared" ref="D1369:D1432" si="29">INDEX($P$2:$P$5,MATCH(K254,$Q$2:$Q$5,0))</f>
        <v>3</v>
      </c>
      <c r="E1369" s="160">
        <f t="shared" ref="E1369:E1432" si="30">INDEX($G$2:$G$19,MATCH(L254,$H$2:$H$19,0))</f>
        <v>18</v>
      </c>
      <c r="F1369" s="160">
        <f t="shared" ref="F1369:F1432" si="31">INDEX($J$2:$J$55,MATCH(M254,$K$2:$K$55,0))</f>
        <v>25</v>
      </c>
      <c r="G1369" s="160">
        <f t="shared" ref="G1369:G1432" si="32">INDEX($M$2:$M$6,MATCH(N254,$N$2:$N$6,0))</f>
        <v>4</v>
      </c>
      <c r="H1369" s="160">
        <f t="shared" ref="H1369:H1432" si="33">INDEX($S$2:$S$26,MATCH(O254,$T$2:$T$26,0))</f>
        <v>23</v>
      </c>
      <c r="I1369" s="160">
        <f t="shared" ref="I1369:I1432" si="34">INDEX($V$2:$V$108,MATCH(P254,$W$2:$W$108,0))</f>
        <v>20</v>
      </c>
      <c r="J1369" s="160">
        <f t="shared" ref="J1369:J1432" si="35">INDEX($Y$2:$Y$4,MATCH(Q254,$Z$2:$Z$4,0))</f>
        <v>1</v>
      </c>
    </row>
    <row r="1370" spans="2:10" x14ac:dyDescent="0.35">
      <c r="B1370" s="160">
        <f t="shared" si="27"/>
        <v>16</v>
      </c>
      <c r="C1370" s="160">
        <f t="shared" si="28"/>
        <v>54</v>
      </c>
      <c r="D1370" s="160">
        <f t="shared" si="29"/>
        <v>3</v>
      </c>
      <c r="E1370" s="160">
        <f t="shared" si="30"/>
        <v>18</v>
      </c>
      <c r="F1370" s="160">
        <f t="shared" si="31"/>
        <v>25</v>
      </c>
      <c r="G1370" s="160">
        <f t="shared" si="32"/>
        <v>2</v>
      </c>
      <c r="H1370" s="160">
        <f t="shared" si="33"/>
        <v>1</v>
      </c>
      <c r="I1370" s="160">
        <f t="shared" si="34"/>
        <v>48</v>
      </c>
      <c r="J1370" s="160">
        <f t="shared" si="35"/>
        <v>2</v>
      </c>
    </row>
    <row r="1371" spans="2:10" x14ac:dyDescent="0.35">
      <c r="B1371" s="160">
        <f t="shared" si="27"/>
        <v>16</v>
      </c>
      <c r="C1371" s="160">
        <f t="shared" si="28"/>
        <v>54</v>
      </c>
      <c r="D1371" s="160">
        <f t="shared" si="29"/>
        <v>3</v>
      </c>
      <c r="E1371" s="160">
        <f t="shared" si="30"/>
        <v>18</v>
      </c>
      <c r="F1371" s="160">
        <f t="shared" si="31"/>
        <v>25</v>
      </c>
      <c r="G1371" s="160">
        <f t="shared" si="32"/>
        <v>5</v>
      </c>
      <c r="H1371" s="160">
        <f t="shared" si="33"/>
        <v>10</v>
      </c>
      <c r="I1371" s="160">
        <f t="shared" si="34"/>
        <v>33</v>
      </c>
      <c r="J1371" s="160">
        <f t="shared" si="35"/>
        <v>2</v>
      </c>
    </row>
    <row r="1372" spans="2:10" x14ac:dyDescent="0.35">
      <c r="B1372" s="160">
        <f t="shared" si="27"/>
        <v>17</v>
      </c>
      <c r="C1372" s="160">
        <f t="shared" si="28"/>
        <v>25</v>
      </c>
      <c r="D1372" s="160">
        <f t="shared" si="29"/>
        <v>2</v>
      </c>
      <c r="E1372" s="160">
        <f t="shared" si="30"/>
        <v>18</v>
      </c>
      <c r="F1372" s="160">
        <f t="shared" si="31"/>
        <v>48</v>
      </c>
      <c r="G1372" s="160">
        <f t="shared" si="32"/>
        <v>1</v>
      </c>
      <c r="H1372" s="160">
        <f t="shared" si="33"/>
        <v>1</v>
      </c>
      <c r="I1372" s="160">
        <f t="shared" si="34"/>
        <v>46</v>
      </c>
      <c r="J1372" s="160">
        <f t="shared" si="35"/>
        <v>1</v>
      </c>
    </row>
    <row r="1373" spans="2:10" x14ac:dyDescent="0.35">
      <c r="B1373" s="160">
        <f t="shared" si="27"/>
        <v>17</v>
      </c>
      <c r="C1373" s="160">
        <f t="shared" si="28"/>
        <v>25</v>
      </c>
      <c r="D1373" s="160">
        <f t="shared" si="29"/>
        <v>2</v>
      </c>
      <c r="E1373" s="160">
        <f t="shared" si="30"/>
        <v>18</v>
      </c>
      <c r="F1373" s="160">
        <f t="shared" si="31"/>
        <v>48</v>
      </c>
      <c r="G1373" s="160">
        <f t="shared" si="32"/>
        <v>3</v>
      </c>
      <c r="H1373" s="160">
        <f t="shared" si="33"/>
        <v>7</v>
      </c>
      <c r="I1373" s="160">
        <f t="shared" si="34"/>
        <v>33</v>
      </c>
      <c r="J1373" s="160">
        <f t="shared" si="35"/>
        <v>1</v>
      </c>
    </row>
    <row r="1374" spans="2:10" x14ac:dyDescent="0.35">
      <c r="B1374" s="160">
        <f t="shared" si="27"/>
        <v>17</v>
      </c>
      <c r="C1374" s="160">
        <f t="shared" si="28"/>
        <v>20</v>
      </c>
      <c r="D1374" s="160">
        <f t="shared" si="29"/>
        <v>3</v>
      </c>
      <c r="E1374" s="160">
        <f t="shared" si="30"/>
        <v>10</v>
      </c>
      <c r="F1374" s="160">
        <f t="shared" si="31"/>
        <v>48</v>
      </c>
      <c r="G1374" s="160">
        <f t="shared" si="32"/>
        <v>2</v>
      </c>
      <c r="H1374" s="160">
        <f t="shared" si="33"/>
        <v>1</v>
      </c>
      <c r="I1374" s="160">
        <f t="shared" si="34"/>
        <v>46</v>
      </c>
      <c r="J1374" s="160">
        <f t="shared" si="35"/>
        <v>1</v>
      </c>
    </row>
    <row r="1375" spans="2:10" x14ac:dyDescent="0.35">
      <c r="B1375" s="160">
        <f t="shared" si="27"/>
        <v>17</v>
      </c>
      <c r="C1375" s="160">
        <f t="shared" si="28"/>
        <v>20</v>
      </c>
      <c r="D1375" s="160">
        <f t="shared" si="29"/>
        <v>3</v>
      </c>
      <c r="E1375" s="160">
        <f t="shared" si="30"/>
        <v>10</v>
      </c>
      <c r="F1375" s="160">
        <f t="shared" si="31"/>
        <v>48</v>
      </c>
      <c r="G1375" s="160">
        <f t="shared" si="32"/>
        <v>4</v>
      </c>
      <c r="H1375" s="160">
        <f t="shared" si="33"/>
        <v>17</v>
      </c>
      <c r="I1375" s="160">
        <f t="shared" si="34"/>
        <v>24</v>
      </c>
      <c r="J1375" s="160">
        <f t="shared" si="35"/>
        <v>1</v>
      </c>
    </row>
    <row r="1376" spans="2:10" x14ac:dyDescent="0.35">
      <c r="B1376" s="160">
        <f t="shared" si="27"/>
        <v>17</v>
      </c>
      <c r="C1376" s="160">
        <f t="shared" si="28"/>
        <v>20</v>
      </c>
      <c r="D1376" s="160">
        <f t="shared" si="29"/>
        <v>3</v>
      </c>
      <c r="E1376" s="160">
        <f t="shared" si="30"/>
        <v>18</v>
      </c>
      <c r="F1376" s="160">
        <f t="shared" si="31"/>
        <v>49</v>
      </c>
      <c r="G1376" s="160">
        <f t="shared" si="32"/>
        <v>1</v>
      </c>
      <c r="H1376" s="160">
        <f t="shared" si="33"/>
        <v>14</v>
      </c>
      <c r="I1376" s="160">
        <f t="shared" si="34"/>
        <v>33</v>
      </c>
      <c r="J1376" s="160">
        <f t="shared" si="35"/>
        <v>1</v>
      </c>
    </row>
    <row r="1377" spans="2:10" x14ac:dyDescent="0.35">
      <c r="B1377" s="160">
        <f t="shared" si="27"/>
        <v>17</v>
      </c>
      <c r="C1377" s="160">
        <f t="shared" si="28"/>
        <v>20</v>
      </c>
      <c r="D1377" s="160">
        <f t="shared" si="29"/>
        <v>3</v>
      </c>
      <c r="E1377" s="160">
        <f t="shared" si="30"/>
        <v>18</v>
      </c>
      <c r="F1377" s="160">
        <f t="shared" si="31"/>
        <v>49</v>
      </c>
      <c r="G1377" s="160">
        <f t="shared" si="32"/>
        <v>3</v>
      </c>
      <c r="H1377" s="160">
        <f t="shared" si="33"/>
        <v>1</v>
      </c>
      <c r="I1377" s="160">
        <f t="shared" si="34"/>
        <v>33</v>
      </c>
      <c r="J1377" s="160">
        <f t="shared" si="35"/>
        <v>1</v>
      </c>
    </row>
    <row r="1378" spans="2:10" x14ac:dyDescent="0.35">
      <c r="B1378" s="160">
        <f t="shared" si="27"/>
        <v>17</v>
      </c>
      <c r="C1378" s="160">
        <f t="shared" si="28"/>
        <v>11</v>
      </c>
      <c r="D1378" s="160">
        <f t="shared" si="29"/>
        <v>4</v>
      </c>
      <c r="E1378" s="160">
        <f t="shared" si="30"/>
        <v>18</v>
      </c>
      <c r="F1378" s="160">
        <f t="shared" si="31"/>
        <v>48</v>
      </c>
      <c r="G1378" s="160">
        <f t="shared" si="32"/>
        <v>1</v>
      </c>
      <c r="H1378" s="160">
        <f t="shared" si="33"/>
        <v>20</v>
      </c>
      <c r="I1378" s="160">
        <f t="shared" si="34"/>
        <v>20</v>
      </c>
      <c r="J1378" s="160">
        <f t="shared" si="35"/>
        <v>2</v>
      </c>
    </row>
    <row r="1379" spans="2:10" x14ac:dyDescent="0.35">
      <c r="B1379" s="160">
        <f t="shared" si="27"/>
        <v>17</v>
      </c>
      <c r="C1379" s="160">
        <f t="shared" si="28"/>
        <v>11</v>
      </c>
      <c r="D1379" s="160">
        <f t="shared" si="29"/>
        <v>4</v>
      </c>
      <c r="E1379" s="160">
        <f t="shared" si="30"/>
        <v>18</v>
      </c>
      <c r="F1379" s="160">
        <f t="shared" si="31"/>
        <v>48</v>
      </c>
      <c r="G1379" s="160">
        <f t="shared" si="32"/>
        <v>3</v>
      </c>
      <c r="H1379" s="160">
        <f t="shared" si="33"/>
        <v>20</v>
      </c>
      <c r="I1379" s="160">
        <f t="shared" si="34"/>
        <v>46</v>
      </c>
      <c r="J1379" s="160">
        <f t="shared" si="35"/>
        <v>2</v>
      </c>
    </row>
    <row r="1380" spans="2:10" x14ac:dyDescent="0.35">
      <c r="B1380" s="160">
        <f t="shared" si="27"/>
        <v>17</v>
      </c>
      <c r="C1380" s="160">
        <f t="shared" si="28"/>
        <v>11</v>
      </c>
      <c r="D1380" s="160">
        <f t="shared" si="29"/>
        <v>2</v>
      </c>
      <c r="E1380" s="160">
        <f t="shared" si="30"/>
        <v>10</v>
      </c>
      <c r="F1380" s="160">
        <f t="shared" si="31"/>
        <v>48</v>
      </c>
      <c r="G1380" s="160">
        <f t="shared" si="32"/>
        <v>2</v>
      </c>
      <c r="H1380" s="160">
        <f t="shared" si="33"/>
        <v>2</v>
      </c>
      <c r="I1380" s="160">
        <f t="shared" si="34"/>
        <v>21</v>
      </c>
      <c r="J1380" s="160">
        <f t="shared" si="35"/>
        <v>2</v>
      </c>
    </row>
    <row r="1381" spans="2:10" x14ac:dyDescent="0.35">
      <c r="B1381" s="160">
        <f t="shared" si="27"/>
        <v>17</v>
      </c>
      <c r="C1381" s="160">
        <f t="shared" si="28"/>
        <v>11</v>
      </c>
      <c r="D1381" s="160">
        <f t="shared" si="29"/>
        <v>2</v>
      </c>
      <c r="E1381" s="160">
        <f t="shared" si="30"/>
        <v>10</v>
      </c>
      <c r="F1381" s="160">
        <f t="shared" si="31"/>
        <v>48</v>
      </c>
      <c r="G1381" s="160">
        <f t="shared" si="32"/>
        <v>5</v>
      </c>
      <c r="H1381" s="160">
        <f t="shared" si="33"/>
        <v>2</v>
      </c>
      <c r="I1381" s="160">
        <f t="shared" si="34"/>
        <v>22</v>
      </c>
      <c r="J1381" s="160">
        <f t="shared" si="35"/>
        <v>2</v>
      </c>
    </row>
    <row r="1382" spans="2:10" x14ac:dyDescent="0.35">
      <c r="B1382" s="160">
        <f t="shared" si="27"/>
        <v>17</v>
      </c>
      <c r="C1382" s="160">
        <f t="shared" si="28"/>
        <v>30</v>
      </c>
      <c r="D1382" s="160">
        <f t="shared" si="29"/>
        <v>2</v>
      </c>
      <c r="E1382" s="160">
        <f t="shared" si="30"/>
        <v>10</v>
      </c>
      <c r="F1382" s="160">
        <f t="shared" si="31"/>
        <v>42</v>
      </c>
      <c r="G1382" s="160">
        <f t="shared" si="32"/>
        <v>1</v>
      </c>
      <c r="H1382" s="160">
        <f t="shared" si="33"/>
        <v>2</v>
      </c>
      <c r="I1382" s="160">
        <f t="shared" si="34"/>
        <v>54</v>
      </c>
      <c r="J1382" s="160">
        <f t="shared" si="35"/>
        <v>2</v>
      </c>
    </row>
    <row r="1383" spans="2:10" x14ac:dyDescent="0.35">
      <c r="B1383" s="160">
        <f t="shared" si="27"/>
        <v>17</v>
      </c>
      <c r="C1383" s="160">
        <f t="shared" si="28"/>
        <v>30</v>
      </c>
      <c r="D1383" s="160">
        <f t="shared" si="29"/>
        <v>2</v>
      </c>
      <c r="E1383" s="160">
        <f t="shared" si="30"/>
        <v>10</v>
      </c>
      <c r="F1383" s="160">
        <f t="shared" si="31"/>
        <v>42</v>
      </c>
      <c r="G1383" s="160">
        <f t="shared" si="32"/>
        <v>5</v>
      </c>
      <c r="H1383" s="160">
        <f t="shared" si="33"/>
        <v>20</v>
      </c>
      <c r="I1383" s="160">
        <f t="shared" si="34"/>
        <v>55</v>
      </c>
      <c r="J1383" s="160">
        <f t="shared" si="35"/>
        <v>2</v>
      </c>
    </row>
    <row r="1384" spans="2:10" x14ac:dyDescent="0.35">
      <c r="B1384" s="160">
        <f t="shared" si="27"/>
        <v>17</v>
      </c>
      <c r="C1384" s="160">
        <f t="shared" si="28"/>
        <v>6</v>
      </c>
      <c r="D1384" s="160">
        <f t="shared" si="29"/>
        <v>4</v>
      </c>
      <c r="E1384" s="160">
        <f t="shared" si="30"/>
        <v>10</v>
      </c>
      <c r="F1384" s="160">
        <f t="shared" si="31"/>
        <v>1</v>
      </c>
      <c r="G1384" s="160">
        <f t="shared" si="32"/>
        <v>2</v>
      </c>
      <c r="H1384" s="160">
        <f t="shared" si="33"/>
        <v>11</v>
      </c>
      <c r="I1384" s="160">
        <f t="shared" si="34"/>
        <v>24</v>
      </c>
      <c r="J1384" s="160">
        <f t="shared" si="35"/>
        <v>2</v>
      </c>
    </row>
    <row r="1385" spans="2:10" x14ac:dyDescent="0.35">
      <c r="B1385" s="160">
        <f t="shared" si="27"/>
        <v>17</v>
      </c>
      <c r="C1385" s="160">
        <f t="shared" si="28"/>
        <v>6</v>
      </c>
      <c r="D1385" s="160">
        <f t="shared" si="29"/>
        <v>4</v>
      </c>
      <c r="E1385" s="160">
        <f t="shared" si="30"/>
        <v>10</v>
      </c>
      <c r="F1385" s="160">
        <f t="shared" si="31"/>
        <v>1</v>
      </c>
      <c r="G1385" s="160">
        <f t="shared" si="32"/>
        <v>4</v>
      </c>
      <c r="H1385" s="160">
        <f t="shared" si="33"/>
        <v>11</v>
      </c>
      <c r="I1385" s="160">
        <f t="shared" si="34"/>
        <v>11</v>
      </c>
      <c r="J1385" s="160">
        <f t="shared" si="35"/>
        <v>2</v>
      </c>
    </row>
    <row r="1386" spans="2:10" x14ac:dyDescent="0.35">
      <c r="B1386" s="160">
        <f t="shared" si="27"/>
        <v>17</v>
      </c>
      <c r="C1386" s="160">
        <f t="shared" si="28"/>
        <v>22</v>
      </c>
      <c r="D1386" s="160">
        <f t="shared" si="29"/>
        <v>4</v>
      </c>
      <c r="E1386" s="160">
        <f t="shared" si="30"/>
        <v>10</v>
      </c>
      <c r="F1386" s="160">
        <f t="shared" si="31"/>
        <v>2</v>
      </c>
      <c r="G1386" s="160">
        <f t="shared" si="32"/>
        <v>1</v>
      </c>
      <c r="H1386" s="160">
        <f t="shared" si="33"/>
        <v>24</v>
      </c>
      <c r="I1386" s="160">
        <f t="shared" si="34"/>
        <v>33</v>
      </c>
      <c r="J1386" s="160">
        <f t="shared" si="35"/>
        <v>3</v>
      </c>
    </row>
    <row r="1387" spans="2:10" x14ac:dyDescent="0.35">
      <c r="B1387" s="160">
        <f t="shared" si="27"/>
        <v>18</v>
      </c>
      <c r="C1387" s="160">
        <f t="shared" si="28"/>
        <v>26</v>
      </c>
      <c r="D1387" s="160">
        <f t="shared" si="29"/>
        <v>4</v>
      </c>
      <c r="E1387" s="160">
        <f t="shared" si="30"/>
        <v>10</v>
      </c>
      <c r="F1387" s="160">
        <f t="shared" si="31"/>
        <v>42</v>
      </c>
      <c r="G1387" s="160">
        <f t="shared" si="32"/>
        <v>1</v>
      </c>
      <c r="H1387" s="160">
        <f t="shared" si="33"/>
        <v>2</v>
      </c>
      <c r="I1387" s="160">
        <f t="shared" si="34"/>
        <v>35</v>
      </c>
      <c r="J1387" s="160">
        <f t="shared" si="35"/>
        <v>1</v>
      </c>
    </row>
    <row r="1388" spans="2:10" x14ac:dyDescent="0.35">
      <c r="B1388" s="160">
        <f t="shared" si="27"/>
        <v>18</v>
      </c>
      <c r="C1388" s="160">
        <f t="shared" si="28"/>
        <v>26</v>
      </c>
      <c r="D1388" s="160">
        <f t="shared" si="29"/>
        <v>4</v>
      </c>
      <c r="E1388" s="160">
        <f t="shared" si="30"/>
        <v>10</v>
      </c>
      <c r="F1388" s="160">
        <f t="shared" si="31"/>
        <v>42</v>
      </c>
      <c r="G1388" s="160">
        <f t="shared" si="32"/>
        <v>4</v>
      </c>
      <c r="H1388" s="160">
        <f t="shared" si="33"/>
        <v>20</v>
      </c>
      <c r="I1388" s="160">
        <f t="shared" si="34"/>
        <v>11</v>
      </c>
      <c r="J1388" s="160">
        <f t="shared" si="35"/>
        <v>1</v>
      </c>
    </row>
    <row r="1389" spans="2:10" x14ac:dyDescent="0.35">
      <c r="B1389" s="160">
        <f t="shared" si="27"/>
        <v>18</v>
      </c>
      <c r="C1389" s="160">
        <f t="shared" si="28"/>
        <v>26</v>
      </c>
      <c r="D1389" s="160">
        <f t="shared" si="29"/>
        <v>2</v>
      </c>
      <c r="E1389" s="160">
        <f t="shared" si="30"/>
        <v>10</v>
      </c>
      <c r="F1389" s="160">
        <f t="shared" si="31"/>
        <v>43</v>
      </c>
      <c r="G1389" s="160">
        <f t="shared" si="32"/>
        <v>2</v>
      </c>
      <c r="H1389" s="160">
        <f t="shared" si="33"/>
        <v>20</v>
      </c>
      <c r="I1389" s="160">
        <f t="shared" si="34"/>
        <v>31</v>
      </c>
      <c r="J1389" s="160">
        <f t="shared" si="35"/>
        <v>1</v>
      </c>
    </row>
    <row r="1390" spans="2:10" x14ac:dyDescent="0.35">
      <c r="B1390" s="160">
        <f t="shared" si="27"/>
        <v>18</v>
      </c>
      <c r="C1390" s="160">
        <f t="shared" si="28"/>
        <v>26</v>
      </c>
      <c r="D1390" s="160">
        <f t="shared" si="29"/>
        <v>2</v>
      </c>
      <c r="E1390" s="160">
        <f t="shared" si="30"/>
        <v>10</v>
      </c>
      <c r="F1390" s="160">
        <f t="shared" si="31"/>
        <v>43</v>
      </c>
      <c r="G1390" s="160">
        <f t="shared" si="32"/>
        <v>5</v>
      </c>
      <c r="H1390" s="160">
        <f t="shared" si="33"/>
        <v>2</v>
      </c>
      <c r="I1390" s="160">
        <f t="shared" si="34"/>
        <v>31</v>
      </c>
      <c r="J1390" s="160">
        <f t="shared" si="35"/>
        <v>1</v>
      </c>
    </row>
    <row r="1391" spans="2:10" x14ac:dyDescent="0.35">
      <c r="B1391" s="160">
        <f t="shared" si="27"/>
        <v>18</v>
      </c>
      <c r="C1391" s="160">
        <f t="shared" si="28"/>
        <v>26</v>
      </c>
      <c r="D1391" s="160">
        <f t="shared" si="29"/>
        <v>4</v>
      </c>
      <c r="E1391" s="160">
        <f t="shared" si="30"/>
        <v>10</v>
      </c>
      <c r="F1391" s="160">
        <f t="shared" si="31"/>
        <v>44</v>
      </c>
      <c r="G1391" s="160">
        <f t="shared" si="32"/>
        <v>3</v>
      </c>
      <c r="H1391" s="160">
        <f t="shared" si="33"/>
        <v>20</v>
      </c>
      <c r="I1391" s="160">
        <f t="shared" si="34"/>
        <v>48</v>
      </c>
      <c r="J1391" s="160">
        <f t="shared" si="35"/>
        <v>2</v>
      </c>
    </row>
    <row r="1392" spans="2:10" x14ac:dyDescent="0.35">
      <c r="B1392" s="160">
        <f t="shared" si="27"/>
        <v>18</v>
      </c>
      <c r="C1392" s="160">
        <f t="shared" si="28"/>
        <v>26</v>
      </c>
      <c r="D1392" s="160">
        <f t="shared" si="29"/>
        <v>4</v>
      </c>
      <c r="E1392" s="160">
        <f t="shared" si="30"/>
        <v>10</v>
      </c>
      <c r="F1392" s="160">
        <f t="shared" si="31"/>
        <v>44</v>
      </c>
      <c r="G1392" s="160">
        <f t="shared" si="32"/>
        <v>5</v>
      </c>
      <c r="H1392" s="160">
        <f t="shared" si="33"/>
        <v>8</v>
      </c>
      <c r="I1392" s="160">
        <f t="shared" si="34"/>
        <v>99</v>
      </c>
      <c r="J1392" s="160">
        <f t="shared" si="35"/>
        <v>2</v>
      </c>
    </row>
    <row r="1393" spans="2:10" x14ac:dyDescent="0.35">
      <c r="B1393" s="160">
        <f t="shared" si="27"/>
        <v>18</v>
      </c>
      <c r="C1393" s="160">
        <f t="shared" si="28"/>
        <v>59</v>
      </c>
      <c r="D1393" s="160">
        <f t="shared" si="29"/>
        <v>2</v>
      </c>
      <c r="E1393" s="160">
        <f t="shared" si="30"/>
        <v>10</v>
      </c>
      <c r="F1393" s="160">
        <f t="shared" si="31"/>
        <v>26</v>
      </c>
      <c r="G1393" s="160">
        <f t="shared" si="32"/>
        <v>2</v>
      </c>
      <c r="H1393" s="160">
        <f t="shared" si="33"/>
        <v>11</v>
      </c>
      <c r="I1393" s="160">
        <f t="shared" si="34"/>
        <v>99</v>
      </c>
      <c r="J1393" s="160">
        <f t="shared" si="35"/>
        <v>2</v>
      </c>
    </row>
    <row r="1394" spans="2:10" x14ac:dyDescent="0.35">
      <c r="B1394" s="160">
        <f t="shared" si="27"/>
        <v>18</v>
      </c>
      <c r="C1394" s="160">
        <f t="shared" si="28"/>
        <v>59</v>
      </c>
      <c r="D1394" s="160">
        <f t="shared" si="29"/>
        <v>2</v>
      </c>
      <c r="E1394" s="160">
        <f t="shared" si="30"/>
        <v>10</v>
      </c>
      <c r="F1394" s="160">
        <f t="shared" si="31"/>
        <v>26</v>
      </c>
      <c r="G1394" s="160">
        <f t="shared" si="32"/>
        <v>4</v>
      </c>
      <c r="H1394" s="160">
        <f t="shared" si="33"/>
        <v>11</v>
      </c>
      <c r="I1394" s="160">
        <f t="shared" si="34"/>
        <v>28</v>
      </c>
      <c r="J1394" s="160">
        <f t="shared" si="35"/>
        <v>2</v>
      </c>
    </row>
    <row r="1395" spans="2:10" x14ac:dyDescent="0.35">
      <c r="B1395" s="160">
        <f t="shared" si="27"/>
        <v>18</v>
      </c>
      <c r="C1395" s="160">
        <f t="shared" si="28"/>
        <v>59</v>
      </c>
      <c r="D1395" s="160">
        <f t="shared" si="29"/>
        <v>2</v>
      </c>
      <c r="E1395" s="160">
        <f t="shared" si="30"/>
        <v>10</v>
      </c>
      <c r="F1395" s="160">
        <f t="shared" si="31"/>
        <v>27</v>
      </c>
      <c r="G1395" s="160">
        <f t="shared" si="32"/>
        <v>1</v>
      </c>
      <c r="H1395" s="160">
        <f t="shared" si="33"/>
        <v>20</v>
      </c>
      <c r="I1395" s="160">
        <f t="shared" si="34"/>
        <v>27</v>
      </c>
      <c r="J1395" s="160">
        <f t="shared" si="35"/>
        <v>1</v>
      </c>
    </row>
    <row r="1396" spans="2:10" x14ac:dyDescent="0.35">
      <c r="B1396" s="160">
        <f t="shared" si="27"/>
        <v>18</v>
      </c>
      <c r="C1396" s="160">
        <f t="shared" si="28"/>
        <v>59</v>
      </c>
      <c r="D1396" s="160">
        <f t="shared" si="29"/>
        <v>2</v>
      </c>
      <c r="E1396" s="160">
        <f t="shared" si="30"/>
        <v>10</v>
      </c>
      <c r="F1396" s="160">
        <f t="shared" si="31"/>
        <v>27</v>
      </c>
      <c r="G1396" s="160">
        <f t="shared" si="32"/>
        <v>4</v>
      </c>
      <c r="H1396" s="160">
        <f t="shared" si="33"/>
        <v>11</v>
      </c>
      <c r="I1396" s="160">
        <f t="shared" si="34"/>
        <v>28</v>
      </c>
      <c r="J1396" s="160">
        <f t="shared" si="35"/>
        <v>1</v>
      </c>
    </row>
    <row r="1397" spans="2:10" x14ac:dyDescent="0.35">
      <c r="B1397" s="160">
        <f t="shared" si="27"/>
        <v>18</v>
      </c>
      <c r="C1397" s="160">
        <f t="shared" si="28"/>
        <v>62</v>
      </c>
      <c r="D1397" s="160">
        <f t="shared" si="29"/>
        <v>4</v>
      </c>
      <c r="E1397" s="160">
        <f t="shared" si="30"/>
        <v>10</v>
      </c>
      <c r="F1397" s="160">
        <f t="shared" si="31"/>
        <v>1</v>
      </c>
      <c r="G1397" s="160">
        <f t="shared" si="32"/>
        <v>1</v>
      </c>
      <c r="H1397" s="160">
        <f t="shared" si="33"/>
        <v>8</v>
      </c>
      <c r="I1397" s="160">
        <f t="shared" si="34"/>
        <v>51</v>
      </c>
      <c r="J1397" s="160">
        <f t="shared" si="35"/>
        <v>1</v>
      </c>
    </row>
    <row r="1398" spans="2:10" x14ac:dyDescent="0.35">
      <c r="B1398" s="160">
        <f t="shared" si="27"/>
        <v>18</v>
      </c>
      <c r="C1398" s="160">
        <f t="shared" si="28"/>
        <v>62</v>
      </c>
      <c r="D1398" s="160">
        <f t="shared" si="29"/>
        <v>4</v>
      </c>
      <c r="E1398" s="160">
        <f t="shared" si="30"/>
        <v>10</v>
      </c>
      <c r="F1398" s="160">
        <f t="shared" si="31"/>
        <v>1</v>
      </c>
      <c r="G1398" s="160">
        <f t="shared" si="32"/>
        <v>2</v>
      </c>
      <c r="H1398" s="160">
        <f t="shared" si="33"/>
        <v>2</v>
      </c>
      <c r="I1398" s="160">
        <f t="shared" si="34"/>
        <v>38</v>
      </c>
      <c r="J1398" s="160">
        <f t="shared" si="35"/>
        <v>1</v>
      </c>
    </row>
    <row r="1399" spans="2:10" x14ac:dyDescent="0.35">
      <c r="B1399" s="160">
        <f t="shared" si="27"/>
        <v>18</v>
      </c>
      <c r="C1399" s="160">
        <f t="shared" si="28"/>
        <v>22</v>
      </c>
      <c r="D1399" s="160">
        <f t="shared" si="29"/>
        <v>4</v>
      </c>
      <c r="E1399" s="160">
        <f t="shared" si="30"/>
        <v>10</v>
      </c>
      <c r="F1399" s="160">
        <f t="shared" si="31"/>
        <v>3</v>
      </c>
      <c r="G1399" s="160">
        <f t="shared" si="32"/>
        <v>1</v>
      </c>
      <c r="H1399" s="160">
        <f t="shared" si="33"/>
        <v>24</v>
      </c>
      <c r="I1399" s="160">
        <f t="shared" si="34"/>
        <v>48</v>
      </c>
      <c r="J1399" s="160">
        <f t="shared" si="35"/>
        <v>3</v>
      </c>
    </row>
    <row r="1400" spans="2:10" x14ac:dyDescent="0.35">
      <c r="B1400" s="160">
        <f t="shared" si="27"/>
        <v>19</v>
      </c>
      <c r="C1400" s="160">
        <f t="shared" si="28"/>
        <v>63</v>
      </c>
      <c r="D1400" s="160">
        <f t="shared" si="29"/>
        <v>4</v>
      </c>
      <c r="E1400" s="160">
        <f t="shared" si="30"/>
        <v>15</v>
      </c>
      <c r="F1400" s="160">
        <f t="shared" si="31"/>
        <v>46</v>
      </c>
      <c r="G1400" s="160">
        <f t="shared" si="32"/>
        <v>2</v>
      </c>
      <c r="H1400" s="160">
        <f t="shared" si="33"/>
        <v>8</v>
      </c>
      <c r="I1400" s="160">
        <f t="shared" si="34"/>
        <v>5</v>
      </c>
      <c r="J1400" s="160">
        <f t="shared" si="35"/>
        <v>1</v>
      </c>
    </row>
    <row r="1401" spans="2:10" x14ac:dyDescent="0.35">
      <c r="B1401" s="160">
        <f t="shared" si="27"/>
        <v>19</v>
      </c>
      <c r="C1401" s="160">
        <f t="shared" si="28"/>
        <v>63</v>
      </c>
      <c r="D1401" s="160">
        <f t="shared" si="29"/>
        <v>4</v>
      </c>
      <c r="E1401" s="160">
        <f t="shared" si="30"/>
        <v>15</v>
      </c>
      <c r="F1401" s="160">
        <f t="shared" si="31"/>
        <v>46</v>
      </c>
      <c r="G1401" s="160">
        <f t="shared" si="32"/>
        <v>5</v>
      </c>
      <c r="H1401" s="160">
        <f t="shared" si="33"/>
        <v>2</v>
      </c>
      <c r="I1401" s="160">
        <f t="shared" si="34"/>
        <v>36</v>
      </c>
      <c r="J1401" s="160">
        <f t="shared" si="35"/>
        <v>1</v>
      </c>
    </row>
    <row r="1402" spans="2:10" x14ac:dyDescent="0.35">
      <c r="B1402" s="160">
        <f t="shared" si="27"/>
        <v>19</v>
      </c>
      <c r="C1402" s="160">
        <f t="shared" si="28"/>
        <v>44</v>
      </c>
      <c r="D1402" s="160">
        <f t="shared" si="29"/>
        <v>4</v>
      </c>
      <c r="E1402" s="160">
        <f t="shared" si="30"/>
        <v>15</v>
      </c>
      <c r="F1402" s="160">
        <f t="shared" si="31"/>
        <v>25</v>
      </c>
      <c r="G1402" s="160">
        <f t="shared" si="32"/>
        <v>2</v>
      </c>
      <c r="H1402" s="160">
        <f t="shared" si="33"/>
        <v>8</v>
      </c>
      <c r="I1402" s="160">
        <f t="shared" si="34"/>
        <v>5</v>
      </c>
      <c r="J1402" s="160">
        <f t="shared" si="35"/>
        <v>2</v>
      </c>
    </row>
    <row r="1403" spans="2:10" x14ac:dyDescent="0.35">
      <c r="B1403" s="160">
        <f t="shared" si="27"/>
        <v>19</v>
      </c>
      <c r="C1403" s="160">
        <f t="shared" si="28"/>
        <v>44</v>
      </c>
      <c r="D1403" s="160">
        <f t="shared" si="29"/>
        <v>4</v>
      </c>
      <c r="E1403" s="160">
        <f t="shared" si="30"/>
        <v>15</v>
      </c>
      <c r="F1403" s="160">
        <f t="shared" si="31"/>
        <v>25</v>
      </c>
      <c r="G1403" s="160">
        <f t="shared" si="32"/>
        <v>5</v>
      </c>
      <c r="H1403" s="160">
        <f t="shared" si="33"/>
        <v>2</v>
      </c>
      <c r="I1403" s="160">
        <f t="shared" si="34"/>
        <v>36</v>
      </c>
      <c r="J1403" s="160">
        <f t="shared" si="35"/>
        <v>2</v>
      </c>
    </row>
    <row r="1404" spans="2:10" x14ac:dyDescent="0.35">
      <c r="B1404" s="160">
        <f t="shared" si="27"/>
        <v>19</v>
      </c>
      <c r="C1404" s="160">
        <f t="shared" si="28"/>
        <v>44</v>
      </c>
      <c r="D1404" s="160">
        <f t="shared" si="29"/>
        <v>4</v>
      </c>
      <c r="E1404" s="160">
        <f t="shared" si="30"/>
        <v>4</v>
      </c>
      <c r="F1404" s="160">
        <f t="shared" si="31"/>
        <v>25</v>
      </c>
      <c r="G1404" s="160">
        <f t="shared" si="32"/>
        <v>1</v>
      </c>
      <c r="H1404" s="160">
        <f t="shared" si="33"/>
        <v>11</v>
      </c>
      <c r="I1404" s="160">
        <f t="shared" si="34"/>
        <v>41</v>
      </c>
      <c r="J1404" s="160">
        <f t="shared" si="35"/>
        <v>2</v>
      </c>
    </row>
    <row r="1405" spans="2:10" x14ac:dyDescent="0.35">
      <c r="B1405" s="160">
        <f t="shared" si="27"/>
        <v>19</v>
      </c>
      <c r="C1405" s="160">
        <f t="shared" si="28"/>
        <v>44</v>
      </c>
      <c r="D1405" s="160">
        <f t="shared" si="29"/>
        <v>4</v>
      </c>
      <c r="E1405" s="160">
        <f t="shared" si="30"/>
        <v>4</v>
      </c>
      <c r="F1405" s="160">
        <f t="shared" si="31"/>
        <v>25</v>
      </c>
      <c r="G1405" s="160">
        <f t="shared" si="32"/>
        <v>4</v>
      </c>
      <c r="H1405" s="160">
        <f t="shared" si="33"/>
        <v>2</v>
      </c>
      <c r="I1405" s="160">
        <f t="shared" si="34"/>
        <v>8</v>
      </c>
      <c r="J1405" s="160">
        <f t="shared" si="35"/>
        <v>2</v>
      </c>
    </row>
    <row r="1406" spans="2:10" x14ac:dyDescent="0.35">
      <c r="B1406" s="160">
        <f t="shared" si="27"/>
        <v>19</v>
      </c>
      <c r="C1406" s="160">
        <f t="shared" si="28"/>
        <v>64</v>
      </c>
      <c r="D1406" s="160">
        <f t="shared" si="29"/>
        <v>1</v>
      </c>
      <c r="E1406" s="160">
        <f t="shared" si="30"/>
        <v>16</v>
      </c>
      <c r="F1406" s="160">
        <f t="shared" si="31"/>
        <v>42</v>
      </c>
      <c r="G1406" s="160">
        <f t="shared" si="32"/>
        <v>1</v>
      </c>
      <c r="H1406" s="160">
        <f t="shared" si="33"/>
        <v>1</v>
      </c>
      <c r="I1406" s="160">
        <f t="shared" si="34"/>
        <v>41</v>
      </c>
      <c r="J1406" s="160">
        <f t="shared" si="35"/>
        <v>2</v>
      </c>
    </row>
    <row r="1407" spans="2:10" x14ac:dyDescent="0.35">
      <c r="B1407" s="160">
        <f t="shared" si="27"/>
        <v>19</v>
      </c>
      <c r="C1407" s="160">
        <f t="shared" si="28"/>
        <v>64</v>
      </c>
      <c r="D1407" s="160">
        <f t="shared" si="29"/>
        <v>1</v>
      </c>
      <c r="E1407" s="160">
        <f t="shared" si="30"/>
        <v>16</v>
      </c>
      <c r="F1407" s="160">
        <f t="shared" si="31"/>
        <v>42</v>
      </c>
      <c r="G1407" s="160">
        <f t="shared" si="32"/>
        <v>2</v>
      </c>
      <c r="H1407" s="160">
        <f t="shared" si="33"/>
        <v>1</v>
      </c>
      <c r="I1407" s="160">
        <f t="shared" si="34"/>
        <v>41</v>
      </c>
      <c r="J1407" s="160">
        <f t="shared" si="35"/>
        <v>2</v>
      </c>
    </row>
    <row r="1408" spans="2:10" x14ac:dyDescent="0.35">
      <c r="B1408" s="160">
        <f t="shared" si="27"/>
        <v>19</v>
      </c>
      <c r="C1408" s="160">
        <f t="shared" si="28"/>
        <v>65</v>
      </c>
      <c r="D1408" s="160">
        <f t="shared" si="29"/>
        <v>1</v>
      </c>
      <c r="E1408" s="160">
        <f t="shared" si="30"/>
        <v>16</v>
      </c>
      <c r="F1408" s="160">
        <f t="shared" si="31"/>
        <v>43</v>
      </c>
      <c r="G1408" s="160">
        <f t="shared" si="32"/>
        <v>4</v>
      </c>
      <c r="H1408" s="160">
        <f t="shared" si="33"/>
        <v>13</v>
      </c>
      <c r="I1408" s="160">
        <f t="shared" si="34"/>
        <v>36</v>
      </c>
      <c r="J1408" s="160">
        <f t="shared" si="35"/>
        <v>1</v>
      </c>
    </row>
    <row r="1409" spans="2:10" x14ac:dyDescent="0.35">
      <c r="B1409" s="160">
        <f t="shared" si="27"/>
        <v>19</v>
      </c>
      <c r="C1409" s="160">
        <f t="shared" si="28"/>
        <v>65</v>
      </c>
      <c r="D1409" s="160">
        <f t="shared" si="29"/>
        <v>1</v>
      </c>
      <c r="E1409" s="160">
        <f t="shared" si="30"/>
        <v>16</v>
      </c>
      <c r="F1409" s="160">
        <f t="shared" si="31"/>
        <v>43</v>
      </c>
      <c r="G1409" s="160">
        <f t="shared" si="32"/>
        <v>5</v>
      </c>
      <c r="H1409" s="160">
        <f t="shared" si="33"/>
        <v>13</v>
      </c>
      <c r="I1409" s="160">
        <f t="shared" si="34"/>
        <v>28</v>
      </c>
      <c r="J1409" s="160">
        <f t="shared" si="35"/>
        <v>1</v>
      </c>
    </row>
    <row r="1410" spans="2:10" x14ac:dyDescent="0.35">
      <c r="B1410" s="160">
        <f t="shared" si="27"/>
        <v>19</v>
      </c>
      <c r="C1410" s="160">
        <f t="shared" si="28"/>
        <v>66</v>
      </c>
      <c r="D1410" s="160">
        <f t="shared" si="29"/>
        <v>2</v>
      </c>
      <c r="E1410" s="160">
        <f t="shared" si="30"/>
        <v>17</v>
      </c>
      <c r="F1410" s="160">
        <f t="shared" si="31"/>
        <v>48</v>
      </c>
      <c r="G1410" s="160">
        <f t="shared" si="32"/>
        <v>1</v>
      </c>
      <c r="H1410" s="160">
        <f t="shared" si="33"/>
        <v>20</v>
      </c>
      <c r="I1410" s="160">
        <f t="shared" si="34"/>
        <v>5</v>
      </c>
      <c r="J1410" s="160">
        <f t="shared" si="35"/>
        <v>2</v>
      </c>
    </row>
    <row r="1411" spans="2:10" x14ac:dyDescent="0.35">
      <c r="B1411" s="160">
        <f t="shared" si="27"/>
        <v>19</v>
      </c>
      <c r="C1411" s="160">
        <f t="shared" si="28"/>
        <v>66</v>
      </c>
      <c r="D1411" s="160">
        <f t="shared" si="29"/>
        <v>2</v>
      </c>
      <c r="E1411" s="160">
        <f t="shared" si="30"/>
        <v>17</v>
      </c>
      <c r="F1411" s="160">
        <f t="shared" si="31"/>
        <v>48</v>
      </c>
      <c r="G1411" s="160">
        <f t="shared" si="32"/>
        <v>4</v>
      </c>
      <c r="H1411" s="160">
        <f t="shared" si="33"/>
        <v>20</v>
      </c>
      <c r="I1411" s="160">
        <f t="shared" si="34"/>
        <v>5</v>
      </c>
      <c r="J1411" s="160">
        <f t="shared" si="35"/>
        <v>2</v>
      </c>
    </row>
    <row r="1412" spans="2:10" x14ac:dyDescent="0.35">
      <c r="B1412" s="160">
        <f t="shared" si="27"/>
        <v>19</v>
      </c>
      <c r="C1412" s="160">
        <f t="shared" si="28"/>
        <v>67</v>
      </c>
      <c r="D1412" s="160">
        <f t="shared" si="29"/>
        <v>2</v>
      </c>
      <c r="E1412" s="160">
        <f t="shared" si="30"/>
        <v>17</v>
      </c>
      <c r="F1412" s="160">
        <f t="shared" si="31"/>
        <v>43</v>
      </c>
      <c r="G1412" s="160">
        <f t="shared" si="32"/>
        <v>1</v>
      </c>
      <c r="H1412" s="160">
        <f t="shared" si="33"/>
        <v>15</v>
      </c>
      <c r="I1412" s="160">
        <f t="shared" si="34"/>
        <v>34</v>
      </c>
      <c r="J1412" s="160">
        <f t="shared" si="35"/>
        <v>1</v>
      </c>
    </row>
    <row r="1413" spans="2:10" x14ac:dyDescent="0.35">
      <c r="B1413" s="160">
        <f t="shared" si="27"/>
        <v>19</v>
      </c>
      <c r="C1413" s="160">
        <f t="shared" si="28"/>
        <v>67</v>
      </c>
      <c r="D1413" s="160">
        <f t="shared" si="29"/>
        <v>2</v>
      </c>
      <c r="E1413" s="160">
        <f t="shared" si="30"/>
        <v>17</v>
      </c>
      <c r="F1413" s="160">
        <f t="shared" si="31"/>
        <v>43</v>
      </c>
      <c r="G1413" s="160">
        <f t="shared" si="32"/>
        <v>4</v>
      </c>
      <c r="H1413" s="160">
        <f t="shared" si="33"/>
        <v>15</v>
      </c>
      <c r="I1413" s="160">
        <f t="shared" si="34"/>
        <v>34</v>
      </c>
      <c r="J1413" s="160">
        <f t="shared" si="35"/>
        <v>1</v>
      </c>
    </row>
    <row r="1414" spans="2:10" x14ac:dyDescent="0.35">
      <c r="B1414" s="160">
        <f t="shared" si="27"/>
        <v>19</v>
      </c>
      <c r="C1414" s="160">
        <f t="shared" si="28"/>
        <v>68</v>
      </c>
      <c r="D1414" s="160">
        <f t="shared" si="29"/>
        <v>2</v>
      </c>
      <c r="E1414" s="160">
        <f t="shared" si="30"/>
        <v>17</v>
      </c>
      <c r="F1414" s="160">
        <f t="shared" si="31"/>
        <v>47</v>
      </c>
      <c r="G1414" s="160">
        <f t="shared" si="32"/>
        <v>2</v>
      </c>
      <c r="H1414" s="160">
        <f t="shared" si="33"/>
        <v>20</v>
      </c>
      <c r="I1414" s="160">
        <f t="shared" si="34"/>
        <v>9</v>
      </c>
      <c r="J1414" s="160">
        <f t="shared" si="35"/>
        <v>2</v>
      </c>
    </row>
    <row r="1415" spans="2:10" x14ac:dyDescent="0.35">
      <c r="B1415" s="160">
        <f t="shared" si="27"/>
        <v>19</v>
      </c>
      <c r="C1415" s="160">
        <f t="shared" si="28"/>
        <v>68</v>
      </c>
      <c r="D1415" s="160">
        <f t="shared" si="29"/>
        <v>2</v>
      </c>
      <c r="E1415" s="160">
        <f t="shared" si="30"/>
        <v>17</v>
      </c>
      <c r="F1415" s="160">
        <f t="shared" si="31"/>
        <v>47</v>
      </c>
      <c r="G1415" s="160">
        <f t="shared" si="32"/>
        <v>5</v>
      </c>
      <c r="H1415" s="160">
        <f t="shared" si="33"/>
        <v>20</v>
      </c>
      <c r="I1415" s="160">
        <f t="shared" si="34"/>
        <v>9</v>
      </c>
      <c r="J1415" s="160">
        <f t="shared" si="35"/>
        <v>2</v>
      </c>
    </row>
    <row r="1416" spans="2:10" x14ac:dyDescent="0.35">
      <c r="B1416" s="160">
        <f t="shared" si="27"/>
        <v>19</v>
      </c>
      <c r="C1416" s="160">
        <f t="shared" si="28"/>
        <v>46</v>
      </c>
      <c r="D1416" s="160">
        <f t="shared" si="29"/>
        <v>4</v>
      </c>
      <c r="E1416" s="160">
        <f t="shared" si="30"/>
        <v>15</v>
      </c>
      <c r="F1416" s="160">
        <f t="shared" si="31"/>
        <v>8</v>
      </c>
      <c r="G1416" s="160">
        <f t="shared" si="32"/>
        <v>5</v>
      </c>
      <c r="H1416" s="160">
        <f t="shared" si="33"/>
        <v>25</v>
      </c>
      <c r="I1416" s="160">
        <f t="shared" si="34"/>
        <v>48</v>
      </c>
      <c r="J1416" s="160">
        <f t="shared" si="35"/>
        <v>3</v>
      </c>
    </row>
    <row r="1417" spans="2:10" x14ac:dyDescent="0.35">
      <c r="B1417" s="160">
        <f t="shared" si="27"/>
        <v>20</v>
      </c>
      <c r="C1417" s="160">
        <f t="shared" si="28"/>
        <v>69</v>
      </c>
      <c r="D1417" s="160">
        <f t="shared" si="29"/>
        <v>3</v>
      </c>
      <c r="E1417" s="160">
        <f t="shared" si="30"/>
        <v>15</v>
      </c>
      <c r="F1417" s="160">
        <f t="shared" si="31"/>
        <v>25</v>
      </c>
      <c r="G1417" s="160">
        <f t="shared" si="32"/>
        <v>5</v>
      </c>
      <c r="H1417" s="160">
        <f t="shared" si="33"/>
        <v>1</v>
      </c>
      <c r="I1417" s="160">
        <f t="shared" si="34"/>
        <v>5</v>
      </c>
      <c r="J1417" s="160">
        <f t="shared" si="35"/>
        <v>1</v>
      </c>
    </row>
    <row r="1418" spans="2:10" x14ac:dyDescent="0.35">
      <c r="B1418" s="160">
        <f t="shared" si="27"/>
        <v>20</v>
      </c>
      <c r="C1418" s="160">
        <f t="shared" si="28"/>
        <v>69</v>
      </c>
      <c r="D1418" s="160">
        <f t="shared" si="29"/>
        <v>3</v>
      </c>
      <c r="E1418" s="160">
        <f t="shared" si="30"/>
        <v>15</v>
      </c>
      <c r="F1418" s="160">
        <f t="shared" si="31"/>
        <v>25</v>
      </c>
      <c r="G1418" s="160">
        <f t="shared" si="32"/>
        <v>5</v>
      </c>
      <c r="H1418" s="160">
        <f t="shared" si="33"/>
        <v>10</v>
      </c>
      <c r="I1418" s="160">
        <f t="shared" si="34"/>
        <v>36</v>
      </c>
      <c r="J1418" s="160">
        <f t="shared" si="35"/>
        <v>1</v>
      </c>
    </row>
    <row r="1419" spans="2:10" x14ac:dyDescent="0.35">
      <c r="B1419" s="160">
        <f t="shared" si="27"/>
        <v>20</v>
      </c>
      <c r="C1419" s="160">
        <f t="shared" si="28"/>
        <v>69</v>
      </c>
      <c r="D1419" s="160">
        <f t="shared" si="29"/>
        <v>3</v>
      </c>
      <c r="E1419" s="160">
        <f t="shared" si="30"/>
        <v>15</v>
      </c>
      <c r="F1419" s="160">
        <f t="shared" si="31"/>
        <v>26</v>
      </c>
      <c r="G1419" s="160">
        <f t="shared" si="32"/>
        <v>2</v>
      </c>
      <c r="H1419" s="160">
        <f t="shared" si="33"/>
        <v>10</v>
      </c>
      <c r="I1419" s="160">
        <f t="shared" si="34"/>
        <v>9</v>
      </c>
      <c r="J1419" s="160">
        <f t="shared" si="35"/>
        <v>1</v>
      </c>
    </row>
    <row r="1420" spans="2:10" x14ac:dyDescent="0.35">
      <c r="B1420" s="160">
        <f t="shared" si="27"/>
        <v>20</v>
      </c>
      <c r="C1420" s="160">
        <f t="shared" si="28"/>
        <v>69</v>
      </c>
      <c r="D1420" s="160">
        <f t="shared" si="29"/>
        <v>3</v>
      </c>
      <c r="E1420" s="160">
        <f t="shared" si="30"/>
        <v>15</v>
      </c>
      <c r="F1420" s="160">
        <f t="shared" si="31"/>
        <v>26</v>
      </c>
      <c r="G1420" s="160">
        <f t="shared" si="32"/>
        <v>4</v>
      </c>
      <c r="H1420" s="160">
        <f t="shared" si="33"/>
        <v>1</v>
      </c>
      <c r="I1420" s="160">
        <f t="shared" si="34"/>
        <v>36</v>
      </c>
      <c r="J1420" s="160">
        <f t="shared" si="35"/>
        <v>1</v>
      </c>
    </row>
    <row r="1421" spans="2:10" x14ac:dyDescent="0.35">
      <c r="B1421" s="160">
        <f t="shared" si="27"/>
        <v>20</v>
      </c>
      <c r="C1421" s="160">
        <f t="shared" si="28"/>
        <v>69</v>
      </c>
      <c r="D1421" s="160">
        <f t="shared" si="29"/>
        <v>3</v>
      </c>
      <c r="E1421" s="160">
        <f t="shared" si="30"/>
        <v>4</v>
      </c>
      <c r="F1421" s="160">
        <f t="shared" si="31"/>
        <v>25</v>
      </c>
      <c r="G1421" s="160">
        <f t="shared" si="32"/>
        <v>1</v>
      </c>
      <c r="H1421" s="160">
        <f t="shared" si="33"/>
        <v>1</v>
      </c>
      <c r="I1421" s="160">
        <f t="shared" si="34"/>
        <v>43</v>
      </c>
      <c r="J1421" s="160">
        <f t="shared" si="35"/>
        <v>1</v>
      </c>
    </row>
    <row r="1422" spans="2:10" x14ac:dyDescent="0.35">
      <c r="B1422" s="160">
        <f t="shared" si="27"/>
        <v>20</v>
      </c>
      <c r="C1422" s="160">
        <f t="shared" si="28"/>
        <v>69</v>
      </c>
      <c r="D1422" s="160">
        <f t="shared" si="29"/>
        <v>3</v>
      </c>
      <c r="E1422" s="160">
        <f t="shared" si="30"/>
        <v>4</v>
      </c>
      <c r="F1422" s="160">
        <f t="shared" si="31"/>
        <v>25</v>
      </c>
      <c r="G1422" s="160">
        <f t="shared" si="32"/>
        <v>5</v>
      </c>
      <c r="H1422" s="160">
        <f t="shared" si="33"/>
        <v>1</v>
      </c>
      <c r="I1422" s="160">
        <f t="shared" si="34"/>
        <v>41</v>
      </c>
      <c r="J1422" s="160">
        <f t="shared" si="35"/>
        <v>1</v>
      </c>
    </row>
    <row r="1423" spans="2:10" x14ac:dyDescent="0.35">
      <c r="B1423" s="160">
        <f t="shared" si="27"/>
        <v>20</v>
      </c>
      <c r="C1423" s="160">
        <f t="shared" si="28"/>
        <v>70</v>
      </c>
      <c r="D1423" s="160">
        <f t="shared" si="29"/>
        <v>4</v>
      </c>
      <c r="E1423" s="160">
        <f t="shared" si="30"/>
        <v>4</v>
      </c>
      <c r="F1423" s="160">
        <f t="shared" si="31"/>
        <v>25</v>
      </c>
      <c r="G1423" s="160">
        <f t="shared" si="32"/>
        <v>1</v>
      </c>
      <c r="H1423" s="160">
        <f t="shared" si="33"/>
        <v>20</v>
      </c>
      <c r="I1423" s="160">
        <f t="shared" si="34"/>
        <v>9</v>
      </c>
      <c r="J1423" s="160">
        <f t="shared" si="35"/>
        <v>2</v>
      </c>
    </row>
    <row r="1424" spans="2:10" x14ac:dyDescent="0.35">
      <c r="B1424" s="160">
        <f t="shared" si="27"/>
        <v>20</v>
      </c>
      <c r="C1424" s="160">
        <f t="shared" si="28"/>
        <v>70</v>
      </c>
      <c r="D1424" s="160">
        <f t="shared" si="29"/>
        <v>4</v>
      </c>
      <c r="E1424" s="160">
        <f t="shared" si="30"/>
        <v>4</v>
      </c>
      <c r="F1424" s="160">
        <f t="shared" si="31"/>
        <v>25</v>
      </c>
      <c r="G1424" s="160">
        <f t="shared" si="32"/>
        <v>5</v>
      </c>
      <c r="H1424" s="160">
        <f t="shared" si="33"/>
        <v>2</v>
      </c>
      <c r="I1424" s="160">
        <f t="shared" si="34"/>
        <v>47</v>
      </c>
      <c r="J1424" s="160">
        <f t="shared" si="35"/>
        <v>2</v>
      </c>
    </row>
    <row r="1425" spans="2:10" x14ac:dyDescent="0.35">
      <c r="B1425" s="160">
        <f t="shared" si="27"/>
        <v>20</v>
      </c>
      <c r="C1425" s="160">
        <f t="shared" si="28"/>
        <v>64</v>
      </c>
      <c r="D1425" s="160">
        <f t="shared" si="29"/>
        <v>1</v>
      </c>
      <c r="E1425" s="160">
        <f t="shared" si="30"/>
        <v>16</v>
      </c>
      <c r="F1425" s="160">
        <f t="shared" si="31"/>
        <v>42</v>
      </c>
      <c r="G1425" s="160">
        <f t="shared" si="32"/>
        <v>1</v>
      </c>
      <c r="H1425" s="160">
        <f t="shared" si="33"/>
        <v>1</v>
      </c>
      <c r="I1425" s="160">
        <f t="shared" si="34"/>
        <v>41</v>
      </c>
      <c r="J1425" s="160">
        <f t="shared" si="35"/>
        <v>2</v>
      </c>
    </row>
    <row r="1426" spans="2:10" x14ac:dyDescent="0.35">
      <c r="B1426" s="160">
        <f t="shared" si="27"/>
        <v>20</v>
      </c>
      <c r="C1426" s="160">
        <f t="shared" si="28"/>
        <v>64</v>
      </c>
      <c r="D1426" s="160">
        <f t="shared" si="29"/>
        <v>1</v>
      </c>
      <c r="E1426" s="160">
        <f t="shared" si="30"/>
        <v>16</v>
      </c>
      <c r="F1426" s="160">
        <f t="shared" si="31"/>
        <v>42</v>
      </c>
      <c r="G1426" s="160">
        <f t="shared" si="32"/>
        <v>2</v>
      </c>
      <c r="H1426" s="160">
        <f t="shared" si="33"/>
        <v>1</v>
      </c>
      <c r="I1426" s="160">
        <f t="shared" si="34"/>
        <v>41</v>
      </c>
      <c r="J1426" s="160">
        <f t="shared" si="35"/>
        <v>2</v>
      </c>
    </row>
    <row r="1427" spans="2:10" x14ac:dyDescent="0.35">
      <c r="B1427" s="160">
        <f t="shared" si="27"/>
        <v>20</v>
      </c>
      <c r="C1427" s="160">
        <f t="shared" si="28"/>
        <v>65</v>
      </c>
      <c r="D1427" s="160">
        <f t="shared" si="29"/>
        <v>1</v>
      </c>
      <c r="E1427" s="160">
        <f t="shared" si="30"/>
        <v>16</v>
      </c>
      <c r="F1427" s="160">
        <f t="shared" si="31"/>
        <v>43</v>
      </c>
      <c r="G1427" s="160">
        <f t="shared" si="32"/>
        <v>4</v>
      </c>
      <c r="H1427" s="160">
        <f t="shared" si="33"/>
        <v>13</v>
      </c>
      <c r="I1427" s="160">
        <f t="shared" si="34"/>
        <v>36</v>
      </c>
      <c r="J1427" s="160">
        <f t="shared" si="35"/>
        <v>1</v>
      </c>
    </row>
    <row r="1428" spans="2:10" x14ac:dyDescent="0.35">
      <c r="B1428" s="160">
        <f t="shared" si="27"/>
        <v>20</v>
      </c>
      <c r="C1428" s="160">
        <f t="shared" si="28"/>
        <v>65</v>
      </c>
      <c r="D1428" s="160">
        <f t="shared" si="29"/>
        <v>1</v>
      </c>
      <c r="E1428" s="160">
        <f t="shared" si="30"/>
        <v>16</v>
      </c>
      <c r="F1428" s="160">
        <f t="shared" si="31"/>
        <v>43</v>
      </c>
      <c r="G1428" s="160">
        <f t="shared" si="32"/>
        <v>5</v>
      </c>
      <c r="H1428" s="160">
        <f t="shared" si="33"/>
        <v>13</v>
      </c>
      <c r="I1428" s="160">
        <f t="shared" si="34"/>
        <v>28</v>
      </c>
      <c r="J1428" s="160">
        <f t="shared" si="35"/>
        <v>1</v>
      </c>
    </row>
    <row r="1429" spans="2:10" x14ac:dyDescent="0.35">
      <c r="B1429" s="160">
        <f t="shared" si="27"/>
        <v>20</v>
      </c>
      <c r="C1429" s="160">
        <f t="shared" si="28"/>
        <v>71</v>
      </c>
      <c r="D1429" s="160">
        <f t="shared" si="29"/>
        <v>2</v>
      </c>
      <c r="E1429" s="160">
        <f t="shared" si="30"/>
        <v>17</v>
      </c>
      <c r="F1429" s="160">
        <f t="shared" si="31"/>
        <v>49</v>
      </c>
      <c r="G1429" s="160">
        <f t="shared" si="32"/>
        <v>1</v>
      </c>
      <c r="H1429" s="160">
        <f t="shared" si="33"/>
        <v>11</v>
      </c>
      <c r="I1429" s="160">
        <f t="shared" si="34"/>
        <v>21</v>
      </c>
      <c r="J1429" s="160">
        <f t="shared" si="35"/>
        <v>1</v>
      </c>
    </row>
    <row r="1430" spans="2:10" x14ac:dyDescent="0.35">
      <c r="B1430" s="160">
        <f t="shared" si="27"/>
        <v>20</v>
      </c>
      <c r="C1430" s="160">
        <f t="shared" si="28"/>
        <v>71</v>
      </c>
      <c r="D1430" s="160">
        <f t="shared" si="29"/>
        <v>2</v>
      </c>
      <c r="E1430" s="160">
        <f t="shared" si="30"/>
        <v>17</v>
      </c>
      <c r="F1430" s="160">
        <f t="shared" si="31"/>
        <v>49</v>
      </c>
      <c r="G1430" s="160">
        <f t="shared" si="32"/>
        <v>4</v>
      </c>
      <c r="H1430" s="160">
        <f t="shared" si="33"/>
        <v>11</v>
      </c>
      <c r="I1430" s="160">
        <f t="shared" si="34"/>
        <v>21</v>
      </c>
      <c r="J1430" s="160">
        <f t="shared" si="35"/>
        <v>1</v>
      </c>
    </row>
    <row r="1431" spans="2:10" x14ac:dyDescent="0.35">
      <c r="B1431" s="160">
        <f t="shared" si="27"/>
        <v>20</v>
      </c>
      <c r="C1431" s="160">
        <f t="shared" si="28"/>
        <v>68</v>
      </c>
      <c r="D1431" s="160">
        <f t="shared" si="29"/>
        <v>2</v>
      </c>
      <c r="E1431" s="160">
        <f t="shared" si="30"/>
        <v>17</v>
      </c>
      <c r="F1431" s="160">
        <f t="shared" si="31"/>
        <v>42</v>
      </c>
      <c r="G1431" s="160">
        <f t="shared" si="32"/>
        <v>2</v>
      </c>
      <c r="H1431" s="160">
        <f t="shared" si="33"/>
        <v>20</v>
      </c>
      <c r="I1431" s="160">
        <f t="shared" si="34"/>
        <v>22</v>
      </c>
      <c r="J1431" s="160">
        <f t="shared" si="35"/>
        <v>2</v>
      </c>
    </row>
    <row r="1432" spans="2:10" x14ac:dyDescent="0.35">
      <c r="B1432" s="160">
        <f t="shared" si="27"/>
        <v>20</v>
      </c>
      <c r="C1432" s="160">
        <f t="shared" si="28"/>
        <v>68</v>
      </c>
      <c r="D1432" s="160">
        <f t="shared" si="29"/>
        <v>2</v>
      </c>
      <c r="E1432" s="160">
        <f t="shared" si="30"/>
        <v>17</v>
      </c>
      <c r="F1432" s="160">
        <f t="shared" si="31"/>
        <v>42</v>
      </c>
      <c r="G1432" s="160">
        <f t="shared" si="32"/>
        <v>4</v>
      </c>
      <c r="H1432" s="160">
        <f t="shared" si="33"/>
        <v>20</v>
      </c>
      <c r="I1432" s="160">
        <f t="shared" si="34"/>
        <v>22</v>
      </c>
      <c r="J1432" s="160">
        <f t="shared" si="35"/>
        <v>2</v>
      </c>
    </row>
    <row r="1433" spans="2:10" x14ac:dyDescent="0.35">
      <c r="B1433" s="160">
        <f t="shared" ref="B1433:B1496" si="36">INDEX($A$2:$A$85,MATCH(I318,$B$2:$B$85,0))</f>
        <v>20</v>
      </c>
      <c r="C1433" s="160">
        <f t="shared" ref="C1433:C1496" si="37">INDEX($D$2:$D$117,MATCH(J318,$E$2:$E$117,0))</f>
        <v>73</v>
      </c>
      <c r="D1433" s="160">
        <f t="shared" ref="D1433:D1496" si="38">INDEX($P$2:$P$5,MATCH(K318,$Q$2:$Q$5,0))</f>
        <v>2</v>
      </c>
      <c r="E1433" s="160">
        <f t="shared" ref="E1433:E1496" si="39">INDEX($G$2:$G$19,MATCH(L318,$H$2:$H$19,0))</f>
        <v>17</v>
      </c>
      <c r="F1433" s="160">
        <f t="shared" ref="F1433:F1496" si="40">INDEX($J$2:$J$55,MATCH(M318,$K$2:$K$55,0))</f>
        <v>47</v>
      </c>
      <c r="G1433" s="160">
        <f t="shared" ref="G1433:G1496" si="41">INDEX($M$2:$M$6,MATCH(N318,$N$2:$N$6,0))</f>
        <v>1</v>
      </c>
      <c r="H1433" s="160">
        <f t="shared" ref="H1433:H1496" si="42">INDEX($S$2:$S$26,MATCH(O318,$T$2:$T$26,0))</f>
        <v>22</v>
      </c>
      <c r="I1433" s="160">
        <f t="shared" ref="I1433:I1496" si="43">INDEX($V$2:$V$108,MATCH(P318,$W$2:$W$108,0))</f>
        <v>9</v>
      </c>
      <c r="J1433" s="160">
        <f t="shared" ref="J1433:J1496" si="44">INDEX($Y$2:$Y$4,MATCH(Q318,$Z$2:$Z$4,0))</f>
        <v>1</v>
      </c>
    </row>
    <row r="1434" spans="2:10" x14ac:dyDescent="0.35">
      <c r="B1434" s="160">
        <f t="shared" si="36"/>
        <v>20</v>
      </c>
      <c r="C1434" s="160">
        <f t="shared" si="37"/>
        <v>73</v>
      </c>
      <c r="D1434" s="160">
        <f t="shared" si="38"/>
        <v>2</v>
      </c>
      <c r="E1434" s="160">
        <f t="shared" si="39"/>
        <v>17</v>
      </c>
      <c r="F1434" s="160">
        <f t="shared" si="40"/>
        <v>47</v>
      </c>
      <c r="G1434" s="160">
        <f t="shared" si="41"/>
        <v>4</v>
      </c>
      <c r="H1434" s="160">
        <f t="shared" si="42"/>
        <v>22</v>
      </c>
      <c r="I1434" s="160">
        <f t="shared" si="43"/>
        <v>9</v>
      </c>
      <c r="J1434" s="160">
        <f t="shared" si="44"/>
        <v>1</v>
      </c>
    </row>
    <row r="1435" spans="2:10" x14ac:dyDescent="0.35">
      <c r="B1435" s="160">
        <f t="shared" si="36"/>
        <v>20</v>
      </c>
      <c r="C1435" s="160">
        <f t="shared" si="37"/>
        <v>46</v>
      </c>
      <c r="D1435" s="160">
        <f t="shared" si="38"/>
        <v>4</v>
      </c>
      <c r="E1435" s="160">
        <f t="shared" si="39"/>
        <v>15</v>
      </c>
      <c r="F1435" s="160">
        <f t="shared" si="40"/>
        <v>9</v>
      </c>
      <c r="G1435" s="160">
        <f t="shared" si="41"/>
        <v>5</v>
      </c>
      <c r="H1435" s="160">
        <f t="shared" si="42"/>
        <v>25</v>
      </c>
      <c r="I1435" s="160">
        <f t="shared" si="43"/>
        <v>21</v>
      </c>
      <c r="J1435" s="160">
        <f t="shared" si="44"/>
        <v>3</v>
      </c>
    </row>
    <row r="1436" spans="2:10" x14ac:dyDescent="0.35">
      <c r="B1436" s="160">
        <f t="shared" si="36"/>
        <v>21</v>
      </c>
      <c r="C1436" s="160">
        <f t="shared" si="37"/>
        <v>74</v>
      </c>
      <c r="D1436" s="160">
        <f t="shared" si="38"/>
        <v>3</v>
      </c>
      <c r="E1436" s="160">
        <f t="shared" si="39"/>
        <v>15</v>
      </c>
      <c r="F1436" s="160">
        <f t="shared" si="40"/>
        <v>1</v>
      </c>
      <c r="G1436" s="160">
        <f t="shared" si="41"/>
        <v>2</v>
      </c>
      <c r="H1436" s="160">
        <f t="shared" si="42"/>
        <v>1</v>
      </c>
      <c r="I1436" s="160">
        <f t="shared" si="43"/>
        <v>8</v>
      </c>
      <c r="J1436" s="160">
        <f t="shared" si="44"/>
        <v>1</v>
      </c>
    </row>
    <row r="1437" spans="2:10" x14ac:dyDescent="0.35">
      <c r="B1437" s="160">
        <f t="shared" si="36"/>
        <v>21</v>
      </c>
      <c r="C1437" s="160">
        <f t="shared" si="37"/>
        <v>74</v>
      </c>
      <c r="D1437" s="160">
        <f t="shared" si="38"/>
        <v>3</v>
      </c>
      <c r="E1437" s="160">
        <f t="shared" si="39"/>
        <v>15</v>
      </c>
      <c r="F1437" s="160">
        <f t="shared" si="40"/>
        <v>1</v>
      </c>
      <c r="G1437" s="160">
        <f t="shared" si="41"/>
        <v>4</v>
      </c>
      <c r="H1437" s="160">
        <f t="shared" si="42"/>
        <v>1</v>
      </c>
      <c r="I1437" s="160">
        <f t="shared" si="43"/>
        <v>8</v>
      </c>
      <c r="J1437" s="160">
        <f t="shared" si="44"/>
        <v>1</v>
      </c>
    </row>
    <row r="1438" spans="2:10" x14ac:dyDescent="0.35">
      <c r="B1438" s="160">
        <f t="shared" si="36"/>
        <v>21</v>
      </c>
      <c r="C1438" s="160">
        <f t="shared" si="37"/>
        <v>74</v>
      </c>
      <c r="D1438" s="160">
        <f t="shared" si="38"/>
        <v>3</v>
      </c>
      <c r="E1438" s="160">
        <f t="shared" si="39"/>
        <v>15</v>
      </c>
      <c r="F1438" s="160">
        <f t="shared" si="40"/>
        <v>2</v>
      </c>
      <c r="G1438" s="160">
        <f t="shared" si="41"/>
        <v>1</v>
      </c>
      <c r="H1438" s="160">
        <f t="shared" si="42"/>
        <v>19</v>
      </c>
      <c r="I1438" s="160">
        <f t="shared" si="43"/>
        <v>28</v>
      </c>
      <c r="J1438" s="160">
        <f t="shared" si="44"/>
        <v>1</v>
      </c>
    </row>
    <row r="1439" spans="2:10" x14ac:dyDescent="0.35">
      <c r="B1439" s="160">
        <f t="shared" si="36"/>
        <v>21</v>
      </c>
      <c r="C1439" s="160">
        <f t="shared" si="37"/>
        <v>74</v>
      </c>
      <c r="D1439" s="160">
        <f t="shared" si="38"/>
        <v>3</v>
      </c>
      <c r="E1439" s="160">
        <f t="shared" si="39"/>
        <v>15</v>
      </c>
      <c r="F1439" s="160">
        <f t="shared" si="40"/>
        <v>2</v>
      </c>
      <c r="G1439" s="160">
        <f t="shared" si="41"/>
        <v>5</v>
      </c>
      <c r="H1439" s="160">
        <f t="shared" si="42"/>
        <v>1</v>
      </c>
      <c r="I1439" s="160">
        <f t="shared" si="43"/>
        <v>28</v>
      </c>
      <c r="J1439" s="160">
        <f t="shared" si="44"/>
        <v>1</v>
      </c>
    </row>
    <row r="1440" spans="2:10" x14ac:dyDescent="0.35">
      <c r="B1440" s="160">
        <f t="shared" si="36"/>
        <v>21</v>
      </c>
      <c r="C1440" s="160">
        <f t="shared" si="37"/>
        <v>74</v>
      </c>
      <c r="D1440" s="160">
        <f t="shared" si="38"/>
        <v>3</v>
      </c>
      <c r="E1440" s="160">
        <f t="shared" si="39"/>
        <v>15</v>
      </c>
      <c r="F1440" s="160">
        <f t="shared" si="40"/>
        <v>3</v>
      </c>
      <c r="G1440" s="160">
        <f t="shared" si="41"/>
        <v>2</v>
      </c>
      <c r="H1440" s="160">
        <f t="shared" si="42"/>
        <v>7</v>
      </c>
      <c r="I1440" s="160">
        <f t="shared" si="43"/>
        <v>22</v>
      </c>
      <c r="J1440" s="160">
        <f t="shared" si="44"/>
        <v>1</v>
      </c>
    </row>
    <row r="1441" spans="2:10" x14ac:dyDescent="0.35">
      <c r="B1441" s="160">
        <f t="shared" si="36"/>
        <v>21</v>
      </c>
      <c r="C1441" s="160">
        <f t="shared" si="37"/>
        <v>74</v>
      </c>
      <c r="D1441" s="160">
        <f t="shared" si="38"/>
        <v>3</v>
      </c>
      <c r="E1441" s="160">
        <f t="shared" si="39"/>
        <v>15</v>
      </c>
      <c r="F1441" s="160">
        <f t="shared" si="40"/>
        <v>3</v>
      </c>
      <c r="G1441" s="160">
        <f t="shared" si="41"/>
        <v>4</v>
      </c>
      <c r="H1441" s="160">
        <f t="shared" si="42"/>
        <v>19</v>
      </c>
      <c r="I1441" s="160">
        <f t="shared" si="43"/>
        <v>48</v>
      </c>
      <c r="J1441" s="160">
        <f t="shared" si="44"/>
        <v>1</v>
      </c>
    </row>
    <row r="1442" spans="2:10" x14ac:dyDescent="0.35">
      <c r="B1442" s="160">
        <f t="shared" si="36"/>
        <v>21</v>
      </c>
      <c r="C1442" s="160">
        <f t="shared" si="37"/>
        <v>70</v>
      </c>
      <c r="D1442" s="160">
        <f t="shared" si="38"/>
        <v>4</v>
      </c>
      <c r="E1442" s="160">
        <f t="shared" si="39"/>
        <v>15</v>
      </c>
      <c r="F1442" s="160">
        <f t="shared" si="40"/>
        <v>25</v>
      </c>
      <c r="G1442" s="160">
        <f t="shared" si="41"/>
        <v>1</v>
      </c>
      <c r="H1442" s="160">
        <f t="shared" si="42"/>
        <v>11</v>
      </c>
      <c r="I1442" s="160">
        <f t="shared" si="43"/>
        <v>22</v>
      </c>
      <c r="J1442" s="160">
        <f t="shared" si="44"/>
        <v>2</v>
      </c>
    </row>
    <row r="1443" spans="2:10" x14ac:dyDescent="0.35">
      <c r="B1443" s="160">
        <f t="shared" si="36"/>
        <v>21</v>
      </c>
      <c r="C1443" s="160">
        <f t="shared" si="37"/>
        <v>70</v>
      </c>
      <c r="D1443" s="160">
        <f t="shared" si="38"/>
        <v>4</v>
      </c>
      <c r="E1443" s="160">
        <f t="shared" si="39"/>
        <v>15</v>
      </c>
      <c r="F1443" s="160">
        <f t="shared" si="40"/>
        <v>25</v>
      </c>
      <c r="G1443" s="160">
        <f t="shared" si="41"/>
        <v>4</v>
      </c>
      <c r="H1443" s="160">
        <f t="shared" si="42"/>
        <v>8</v>
      </c>
      <c r="I1443" s="160">
        <f t="shared" si="43"/>
        <v>12</v>
      </c>
      <c r="J1443" s="160">
        <f t="shared" si="44"/>
        <v>2</v>
      </c>
    </row>
    <row r="1444" spans="2:10" x14ac:dyDescent="0.35">
      <c r="B1444" s="160">
        <f t="shared" si="36"/>
        <v>21</v>
      </c>
      <c r="C1444" s="160">
        <f t="shared" si="37"/>
        <v>75</v>
      </c>
      <c r="D1444" s="160">
        <f t="shared" si="38"/>
        <v>2</v>
      </c>
      <c r="E1444" s="160">
        <f t="shared" si="39"/>
        <v>16</v>
      </c>
      <c r="F1444" s="160">
        <f t="shared" si="40"/>
        <v>48</v>
      </c>
      <c r="G1444" s="160">
        <f t="shared" si="41"/>
        <v>1</v>
      </c>
      <c r="H1444" s="160">
        <f t="shared" si="42"/>
        <v>8</v>
      </c>
      <c r="I1444" s="160">
        <f t="shared" si="43"/>
        <v>36</v>
      </c>
      <c r="J1444" s="160">
        <f t="shared" si="44"/>
        <v>1</v>
      </c>
    </row>
    <row r="1445" spans="2:10" x14ac:dyDescent="0.35">
      <c r="B1445" s="160">
        <f t="shared" si="36"/>
        <v>21</v>
      </c>
      <c r="C1445" s="160">
        <f t="shared" si="37"/>
        <v>75</v>
      </c>
      <c r="D1445" s="160">
        <f t="shared" si="38"/>
        <v>2</v>
      </c>
      <c r="E1445" s="160">
        <f t="shared" si="39"/>
        <v>16</v>
      </c>
      <c r="F1445" s="160">
        <f t="shared" si="40"/>
        <v>48</v>
      </c>
      <c r="G1445" s="160">
        <f t="shared" si="41"/>
        <v>2</v>
      </c>
      <c r="H1445" s="160">
        <f t="shared" si="42"/>
        <v>8</v>
      </c>
      <c r="I1445" s="160">
        <f t="shared" si="43"/>
        <v>36</v>
      </c>
      <c r="J1445" s="160">
        <f t="shared" si="44"/>
        <v>1</v>
      </c>
    </row>
    <row r="1446" spans="2:10" x14ac:dyDescent="0.35">
      <c r="B1446" s="160">
        <f t="shared" si="36"/>
        <v>21</v>
      </c>
      <c r="C1446" s="160">
        <f t="shared" si="37"/>
        <v>71</v>
      </c>
      <c r="D1446" s="160">
        <f t="shared" si="38"/>
        <v>2</v>
      </c>
      <c r="E1446" s="160">
        <f t="shared" si="39"/>
        <v>17</v>
      </c>
      <c r="F1446" s="160">
        <f t="shared" si="40"/>
        <v>49</v>
      </c>
      <c r="G1446" s="160">
        <f t="shared" si="41"/>
        <v>1</v>
      </c>
      <c r="H1446" s="160">
        <f t="shared" si="42"/>
        <v>11</v>
      </c>
      <c r="I1446" s="160">
        <f t="shared" si="43"/>
        <v>21</v>
      </c>
      <c r="J1446" s="160">
        <f t="shared" si="44"/>
        <v>1</v>
      </c>
    </row>
    <row r="1447" spans="2:10" x14ac:dyDescent="0.35">
      <c r="B1447" s="160">
        <f t="shared" si="36"/>
        <v>21</v>
      </c>
      <c r="C1447" s="160">
        <f t="shared" si="37"/>
        <v>71</v>
      </c>
      <c r="D1447" s="160">
        <f t="shared" si="38"/>
        <v>2</v>
      </c>
      <c r="E1447" s="160">
        <f t="shared" si="39"/>
        <v>17</v>
      </c>
      <c r="F1447" s="160">
        <f t="shared" si="40"/>
        <v>49</v>
      </c>
      <c r="G1447" s="160">
        <f t="shared" si="41"/>
        <v>4</v>
      </c>
      <c r="H1447" s="160">
        <f t="shared" si="42"/>
        <v>11</v>
      </c>
      <c r="I1447" s="160">
        <f t="shared" si="43"/>
        <v>21</v>
      </c>
      <c r="J1447" s="160">
        <f t="shared" si="44"/>
        <v>1</v>
      </c>
    </row>
    <row r="1448" spans="2:10" x14ac:dyDescent="0.35">
      <c r="B1448" s="160">
        <f t="shared" si="36"/>
        <v>21</v>
      </c>
      <c r="C1448" s="160">
        <f t="shared" si="37"/>
        <v>68</v>
      </c>
      <c r="D1448" s="160">
        <f t="shared" si="38"/>
        <v>2</v>
      </c>
      <c r="E1448" s="160">
        <f t="shared" si="39"/>
        <v>17</v>
      </c>
      <c r="F1448" s="160">
        <f t="shared" si="40"/>
        <v>42</v>
      </c>
      <c r="G1448" s="160">
        <f t="shared" si="41"/>
        <v>2</v>
      </c>
      <c r="H1448" s="160">
        <f t="shared" si="42"/>
        <v>20</v>
      </c>
      <c r="I1448" s="160">
        <f t="shared" si="43"/>
        <v>22</v>
      </c>
      <c r="J1448" s="160">
        <f t="shared" si="44"/>
        <v>2</v>
      </c>
    </row>
    <row r="1449" spans="2:10" x14ac:dyDescent="0.35">
      <c r="B1449" s="160">
        <f t="shared" si="36"/>
        <v>21</v>
      </c>
      <c r="C1449" s="160">
        <f t="shared" si="37"/>
        <v>68</v>
      </c>
      <c r="D1449" s="160">
        <f t="shared" si="38"/>
        <v>2</v>
      </c>
      <c r="E1449" s="160">
        <f t="shared" si="39"/>
        <v>17</v>
      </c>
      <c r="F1449" s="160">
        <f t="shared" si="40"/>
        <v>42</v>
      </c>
      <c r="G1449" s="160">
        <f t="shared" si="41"/>
        <v>4</v>
      </c>
      <c r="H1449" s="160">
        <f t="shared" si="42"/>
        <v>20</v>
      </c>
      <c r="I1449" s="160">
        <f t="shared" si="43"/>
        <v>22</v>
      </c>
      <c r="J1449" s="160">
        <f t="shared" si="44"/>
        <v>2</v>
      </c>
    </row>
    <row r="1450" spans="2:10" x14ac:dyDescent="0.35">
      <c r="B1450" s="160">
        <f t="shared" si="36"/>
        <v>22</v>
      </c>
      <c r="C1450" s="160">
        <f t="shared" si="37"/>
        <v>42</v>
      </c>
      <c r="D1450" s="160">
        <f t="shared" si="38"/>
        <v>4</v>
      </c>
      <c r="E1450" s="160">
        <f t="shared" si="39"/>
        <v>15</v>
      </c>
      <c r="F1450" s="160">
        <f t="shared" si="40"/>
        <v>29</v>
      </c>
      <c r="G1450" s="160">
        <f t="shared" si="41"/>
        <v>1</v>
      </c>
      <c r="H1450" s="160">
        <f t="shared" si="42"/>
        <v>20</v>
      </c>
      <c r="I1450" s="160">
        <f t="shared" si="43"/>
        <v>47</v>
      </c>
      <c r="J1450" s="160">
        <f t="shared" si="44"/>
        <v>2</v>
      </c>
    </row>
    <row r="1451" spans="2:10" x14ac:dyDescent="0.35">
      <c r="B1451" s="160">
        <f t="shared" si="36"/>
        <v>22</v>
      </c>
      <c r="C1451" s="160">
        <f t="shared" si="37"/>
        <v>42</v>
      </c>
      <c r="D1451" s="160">
        <f t="shared" si="38"/>
        <v>4</v>
      </c>
      <c r="E1451" s="160">
        <f t="shared" si="39"/>
        <v>15</v>
      </c>
      <c r="F1451" s="160">
        <f t="shared" si="40"/>
        <v>29</v>
      </c>
      <c r="G1451" s="160">
        <f t="shared" si="41"/>
        <v>5</v>
      </c>
      <c r="H1451" s="160">
        <f t="shared" si="42"/>
        <v>8</v>
      </c>
      <c r="I1451" s="160">
        <f t="shared" si="43"/>
        <v>37</v>
      </c>
      <c r="J1451" s="160">
        <f t="shared" si="44"/>
        <v>2</v>
      </c>
    </row>
    <row r="1452" spans="2:10" x14ac:dyDescent="0.35">
      <c r="B1452" s="160">
        <f t="shared" si="36"/>
        <v>22</v>
      </c>
      <c r="C1452" s="160">
        <f t="shared" si="37"/>
        <v>76</v>
      </c>
      <c r="D1452" s="160">
        <f t="shared" si="38"/>
        <v>3</v>
      </c>
      <c r="E1452" s="160">
        <f t="shared" si="39"/>
        <v>15</v>
      </c>
      <c r="F1452" s="160">
        <f t="shared" si="40"/>
        <v>3</v>
      </c>
      <c r="G1452" s="160">
        <f t="shared" si="41"/>
        <v>2</v>
      </c>
      <c r="H1452" s="160">
        <f t="shared" si="42"/>
        <v>14</v>
      </c>
      <c r="I1452" s="160">
        <f t="shared" si="43"/>
        <v>20</v>
      </c>
      <c r="J1452" s="160">
        <f t="shared" si="44"/>
        <v>2</v>
      </c>
    </row>
    <row r="1453" spans="2:10" x14ac:dyDescent="0.35">
      <c r="B1453" s="160">
        <f t="shared" si="36"/>
        <v>22</v>
      </c>
      <c r="C1453" s="160">
        <f t="shared" si="37"/>
        <v>76</v>
      </c>
      <c r="D1453" s="160">
        <f t="shared" si="38"/>
        <v>3</v>
      </c>
      <c r="E1453" s="160">
        <f t="shared" si="39"/>
        <v>15</v>
      </c>
      <c r="F1453" s="160">
        <f t="shared" si="40"/>
        <v>3</v>
      </c>
      <c r="G1453" s="160">
        <f t="shared" si="41"/>
        <v>4</v>
      </c>
      <c r="H1453" s="160">
        <f t="shared" si="42"/>
        <v>19</v>
      </c>
      <c r="I1453" s="160">
        <f t="shared" si="43"/>
        <v>99</v>
      </c>
      <c r="J1453" s="160">
        <f t="shared" si="44"/>
        <v>2</v>
      </c>
    </row>
    <row r="1454" spans="2:10" x14ac:dyDescent="0.35">
      <c r="B1454" s="160">
        <f t="shared" si="36"/>
        <v>22</v>
      </c>
      <c r="C1454" s="160">
        <f t="shared" si="37"/>
        <v>76</v>
      </c>
      <c r="D1454" s="160">
        <f t="shared" si="38"/>
        <v>3</v>
      </c>
      <c r="E1454" s="160">
        <f t="shared" si="39"/>
        <v>15</v>
      </c>
      <c r="F1454" s="160">
        <f t="shared" si="40"/>
        <v>4</v>
      </c>
      <c r="G1454" s="160">
        <f t="shared" si="41"/>
        <v>2</v>
      </c>
      <c r="H1454" s="160">
        <f t="shared" si="42"/>
        <v>19</v>
      </c>
      <c r="I1454" s="160">
        <f t="shared" si="43"/>
        <v>24</v>
      </c>
      <c r="J1454" s="160">
        <f t="shared" si="44"/>
        <v>2</v>
      </c>
    </row>
    <row r="1455" spans="2:10" x14ac:dyDescent="0.35">
      <c r="B1455" s="160">
        <f t="shared" si="36"/>
        <v>22</v>
      </c>
      <c r="C1455" s="160">
        <f t="shared" si="37"/>
        <v>76</v>
      </c>
      <c r="D1455" s="160">
        <f t="shared" si="38"/>
        <v>3</v>
      </c>
      <c r="E1455" s="160">
        <f t="shared" si="39"/>
        <v>15</v>
      </c>
      <c r="F1455" s="160">
        <f t="shared" si="40"/>
        <v>4</v>
      </c>
      <c r="G1455" s="160">
        <f t="shared" si="41"/>
        <v>5</v>
      </c>
      <c r="H1455" s="160">
        <f t="shared" si="42"/>
        <v>1</v>
      </c>
      <c r="I1455" s="160">
        <f t="shared" si="43"/>
        <v>106</v>
      </c>
      <c r="J1455" s="160">
        <f t="shared" si="44"/>
        <v>2</v>
      </c>
    </row>
    <row r="1456" spans="2:10" x14ac:dyDescent="0.35">
      <c r="B1456" s="160">
        <f t="shared" si="36"/>
        <v>22</v>
      </c>
      <c r="C1456" s="160">
        <f t="shared" si="37"/>
        <v>25</v>
      </c>
      <c r="D1456" s="160">
        <f t="shared" si="38"/>
        <v>2</v>
      </c>
      <c r="E1456" s="160">
        <f t="shared" si="39"/>
        <v>9</v>
      </c>
      <c r="F1456" s="160">
        <f t="shared" si="40"/>
        <v>48</v>
      </c>
      <c r="G1456" s="160">
        <f t="shared" si="41"/>
        <v>1</v>
      </c>
      <c r="H1456" s="160">
        <f t="shared" si="42"/>
        <v>23</v>
      </c>
      <c r="I1456" s="160">
        <f t="shared" si="43"/>
        <v>88</v>
      </c>
      <c r="J1456" s="160">
        <f t="shared" si="44"/>
        <v>1</v>
      </c>
    </row>
    <row r="1457" spans="2:10" x14ac:dyDescent="0.35">
      <c r="B1457" s="160">
        <f t="shared" si="36"/>
        <v>22</v>
      </c>
      <c r="C1457" s="160">
        <f t="shared" si="37"/>
        <v>25</v>
      </c>
      <c r="D1457" s="160">
        <f t="shared" si="38"/>
        <v>2</v>
      </c>
      <c r="E1457" s="160">
        <f t="shared" si="39"/>
        <v>9</v>
      </c>
      <c r="F1457" s="160">
        <f t="shared" si="40"/>
        <v>48</v>
      </c>
      <c r="G1457" s="160">
        <f t="shared" si="41"/>
        <v>3</v>
      </c>
      <c r="H1457" s="160">
        <f t="shared" si="42"/>
        <v>7</v>
      </c>
      <c r="I1457" s="160">
        <f t="shared" si="43"/>
        <v>88</v>
      </c>
      <c r="J1457" s="160">
        <f t="shared" si="44"/>
        <v>1</v>
      </c>
    </row>
    <row r="1458" spans="2:10" x14ac:dyDescent="0.35">
      <c r="B1458" s="160">
        <f t="shared" si="36"/>
        <v>22</v>
      </c>
      <c r="C1458" s="160">
        <f t="shared" si="37"/>
        <v>24</v>
      </c>
      <c r="D1458" s="160">
        <f t="shared" si="38"/>
        <v>2</v>
      </c>
      <c r="E1458" s="160">
        <f t="shared" si="39"/>
        <v>9</v>
      </c>
      <c r="F1458" s="160">
        <f t="shared" si="40"/>
        <v>49</v>
      </c>
      <c r="G1458" s="160">
        <f t="shared" si="41"/>
        <v>1</v>
      </c>
      <c r="H1458" s="160">
        <f t="shared" si="42"/>
        <v>1</v>
      </c>
      <c r="I1458" s="160">
        <f t="shared" si="43"/>
        <v>90</v>
      </c>
      <c r="J1458" s="160">
        <f t="shared" si="44"/>
        <v>1</v>
      </c>
    </row>
    <row r="1459" spans="2:10" x14ac:dyDescent="0.35">
      <c r="B1459" s="160">
        <f t="shared" si="36"/>
        <v>22</v>
      </c>
      <c r="C1459" s="160">
        <f t="shared" si="37"/>
        <v>24</v>
      </c>
      <c r="D1459" s="160">
        <f t="shared" si="38"/>
        <v>2</v>
      </c>
      <c r="E1459" s="160">
        <f t="shared" si="39"/>
        <v>9</v>
      </c>
      <c r="F1459" s="160">
        <f t="shared" si="40"/>
        <v>49</v>
      </c>
      <c r="G1459" s="160">
        <f t="shared" si="41"/>
        <v>3</v>
      </c>
      <c r="H1459" s="160">
        <f t="shared" si="42"/>
        <v>1</v>
      </c>
      <c r="I1459" s="160">
        <f t="shared" si="43"/>
        <v>90</v>
      </c>
      <c r="J1459" s="160">
        <f t="shared" si="44"/>
        <v>1</v>
      </c>
    </row>
    <row r="1460" spans="2:10" x14ac:dyDescent="0.35">
      <c r="B1460" s="160">
        <f t="shared" si="36"/>
        <v>22</v>
      </c>
      <c r="C1460" s="160">
        <f t="shared" si="37"/>
        <v>25</v>
      </c>
      <c r="D1460" s="160">
        <f t="shared" si="38"/>
        <v>2</v>
      </c>
      <c r="E1460" s="160">
        <f t="shared" si="39"/>
        <v>8</v>
      </c>
      <c r="F1460" s="160">
        <f t="shared" si="40"/>
        <v>51</v>
      </c>
      <c r="G1460" s="160">
        <f t="shared" si="41"/>
        <v>3</v>
      </c>
      <c r="H1460" s="160">
        <f t="shared" si="42"/>
        <v>23</v>
      </c>
      <c r="I1460" s="160">
        <f t="shared" si="43"/>
        <v>6</v>
      </c>
      <c r="J1460" s="160">
        <f t="shared" si="44"/>
        <v>1</v>
      </c>
    </row>
    <row r="1461" spans="2:10" x14ac:dyDescent="0.35">
      <c r="B1461" s="160">
        <f t="shared" si="36"/>
        <v>22</v>
      </c>
      <c r="C1461" s="160">
        <f t="shared" si="37"/>
        <v>25</v>
      </c>
      <c r="D1461" s="160">
        <f t="shared" si="38"/>
        <v>2</v>
      </c>
      <c r="E1461" s="160">
        <f t="shared" si="39"/>
        <v>8</v>
      </c>
      <c r="F1461" s="160">
        <f t="shared" si="40"/>
        <v>51</v>
      </c>
      <c r="G1461" s="160">
        <f t="shared" si="41"/>
        <v>5</v>
      </c>
      <c r="H1461" s="160">
        <f t="shared" si="42"/>
        <v>23</v>
      </c>
      <c r="I1461" s="160">
        <f t="shared" si="43"/>
        <v>46</v>
      </c>
      <c r="J1461" s="160">
        <f t="shared" si="44"/>
        <v>1</v>
      </c>
    </row>
    <row r="1462" spans="2:10" x14ac:dyDescent="0.35">
      <c r="B1462" s="160">
        <f t="shared" si="36"/>
        <v>22</v>
      </c>
      <c r="C1462" s="160">
        <f t="shared" si="37"/>
        <v>24</v>
      </c>
      <c r="D1462" s="160">
        <f t="shared" si="38"/>
        <v>2</v>
      </c>
      <c r="E1462" s="160">
        <f t="shared" si="39"/>
        <v>8</v>
      </c>
      <c r="F1462" s="160">
        <f t="shared" si="40"/>
        <v>50</v>
      </c>
      <c r="G1462" s="160">
        <f t="shared" si="41"/>
        <v>1</v>
      </c>
      <c r="H1462" s="160">
        <f t="shared" si="42"/>
        <v>23</v>
      </c>
      <c r="I1462" s="160">
        <f t="shared" si="43"/>
        <v>7</v>
      </c>
      <c r="J1462" s="160">
        <f t="shared" si="44"/>
        <v>1</v>
      </c>
    </row>
    <row r="1463" spans="2:10" x14ac:dyDescent="0.35">
      <c r="B1463" s="160">
        <f t="shared" si="36"/>
        <v>22</v>
      </c>
      <c r="C1463" s="160">
        <f t="shared" si="37"/>
        <v>24</v>
      </c>
      <c r="D1463" s="160">
        <f t="shared" si="38"/>
        <v>2</v>
      </c>
      <c r="E1463" s="160">
        <f t="shared" si="39"/>
        <v>8</v>
      </c>
      <c r="F1463" s="160">
        <f t="shared" si="40"/>
        <v>50</v>
      </c>
      <c r="G1463" s="160">
        <f t="shared" si="41"/>
        <v>4</v>
      </c>
      <c r="H1463" s="160">
        <f t="shared" si="42"/>
        <v>10</v>
      </c>
      <c r="I1463" s="160">
        <f t="shared" si="43"/>
        <v>7</v>
      </c>
      <c r="J1463" s="160">
        <f t="shared" si="44"/>
        <v>1</v>
      </c>
    </row>
    <row r="1464" spans="2:10" x14ac:dyDescent="0.35">
      <c r="B1464" s="160">
        <f t="shared" si="36"/>
        <v>22</v>
      </c>
      <c r="C1464" s="160">
        <f t="shared" si="37"/>
        <v>46</v>
      </c>
      <c r="D1464" s="160">
        <f t="shared" si="38"/>
        <v>4</v>
      </c>
      <c r="E1464" s="160">
        <f t="shared" si="39"/>
        <v>15</v>
      </c>
      <c r="F1464" s="160">
        <f t="shared" si="40"/>
        <v>10</v>
      </c>
      <c r="G1464" s="160">
        <f t="shared" si="41"/>
        <v>5</v>
      </c>
      <c r="H1464" s="160">
        <f t="shared" si="42"/>
        <v>25</v>
      </c>
      <c r="I1464" s="160">
        <f t="shared" si="43"/>
        <v>22</v>
      </c>
      <c r="J1464" s="160">
        <f t="shared" si="44"/>
        <v>3</v>
      </c>
    </row>
    <row r="1465" spans="2:10" x14ac:dyDescent="0.35">
      <c r="B1465" s="160">
        <f t="shared" si="36"/>
        <v>23</v>
      </c>
      <c r="C1465" s="160">
        <f t="shared" si="37"/>
        <v>60</v>
      </c>
      <c r="D1465" s="160">
        <f t="shared" si="38"/>
        <v>4</v>
      </c>
      <c r="E1465" s="160">
        <f t="shared" si="39"/>
        <v>18</v>
      </c>
      <c r="F1465" s="160">
        <f t="shared" si="40"/>
        <v>49</v>
      </c>
      <c r="G1465" s="160">
        <f t="shared" si="41"/>
        <v>2</v>
      </c>
      <c r="H1465" s="160">
        <f t="shared" si="42"/>
        <v>2</v>
      </c>
      <c r="I1465" s="160">
        <f t="shared" si="43"/>
        <v>20</v>
      </c>
      <c r="J1465" s="160">
        <f t="shared" si="44"/>
        <v>1</v>
      </c>
    </row>
    <row r="1466" spans="2:10" x14ac:dyDescent="0.35">
      <c r="B1466" s="160">
        <f t="shared" si="36"/>
        <v>23</v>
      </c>
      <c r="C1466" s="160">
        <f t="shared" si="37"/>
        <v>60</v>
      </c>
      <c r="D1466" s="160">
        <f t="shared" si="38"/>
        <v>4</v>
      </c>
      <c r="E1466" s="160">
        <f t="shared" si="39"/>
        <v>18</v>
      </c>
      <c r="F1466" s="160">
        <f t="shared" si="40"/>
        <v>49</v>
      </c>
      <c r="G1466" s="160">
        <f t="shared" si="41"/>
        <v>5</v>
      </c>
      <c r="H1466" s="160">
        <f t="shared" si="42"/>
        <v>2</v>
      </c>
      <c r="I1466" s="160">
        <f t="shared" si="43"/>
        <v>12</v>
      </c>
      <c r="J1466" s="160">
        <f t="shared" si="44"/>
        <v>1</v>
      </c>
    </row>
    <row r="1467" spans="2:10" x14ac:dyDescent="0.35">
      <c r="B1467" s="160">
        <f t="shared" si="36"/>
        <v>23</v>
      </c>
      <c r="C1467" s="160">
        <f t="shared" si="37"/>
        <v>60</v>
      </c>
      <c r="D1467" s="160">
        <f t="shared" si="38"/>
        <v>4</v>
      </c>
      <c r="E1467" s="160">
        <f t="shared" si="39"/>
        <v>18</v>
      </c>
      <c r="F1467" s="160">
        <f t="shared" si="40"/>
        <v>50</v>
      </c>
      <c r="G1467" s="160">
        <f t="shared" si="41"/>
        <v>1</v>
      </c>
      <c r="H1467" s="160">
        <f t="shared" si="42"/>
        <v>20</v>
      </c>
      <c r="I1467" s="160">
        <f t="shared" si="43"/>
        <v>30</v>
      </c>
      <c r="J1467" s="160">
        <f t="shared" si="44"/>
        <v>2</v>
      </c>
    </row>
    <row r="1468" spans="2:10" x14ac:dyDescent="0.35">
      <c r="B1468" s="160">
        <f t="shared" si="36"/>
        <v>23</v>
      </c>
      <c r="C1468" s="160">
        <f t="shared" si="37"/>
        <v>60</v>
      </c>
      <c r="D1468" s="160">
        <f t="shared" si="38"/>
        <v>4</v>
      </c>
      <c r="E1468" s="160">
        <f t="shared" si="39"/>
        <v>18</v>
      </c>
      <c r="F1468" s="160">
        <f t="shared" si="40"/>
        <v>50</v>
      </c>
      <c r="G1468" s="160">
        <f t="shared" si="41"/>
        <v>3</v>
      </c>
      <c r="H1468" s="160">
        <f t="shared" si="42"/>
        <v>20</v>
      </c>
      <c r="I1468" s="160">
        <f t="shared" si="43"/>
        <v>33</v>
      </c>
      <c r="J1468" s="160">
        <f t="shared" si="44"/>
        <v>2</v>
      </c>
    </row>
    <row r="1469" spans="2:10" x14ac:dyDescent="0.35">
      <c r="B1469" s="160">
        <f t="shared" si="36"/>
        <v>23</v>
      </c>
      <c r="C1469" s="160">
        <f t="shared" si="37"/>
        <v>57</v>
      </c>
      <c r="D1469" s="160">
        <f t="shared" si="38"/>
        <v>4</v>
      </c>
      <c r="E1469" s="160">
        <f t="shared" si="39"/>
        <v>10</v>
      </c>
      <c r="F1469" s="160">
        <f t="shared" si="40"/>
        <v>27</v>
      </c>
      <c r="G1469" s="160">
        <f t="shared" si="41"/>
        <v>4</v>
      </c>
      <c r="H1469" s="160">
        <f t="shared" si="42"/>
        <v>2</v>
      </c>
      <c r="I1469" s="160">
        <f t="shared" si="43"/>
        <v>52</v>
      </c>
      <c r="J1469" s="160">
        <f t="shared" si="44"/>
        <v>2</v>
      </c>
    </row>
    <row r="1470" spans="2:10" x14ac:dyDescent="0.35">
      <c r="B1470" s="160">
        <f t="shared" si="36"/>
        <v>23</v>
      </c>
      <c r="C1470" s="160">
        <f t="shared" si="37"/>
        <v>57</v>
      </c>
      <c r="D1470" s="160">
        <f t="shared" si="38"/>
        <v>4</v>
      </c>
      <c r="E1470" s="160">
        <f t="shared" si="39"/>
        <v>10</v>
      </c>
      <c r="F1470" s="160">
        <f t="shared" si="40"/>
        <v>27</v>
      </c>
      <c r="G1470" s="160">
        <f t="shared" si="41"/>
        <v>5</v>
      </c>
      <c r="H1470" s="160">
        <f t="shared" si="42"/>
        <v>2</v>
      </c>
      <c r="I1470" s="160">
        <f t="shared" si="43"/>
        <v>30</v>
      </c>
      <c r="J1470" s="160">
        <f t="shared" si="44"/>
        <v>2</v>
      </c>
    </row>
    <row r="1471" spans="2:10" x14ac:dyDescent="0.35">
      <c r="B1471" s="160">
        <f t="shared" si="36"/>
        <v>23</v>
      </c>
      <c r="C1471" s="160">
        <f t="shared" si="37"/>
        <v>106</v>
      </c>
      <c r="D1471" s="160">
        <f t="shared" si="38"/>
        <v>4</v>
      </c>
      <c r="E1471" s="160">
        <f t="shared" si="39"/>
        <v>10</v>
      </c>
      <c r="F1471" s="160">
        <f t="shared" si="40"/>
        <v>1</v>
      </c>
      <c r="G1471" s="160">
        <f t="shared" si="41"/>
        <v>2</v>
      </c>
      <c r="H1471" s="160">
        <f t="shared" si="42"/>
        <v>20</v>
      </c>
      <c r="I1471" s="160">
        <f t="shared" si="43"/>
        <v>38</v>
      </c>
      <c r="J1471" s="160">
        <f t="shared" si="44"/>
        <v>2</v>
      </c>
    </row>
    <row r="1472" spans="2:10" x14ac:dyDescent="0.35">
      <c r="B1472" s="160">
        <f t="shared" si="36"/>
        <v>23</v>
      </c>
      <c r="C1472" s="160">
        <f t="shared" si="37"/>
        <v>106</v>
      </c>
      <c r="D1472" s="160">
        <f t="shared" si="38"/>
        <v>4</v>
      </c>
      <c r="E1472" s="160">
        <f t="shared" si="39"/>
        <v>10</v>
      </c>
      <c r="F1472" s="160">
        <f t="shared" si="40"/>
        <v>1</v>
      </c>
      <c r="G1472" s="160">
        <f t="shared" si="41"/>
        <v>4</v>
      </c>
      <c r="H1472" s="160">
        <f t="shared" si="42"/>
        <v>20</v>
      </c>
      <c r="I1472" s="160">
        <f t="shared" si="43"/>
        <v>38</v>
      </c>
      <c r="J1472" s="160">
        <f t="shared" si="44"/>
        <v>2</v>
      </c>
    </row>
    <row r="1473" spans="2:10" x14ac:dyDescent="0.35">
      <c r="B1473" s="160">
        <f t="shared" si="36"/>
        <v>23</v>
      </c>
      <c r="C1473" s="160">
        <f t="shared" si="37"/>
        <v>106</v>
      </c>
      <c r="D1473" s="160">
        <f t="shared" si="38"/>
        <v>4</v>
      </c>
      <c r="E1473" s="160">
        <f t="shared" si="39"/>
        <v>10</v>
      </c>
      <c r="F1473" s="160">
        <f t="shared" si="40"/>
        <v>2</v>
      </c>
      <c r="G1473" s="160">
        <f t="shared" si="41"/>
        <v>2</v>
      </c>
      <c r="H1473" s="160">
        <f t="shared" si="42"/>
        <v>11</v>
      </c>
      <c r="I1473" s="160">
        <f t="shared" si="43"/>
        <v>10</v>
      </c>
      <c r="J1473" s="160">
        <f t="shared" si="44"/>
        <v>2</v>
      </c>
    </row>
    <row r="1474" spans="2:10" x14ac:dyDescent="0.35">
      <c r="B1474" s="160">
        <f t="shared" si="36"/>
        <v>23</v>
      </c>
      <c r="C1474" s="160">
        <f t="shared" si="37"/>
        <v>106</v>
      </c>
      <c r="D1474" s="160">
        <f t="shared" si="38"/>
        <v>4</v>
      </c>
      <c r="E1474" s="160">
        <f t="shared" si="39"/>
        <v>10</v>
      </c>
      <c r="F1474" s="160">
        <f t="shared" si="40"/>
        <v>2</v>
      </c>
      <c r="G1474" s="160">
        <f t="shared" si="41"/>
        <v>5</v>
      </c>
      <c r="H1474" s="160">
        <f t="shared" si="42"/>
        <v>20</v>
      </c>
      <c r="I1474" s="160">
        <f t="shared" si="43"/>
        <v>38</v>
      </c>
      <c r="J1474" s="160">
        <f t="shared" si="44"/>
        <v>2</v>
      </c>
    </row>
    <row r="1475" spans="2:10" x14ac:dyDescent="0.35">
      <c r="B1475" s="160">
        <f t="shared" si="36"/>
        <v>23</v>
      </c>
      <c r="C1475" s="160">
        <f t="shared" si="37"/>
        <v>51</v>
      </c>
      <c r="D1475" s="160">
        <f t="shared" si="38"/>
        <v>1</v>
      </c>
      <c r="E1475" s="160">
        <f t="shared" si="39"/>
        <v>16</v>
      </c>
      <c r="F1475" s="160">
        <f t="shared" si="40"/>
        <v>48</v>
      </c>
      <c r="G1475" s="160">
        <f t="shared" si="41"/>
        <v>1</v>
      </c>
      <c r="H1475" s="160">
        <f t="shared" si="42"/>
        <v>2</v>
      </c>
      <c r="I1475" s="160">
        <f t="shared" si="43"/>
        <v>8</v>
      </c>
      <c r="J1475" s="160">
        <f t="shared" si="44"/>
        <v>2</v>
      </c>
    </row>
    <row r="1476" spans="2:10" x14ac:dyDescent="0.35">
      <c r="B1476" s="160">
        <f t="shared" si="36"/>
        <v>23</v>
      </c>
      <c r="C1476" s="160">
        <f t="shared" si="37"/>
        <v>51</v>
      </c>
      <c r="D1476" s="160">
        <f t="shared" si="38"/>
        <v>1</v>
      </c>
      <c r="E1476" s="160">
        <f t="shared" si="39"/>
        <v>16</v>
      </c>
      <c r="F1476" s="160">
        <f t="shared" si="40"/>
        <v>48</v>
      </c>
      <c r="G1476" s="160">
        <f t="shared" si="41"/>
        <v>2</v>
      </c>
      <c r="H1476" s="160">
        <f t="shared" si="42"/>
        <v>2</v>
      </c>
      <c r="I1476" s="160">
        <f t="shared" si="43"/>
        <v>8</v>
      </c>
      <c r="J1476" s="160">
        <f t="shared" si="44"/>
        <v>2</v>
      </c>
    </row>
    <row r="1477" spans="2:10" x14ac:dyDescent="0.35">
      <c r="B1477" s="160">
        <f t="shared" si="36"/>
        <v>23</v>
      </c>
      <c r="C1477" s="160">
        <f t="shared" si="37"/>
        <v>16</v>
      </c>
      <c r="D1477" s="160">
        <f t="shared" si="38"/>
        <v>3</v>
      </c>
      <c r="E1477" s="160">
        <f t="shared" si="39"/>
        <v>17</v>
      </c>
      <c r="F1477" s="160">
        <f t="shared" si="40"/>
        <v>47</v>
      </c>
      <c r="G1477" s="160">
        <f t="shared" si="41"/>
        <v>1</v>
      </c>
      <c r="H1477" s="160">
        <f t="shared" si="42"/>
        <v>3</v>
      </c>
      <c r="I1477" s="160">
        <f t="shared" si="43"/>
        <v>9</v>
      </c>
      <c r="J1477" s="160">
        <f t="shared" si="44"/>
        <v>1</v>
      </c>
    </row>
    <row r="1478" spans="2:10" x14ac:dyDescent="0.35">
      <c r="B1478" s="160">
        <f t="shared" si="36"/>
        <v>23</v>
      </c>
      <c r="C1478" s="160">
        <f t="shared" si="37"/>
        <v>16</v>
      </c>
      <c r="D1478" s="160">
        <f t="shared" si="38"/>
        <v>3</v>
      </c>
      <c r="E1478" s="160">
        <f t="shared" si="39"/>
        <v>17</v>
      </c>
      <c r="F1478" s="160">
        <f t="shared" si="40"/>
        <v>47</v>
      </c>
      <c r="G1478" s="160">
        <f t="shared" si="41"/>
        <v>4</v>
      </c>
      <c r="H1478" s="160">
        <f t="shared" si="42"/>
        <v>3</v>
      </c>
      <c r="I1478" s="160">
        <f t="shared" si="43"/>
        <v>9</v>
      </c>
      <c r="J1478" s="160">
        <f t="shared" si="44"/>
        <v>1</v>
      </c>
    </row>
    <row r="1479" spans="2:10" x14ac:dyDescent="0.35">
      <c r="B1479" s="160">
        <f t="shared" si="36"/>
        <v>24</v>
      </c>
      <c r="C1479" s="160">
        <f t="shared" si="37"/>
        <v>76</v>
      </c>
      <c r="D1479" s="160">
        <f t="shared" si="38"/>
        <v>3</v>
      </c>
      <c r="E1479" s="160">
        <f t="shared" si="39"/>
        <v>4</v>
      </c>
      <c r="F1479" s="160">
        <f t="shared" si="40"/>
        <v>1</v>
      </c>
      <c r="G1479" s="160">
        <f t="shared" si="41"/>
        <v>1</v>
      </c>
      <c r="H1479" s="160">
        <f t="shared" si="42"/>
        <v>1</v>
      </c>
      <c r="I1479" s="160">
        <f t="shared" si="43"/>
        <v>28</v>
      </c>
      <c r="J1479" s="160">
        <f t="shared" si="44"/>
        <v>2</v>
      </c>
    </row>
    <row r="1480" spans="2:10" x14ac:dyDescent="0.35">
      <c r="B1480" s="160">
        <f t="shared" si="36"/>
        <v>24</v>
      </c>
      <c r="C1480" s="160">
        <f t="shared" si="37"/>
        <v>76</v>
      </c>
      <c r="D1480" s="160">
        <f t="shared" si="38"/>
        <v>3</v>
      </c>
      <c r="E1480" s="160">
        <f t="shared" si="39"/>
        <v>4</v>
      </c>
      <c r="F1480" s="160">
        <f t="shared" si="40"/>
        <v>1</v>
      </c>
      <c r="G1480" s="160">
        <f t="shared" si="41"/>
        <v>4</v>
      </c>
      <c r="H1480" s="160">
        <f t="shared" si="42"/>
        <v>14</v>
      </c>
      <c r="I1480" s="160">
        <f t="shared" si="43"/>
        <v>37</v>
      </c>
      <c r="J1480" s="160">
        <f t="shared" si="44"/>
        <v>2</v>
      </c>
    </row>
    <row r="1481" spans="2:10" x14ac:dyDescent="0.35">
      <c r="B1481" s="160">
        <f t="shared" si="36"/>
        <v>24</v>
      </c>
      <c r="C1481" s="160">
        <f t="shared" si="37"/>
        <v>26</v>
      </c>
      <c r="D1481" s="160">
        <f t="shared" si="38"/>
        <v>4</v>
      </c>
      <c r="E1481" s="160">
        <f t="shared" si="39"/>
        <v>8</v>
      </c>
      <c r="F1481" s="160">
        <f t="shared" si="40"/>
        <v>45</v>
      </c>
      <c r="G1481" s="160">
        <f t="shared" si="41"/>
        <v>2</v>
      </c>
      <c r="H1481" s="160">
        <f t="shared" si="42"/>
        <v>18</v>
      </c>
      <c r="I1481" s="160">
        <f t="shared" si="43"/>
        <v>4</v>
      </c>
      <c r="J1481" s="160">
        <f t="shared" si="44"/>
        <v>1</v>
      </c>
    </row>
    <row r="1482" spans="2:10" x14ac:dyDescent="0.35">
      <c r="B1482" s="160">
        <f t="shared" si="36"/>
        <v>24</v>
      </c>
      <c r="C1482" s="160">
        <f t="shared" si="37"/>
        <v>26</v>
      </c>
      <c r="D1482" s="160">
        <f t="shared" si="38"/>
        <v>4</v>
      </c>
      <c r="E1482" s="160">
        <f t="shared" si="39"/>
        <v>8</v>
      </c>
      <c r="F1482" s="160">
        <f t="shared" si="40"/>
        <v>45</v>
      </c>
      <c r="G1482" s="160">
        <f t="shared" si="41"/>
        <v>4</v>
      </c>
      <c r="H1482" s="160">
        <f t="shared" si="42"/>
        <v>18</v>
      </c>
      <c r="I1482" s="160">
        <f t="shared" si="43"/>
        <v>3</v>
      </c>
      <c r="J1482" s="160">
        <f t="shared" si="44"/>
        <v>1</v>
      </c>
    </row>
    <row r="1483" spans="2:10" x14ac:dyDescent="0.35">
      <c r="B1483" s="160">
        <f t="shared" si="36"/>
        <v>24</v>
      </c>
      <c r="C1483" s="160">
        <f t="shared" si="37"/>
        <v>24</v>
      </c>
      <c r="D1483" s="160">
        <f t="shared" si="38"/>
        <v>2</v>
      </c>
      <c r="E1483" s="160">
        <f t="shared" si="39"/>
        <v>13</v>
      </c>
      <c r="F1483" s="160">
        <f t="shared" si="40"/>
        <v>49</v>
      </c>
      <c r="G1483" s="160">
        <f t="shared" si="41"/>
        <v>1</v>
      </c>
      <c r="H1483" s="160">
        <f t="shared" si="42"/>
        <v>23</v>
      </c>
      <c r="I1483" s="160">
        <f t="shared" si="43"/>
        <v>84</v>
      </c>
      <c r="J1483" s="160">
        <f t="shared" si="44"/>
        <v>1</v>
      </c>
    </row>
    <row r="1484" spans="2:10" x14ac:dyDescent="0.35">
      <c r="B1484" s="160">
        <f t="shared" si="36"/>
        <v>24</v>
      </c>
      <c r="C1484" s="160">
        <f t="shared" si="37"/>
        <v>24</v>
      </c>
      <c r="D1484" s="160">
        <f t="shared" si="38"/>
        <v>2</v>
      </c>
      <c r="E1484" s="160">
        <f t="shared" si="39"/>
        <v>13</v>
      </c>
      <c r="F1484" s="160">
        <f t="shared" si="40"/>
        <v>49</v>
      </c>
      <c r="G1484" s="160">
        <f t="shared" si="41"/>
        <v>3</v>
      </c>
      <c r="H1484" s="160">
        <f t="shared" si="42"/>
        <v>1</v>
      </c>
      <c r="I1484" s="160">
        <f t="shared" si="43"/>
        <v>92</v>
      </c>
      <c r="J1484" s="160">
        <f t="shared" si="44"/>
        <v>1</v>
      </c>
    </row>
    <row r="1485" spans="2:10" x14ac:dyDescent="0.35">
      <c r="B1485" s="160">
        <f t="shared" si="36"/>
        <v>24</v>
      </c>
      <c r="C1485" s="160">
        <f t="shared" si="37"/>
        <v>25</v>
      </c>
      <c r="D1485" s="160">
        <f t="shared" si="38"/>
        <v>2</v>
      </c>
      <c r="E1485" s="160">
        <f t="shared" si="39"/>
        <v>13</v>
      </c>
      <c r="F1485" s="160">
        <f t="shared" si="40"/>
        <v>50</v>
      </c>
      <c r="G1485" s="160">
        <f t="shared" si="41"/>
        <v>2</v>
      </c>
      <c r="H1485" s="160">
        <f t="shared" si="42"/>
        <v>14</v>
      </c>
      <c r="I1485" s="160">
        <f t="shared" si="43"/>
        <v>93</v>
      </c>
      <c r="J1485" s="160">
        <f t="shared" si="44"/>
        <v>1</v>
      </c>
    </row>
    <row r="1486" spans="2:10" x14ac:dyDescent="0.35">
      <c r="B1486" s="160">
        <f t="shared" si="36"/>
        <v>24</v>
      </c>
      <c r="C1486" s="160">
        <f t="shared" si="37"/>
        <v>25</v>
      </c>
      <c r="D1486" s="160">
        <f t="shared" si="38"/>
        <v>2</v>
      </c>
      <c r="E1486" s="160">
        <f t="shared" si="39"/>
        <v>13</v>
      </c>
      <c r="F1486" s="160">
        <f t="shared" si="40"/>
        <v>50</v>
      </c>
      <c r="G1486" s="160">
        <f t="shared" si="41"/>
        <v>4</v>
      </c>
      <c r="H1486" s="160">
        <f t="shared" si="42"/>
        <v>19</v>
      </c>
      <c r="I1486" s="160">
        <f t="shared" si="43"/>
        <v>91</v>
      </c>
      <c r="J1486" s="160">
        <f t="shared" si="44"/>
        <v>1</v>
      </c>
    </row>
    <row r="1487" spans="2:10" x14ac:dyDescent="0.35">
      <c r="B1487" s="160">
        <f t="shared" si="36"/>
        <v>24</v>
      </c>
      <c r="C1487" s="160">
        <f t="shared" si="37"/>
        <v>33</v>
      </c>
      <c r="D1487" s="160">
        <f t="shared" si="38"/>
        <v>3</v>
      </c>
      <c r="E1487" s="160">
        <f t="shared" si="39"/>
        <v>15</v>
      </c>
      <c r="F1487" s="160">
        <f t="shared" si="40"/>
        <v>39</v>
      </c>
      <c r="G1487" s="160">
        <f t="shared" si="41"/>
        <v>1</v>
      </c>
      <c r="H1487" s="160">
        <f t="shared" si="42"/>
        <v>10</v>
      </c>
      <c r="I1487" s="160">
        <f t="shared" si="43"/>
        <v>49</v>
      </c>
      <c r="J1487" s="160">
        <f t="shared" si="44"/>
        <v>2</v>
      </c>
    </row>
    <row r="1488" spans="2:10" x14ac:dyDescent="0.35">
      <c r="B1488" s="160">
        <f t="shared" si="36"/>
        <v>24</v>
      </c>
      <c r="C1488" s="160">
        <f t="shared" si="37"/>
        <v>33</v>
      </c>
      <c r="D1488" s="160">
        <f t="shared" si="38"/>
        <v>3</v>
      </c>
      <c r="E1488" s="160">
        <f t="shared" si="39"/>
        <v>15</v>
      </c>
      <c r="F1488" s="160">
        <f t="shared" si="40"/>
        <v>39</v>
      </c>
      <c r="G1488" s="160">
        <f t="shared" si="41"/>
        <v>4</v>
      </c>
      <c r="H1488" s="160">
        <f t="shared" si="42"/>
        <v>7</v>
      </c>
      <c r="I1488" s="160">
        <f t="shared" si="43"/>
        <v>49</v>
      </c>
      <c r="J1488" s="160">
        <f t="shared" si="44"/>
        <v>2</v>
      </c>
    </row>
    <row r="1489" spans="2:10" x14ac:dyDescent="0.35">
      <c r="B1489" s="160">
        <f t="shared" si="36"/>
        <v>24</v>
      </c>
      <c r="C1489" s="160">
        <f t="shared" si="37"/>
        <v>46</v>
      </c>
      <c r="D1489" s="160">
        <f t="shared" si="38"/>
        <v>4</v>
      </c>
      <c r="E1489" s="160">
        <f t="shared" si="39"/>
        <v>15</v>
      </c>
      <c r="F1489" s="160">
        <f t="shared" si="40"/>
        <v>11</v>
      </c>
      <c r="G1489" s="160">
        <f t="shared" si="41"/>
        <v>5</v>
      </c>
      <c r="H1489" s="160">
        <f t="shared" si="42"/>
        <v>25</v>
      </c>
      <c r="I1489" s="160">
        <f t="shared" si="43"/>
        <v>34</v>
      </c>
      <c r="J1489" s="160">
        <f t="shared" si="44"/>
        <v>3</v>
      </c>
    </row>
    <row r="1490" spans="2:10" x14ac:dyDescent="0.35">
      <c r="B1490" s="160">
        <f t="shared" si="36"/>
        <v>25</v>
      </c>
      <c r="C1490" s="160">
        <f t="shared" si="37"/>
        <v>20</v>
      </c>
      <c r="D1490" s="160">
        <f t="shared" si="38"/>
        <v>3</v>
      </c>
      <c r="E1490" s="160">
        <f t="shared" si="39"/>
        <v>15</v>
      </c>
      <c r="F1490" s="160">
        <f t="shared" si="40"/>
        <v>54</v>
      </c>
      <c r="G1490" s="160">
        <f t="shared" si="41"/>
        <v>2</v>
      </c>
      <c r="H1490" s="160">
        <f t="shared" si="42"/>
        <v>14</v>
      </c>
      <c r="I1490" s="160">
        <f t="shared" si="43"/>
        <v>47</v>
      </c>
      <c r="J1490" s="160">
        <f t="shared" si="44"/>
        <v>1</v>
      </c>
    </row>
    <row r="1491" spans="2:10" x14ac:dyDescent="0.35">
      <c r="B1491" s="160">
        <f t="shared" si="36"/>
        <v>25</v>
      </c>
      <c r="C1491" s="160">
        <f t="shared" si="37"/>
        <v>20</v>
      </c>
      <c r="D1491" s="160">
        <f t="shared" si="38"/>
        <v>3</v>
      </c>
      <c r="E1491" s="160">
        <f t="shared" si="39"/>
        <v>15</v>
      </c>
      <c r="F1491" s="160">
        <f t="shared" si="40"/>
        <v>54</v>
      </c>
      <c r="G1491" s="160">
        <f t="shared" si="41"/>
        <v>4</v>
      </c>
      <c r="H1491" s="160">
        <f t="shared" si="42"/>
        <v>10</v>
      </c>
      <c r="I1491" s="160">
        <f t="shared" si="43"/>
        <v>11</v>
      </c>
      <c r="J1491" s="160">
        <f t="shared" si="44"/>
        <v>1</v>
      </c>
    </row>
    <row r="1492" spans="2:10" x14ac:dyDescent="0.35">
      <c r="B1492" s="160">
        <f t="shared" si="36"/>
        <v>25</v>
      </c>
      <c r="C1492" s="160">
        <f t="shared" si="37"/>
        <v>20</v>
      </c>
      <c r="D1492" s="160">
        <f t="shared" si="38"/>
        <v>3</v>
      </c>
      <c r="E1492" s="160">
        <f t="shared" si="39"/>
        <v>15</v>
      </c>
      <c r="F1492" s="160">
        <f t="shared" si="40"/>
        <v>53</v>
      </c>
      <c r="G1492" s="160">
        <f t="shared" si="41"/>
        <v>2</v>
      </c>
      <c r="H1492" s="160">
        <f t="shared" si="42"/>
        <v>14</v>
      </c>
      <c r="I1492" s="160">
        <f t="shared" si="43"/>
        <v>31</v>
      </c>
      <c r="J1492" s="160">
        <f t="shared" si="44"/>
        <v>2</v>
      </c>
    </row>
    <row r="1493" spans="2:10" x14ac:dyDescent="0.35">
      <c r="B1493" s="160">
        <f t="shared" si="36"/>
        <v>25</v>
      </c>
      <c r="C1493" s="160">
        <f t="shared" si="37"/>
        <v>20</v>
      </c>
      <c r="D1493" s="160">
        <f t="shared" si="38"/>
        <v>3</v>
      </c>
      <c r="E1493" s="160">
        <f t="shared" si="39"/>
        <v>15</v>
      </c>
      <c r="F1493" s="160">
        <f t="shared" si="40"/>
        <v>53</v>
      </c>
      <c r="G1493" s="160">
        <f t="shared" si="41"/>
        <v>5</v>
      </c>
      <c r="H1493" s="160">
        <f t="shared" si="42"/>
        <v>10</v>
      </c>
      <c r="I1493" s="160">
        <f t="shared" si="43"/>
        <v>11</v>
      </c>
      <c r="J1493" s="160">
        <f t="shared" si="44"/>
        <v>2</v>
      </c>
    </row>
    <row r="1494" spans="2:10" x14ac:dyDescent="0.35">
      <c r="B1494" s="160">
        <f t="shared" si="36"/>
        <v>25</v>
      </c>
      <c r="C1494" s="160">
        <f t="shared" si="37"/>
        <v>48</v>
      </c>
      <c r="D1494" s="160">
        <f t="shared" si="38"/>
        <v>4</v>
      </c>
      <c r="E1494" s="160">
        <f t="shared" si="39"/>
        <v>15</v>
      </c>
      <c r="F1494" s="160">
        <f t="shared" si="40"/>
        <v>26</v>
      </c>
      <c r="G1494" s="160">
        <f t="shared" si="41"/>
        <v>2</v>
      </c>
      <c r="H1494" s="160">
        <f t="shared" si="42"/>
        <v>2</v>
      </c>
      <c r="I1494" s="160">
        <f t="shared" si="43"/>
        <v>9</v>
      </c>
      <c r="J1494" s="160">
        <f t="shared" si="44"/>
        <v>1</v>
      </c>
    </row>
    <row r="1495" spans="2:10" x14ac:dyDescent="0.35">
      <c r="B1495" s="160">
        <f t="shared" si="36"/>
        <v>25</v>
      </c>
      <c r="C1495" s="160">
        <f t="shared" si="37"/>
        <v>48</v>
      </c>
      <c r="D1495" s="160">
        <f t="shared" si="38"/>
        <v>4</v>
      </c>
      <c r="E1495" s="160">
        <f t="shared" si="39"/>
        <v>15</v>
      </c>
      <c r="F1495" s="160">
        <f t="shared" si="40"/>
        <v>26</v>
      </c>
      <c r="G1495" s="160">
        <f t="shared" si="41"/>
        <v>4</v>
      </c>
      <c r="H1495" s="160">
        <f t="shared" si="42"/>
        <v>20</v>
      </c>
      <c r="I1495" s="160">
        <f t="shared" si="43"/>
        <v>41</v>
      </c>
      <c r="J1495" s="160">
        <f t="shared" si="44"/>
        <v>1</v>
      </c>
    </row>
    <row r="1496" spans="2:10" x14ac:dyDescent="0.35">
      <c r="B1496" s="160">
        <f t="shared" si="36"/>
        <v>25</v>
      </c>
      <c r="C1496" s="160">
        <f t="shared" si="37"/>
        <v>48</v>
      </c>
      <c r="D1496" s="160">
        <f t="shared" si="38"/>
        <v>4</v>
      </c>
      <c r="E1496" s="160">
        <f t="shared" si="39"/>
        <v>15</v>
      </c>
      <c r="F1496" s="160">
        <f t="shared" si="40"/>
        <v>27</v>
      </c>
      <c r="G1496" s="160">
        <f t="shared" si="41"/>
        <v>1</v>
      </c>
      <c r="H1496" s="160">
        <f t="shared" si="42"/>
        <v>24</v>
      </c>
      <c r="I1496" s="160">
        <f t="shared" si="43"/>
        <v>51</v>
      </c>
      <c r="J1496" s="160">
        <f t="shared" si="44"/>
        <v>1</v>
      </c>
    </row>
    <row r="1497" spans="2:10" x14ac:dyDescent="0.35">
      <c r="B1497" s="160">
        <f t="shared" ref="B1497:B1560" si="45">INDEX($A$2:$A$85,MATCH(I382,$B$2:$B$85,0))</f>
        <v>25</v>
      </c>
      <c r="C1497" s="160">
        <f t="shared" ref="C1497:C1560" si="46">INDEX($D$2:$D$117,MATCH(J382,$E$2:$E$117,0))</f>
        <v>48</v>
      </c>
      <c r="D1497" s="160">
        <f t="shared" ref="D1497:D1560" si="47">INDEX($P$2:$P$5,MATCH(K382,$Q$2:$Q$5,0))</f>
        <v>4</v>
      </c>
      <c r="E1497" s="160">
        <f t="shared" ref="E1497:E1560" si="48">INDEX($G$2:$G$19,MATCH(L382,$H$2:$H$19,0))</f>
        <v>15</v>
      </c>
      <c r="F1497" s="160">
        <f t="shared" ref="F1497:F1560" si="49">INDEX($J$2:$J$55,MATCH(M382,$K$2:$K$55,0))</f>
        <v>27</v>
      </c>
      <c r="G1497" s="160">
        <f t="shared" ref="G1497:G1560" si="50">INDEX($M$2:$M$6,MATCH(N382,$N$2:$N$6,0))</f>
        <v>5</v>
      </c>
      <c r="H1497" s="160">
        <f t="shared" ref="H1497:H1560" si="51">INDEX($S$2:$S$26,MATCH(O382,$T$2:$T$26,0))</f>
        <v>2</v>
      </c>
      <c r="I1497" s="160">
        <f t="shared" ref="I1497:I1560" si="52">INDEX($V$2:$V$108,MATCH(P382,$W$2:$W$108,0))</f>
        <v>34</v>
      </c>
      <c r="J1497" s="160">
        <f t="shared" ref="J1497:J1560" si="53">INDEX($Y$2:$Y$4,MATCH(Q382,$Z$2:$Z$4,0))</f>
        <v>1</v>
      </c>
    </row>
    <row r="1498" spans="2:10" x14ac:dyDescent="0.35">
      <c r="B1498" s="160">
        <f t="shared" si="45"/>
        <v>25</v>
      </c>
      <c r="C1498" s="160">
        <f t="shared" si="46"/>
        <v>48</v>
      </c>
      <c r="D1498" s="160">
        <f t="shared" si="47"/>
        <v>2</v>
      </c>
      <c r="E1498" s="160">
        <f t="shared" si="48"/>
        <v>15</v>
      </c>
      <c r="F1498" s="160">
        <f t="shared" si="49"/>
        <v>28</v>
      </c>
      <c r="G1498" s="160">
        <f t="shared" si="50"/>
        <v>1</v>
      </c>
      <c r="H1498" s="160">
        <f t="shared" si="51"/>
        <v>2</v>
      </c>
      <c r="I1498" s="160">
        <f t="shared" si="52"/>
        <v>52</v>
      </c>
      <c r="J1498" s="160">
        <f t="shared" si="53"/>
        <v>1</v>
      </c>
    </row>
    <row r="1499" spans="2:10" x14ac:dyDescent="0.35">
      <c r="B1499" s="160">
        <f t="shared" si="45"/>
        <v>25</v>
      </c>
      <c r="C1499" s="160">
        <f t="shared" si="46"/>
        <v>48</v>
      </c>
      <c r="D1499" s="160">
        <f t="shared" si="47"/>
        <v>2</v>
      </c>
      <c r="E1499" s="160">
        <f t="shared" si="48"/>
        <v>15</v>
      </c>
      <c r="F1499" s="160">
        <f t="shared" si="49"/>
        <v>28</v>
      </c>
      <c r="G1499" s="160">
        <f t="shared" si="50"/>
        <v>3</v>
      </c>
      <c r="H1499" s="160">
        <f t="shared" si="51"/>
        <v>2</v>
      </c>
      <c r="I1499" s="160">
        <f t="shared" si="52"/>
        <v>48</v>
      </c>
      <c r="J1499" s="160">
        <f t="shared" si="53"/>
        <v>1</v>
      </c>
    </row>
    <row r="1500" spans="2:10" x14ac:dyDescent="0.35">
      <c r="B1500" s="160">
        <f t="shared" si="45"/>
        <v>25</v>
      </c>
      <c r="C1500" s="160">
        <f t="shared" si="46"/>
        <v>46</v>
      </c>
      <c r="D1500" s="160">
        <f t="shared" si="47"/>
        <v>4</v>
      </c>
      <c r="E1500" s="160">
        <f t="shared" si="48"/>
        <v>15</v>
      </c>
      <c r="F1500" s="160">
        <f t="shared" si="49"/>
        <v>12</v>
      </c>
      <c r="G1500" s="160">
        <f t="shared" si="50"/>
        <v>5</v>
      </c>
      <c r="H1500" s="160">
        <f t="shared" si="51"/>
        <v>25</v>
      </c>
      <c r="I1500" s="160">
        <f t="shared" si="52"/>
        <v>36</v>
      </c>
      <c r="J1500" s="160">
        <f t="shared" si="53"/>
        <v>3</v>
      </c>
    </row>
    <row r="1501" spans="2:10" x14ac:dyDescent="0.35">
      <c r="B1501" s="160">
        <f t="shared" si="45"/>
        <v>25</v>
      </c>
      <c r="C1501" s="160">
        <f t="shared" si="46"/>
        <v>22</v>
      </c>
      <c r="D1501" s="160">
        <f t="shared" si="47"/>
        <v>4</v>
      </c>
      <c r="E1501" s="160">
        <f t="shared" si="48"/>
        <v>15</v>
      </c>
      <c r="F1501" s="160">
        <f t="shared" si="49"/>
        <v>2</v>
      </c>
      <c r="G1501" s="160">
        <f t="shared" si="50"/>
        <v>1</v>
      </c>
      <c r="H1501" s="160">
        <f t="shared" si="51"/>
        <v>24</v>
      </c>
      <c r="I1501" s="160">
        <f t="shared" si="52"/>
        <v>44</v>
      </c>
      <c r="J1501" s="160">
        <f t="shared" si="53"/>
        <v>3</v>
      </c>
    </row>
    <row r="1502" spans="2:10" x14ac:dyDescent="0.35">
      <c r="B1502" s="160">
        <f t="shared" si="45"/>
        <v>26</v>
      </c>
      <c r="C1502" s="160">
        <f t="shared" si="46"/>
        <v>48</v>
      </c>
      <c r="D1502" s="160">
        <f t="shared" si="47"/>
        <v>4</v>
      </c>
      <c r="E1502" s="160">
        <f t="shared" si="48"/>
        <v>18</v>
      </c>
      <c r="F1502" s="160">
        <f t="shared" si="49"/>
        <v>43</v>
      </c>
      <c r="G1502" s="160">
        <f t="shared" si="50"/>
        <v>4</v>
      </c>
      <c r="H1502" s="160">
        <f t="shared" si="51"/>
        <v>2</v>
      </c>
      <c r="I1502" s="160">
        <f t="shared" si="52"/>
        <v>20</v>
      </c>
      <c r="J1502" s="160">
        <f t="shared" si="53"/>
        <v>1</v>
      </c>
    </row>
    <row r="1503" spans="2:10" x14ac:dyDescent="0.35">
      <c r="B1503" s="160">
        <f t="shared" si="45"/>
        <v>26</v>
      </c>
      <c r="C1503" s="160">
        <f t="shared" si="46"/>
        <v>48</v>
      </c>
      <c r="D1503" s="160">
        <f t="shared" si="47"/>
        <v>4</v>
      </c>
      <c r="E1503" s="160">
        <f t="shared" si="48"/>
        <v>18</v>
      </c>
      <c r="F1503" s="160">
        <f t="shared" si="49"/>
        <v>43</v>
      </c>
      <c r="G1503" s="160">
        <f t="shared" si="50"/>
        <v>5</v>
      </c>
      <c r="H1503" s="160">
        <f t="shared" si="51"/>
        <v>20</v>
      </c>
      <c r="I1503" s="160">
        <f t="shared" si="52"/>
        <v>20</v>
      </c>
      <c r="J1503" s="160">
        <f t="shared" si="53"/>
        <v>1</v>
      </c>
    </row>
    <row r="1504" spans="2:10" x14ac:dyDescent="0.35">
      <c r="B1504" s="160">
        <f t="shared" si="45"/>
        <v>26</v>
      </c>
      <c r="C1504" s="160">
        <f t="shared" si="46"/>
        <v>77</v>
      </c>
      <c r="D1504" s="160">
        <f t="shared" si="47"/>
        <v>3</v>
      </c>
      <c r="E1504" s="160">
        <f t="shared" si="48"/>
        <v>18</v>
      </c>
      <c r="F1504" s="160">
        <f t="shared" si="49"/>
        <v>25</v>
      </c>
      <c r="G1504" s="160">
        <f t="shared" si="50"/>
        <v>1</v>
      </c>
      <c r="H1504" s="160">
        <f t="shared" si="51"/>
        <v>14</v>
      </c>
      <c r="I1504" s="160">
        <f t="shared" si="52"/>
        <v>46</v>
      </c>
      <c r="J1504" s="160">
        <f t="shared" si="53"/>
        <v>2</v>
      </c>
    </row>
    <row r="1505" spans="2:10" x14ac:dyDescent="0.35">
      <c r="B1505" s="160">
        <f t="shared" si="45"/>
        <v>26</v>
      </c>
      <c r="C1505" s="160">
        <f t="shared" si="46"/>
        <v>77</v>
      </c>
      <c r="D1505" s="160">
        <f t="shared" si="47"/>
        <v>3</v>
      </c>
      <c r="E1505" s="160">
        <f t="shared" si="48"/>
        <v>18</v>
      </c>
      <c r="F1505" s="160">
        <f t="shared" si="49"/>
        <v>25</v>
      </c>
      <c r="G1505" s="160">
        <f t="shared" si="50"/>
        <v>3</v>
      </c>
      <c r="H1505" s="160">
        <f t="shared" si="51"/>
        <v>14</v>
      </c>
      <c r="I1505" s="160">
        <f t="shared" si="52"/>
        <v>46</v>
      </c>
      <c r="J1505" s="160">
        <f t="shared" si="53"/>
        <v>2</v>
      </c>
    </row>
    <row r="1506" spans="2:10" x14ac:dyDescent="0.35">
      <c r="B1506" s="160">
        <f t="shared" si="45"/>
        <v>26</v>
      </c>
      <c r="C1506" s="160">
        <f t="shared" si="46"/>
        <v>78</v>
      </c>
      <c r="D1506" s="160">
        <f t="shared" si="47"/>
        <v>3</v>
      </c>
      <c r="E1506" s="160">
        <f t="shared" si="48"/>
        <v>10</v>
      </c>
      <c r="F1506" s="160">
        <f t="shared" si="49"/>
        <v>49</v>
      </c>
      <c r="G1506" s="160">
        <f t="shared" si="50"/>
        <v>1</v>
      </c>
      <c r="H1506" s="160">
        <f t="shared" si="51"/>
        <v>19</v>
      </c>
      <c r="I1506" s="160">
        <f t="shared" si="52"/>
        <v>33</v>
      </c>
      <c r="J1506" s="160">
        <f t="shared" si="53"/>
        <v>2</v>
      </c>
    </row>
    <row r="1507" spans="2:10" x14ac:dyDescent="0.35">
      <c r="B1507" s="160">
        <f t="shared" si="45"/>
        <v>26</v>
      </c>
      <c r="C1507" s="160">
        <f t="shared" si="46"/>
        <v>78</v>
      </c>
      <c r="D1507" s="160">
        <f t="shared" si="47"/>
        <v>3</v>
      </c>
      <c r="E1507" s="160">
        <f t="shared" si="48"/>
        <v>10</v>
      </c>
      <c r="F1507" s="160">
        <f t="shared" si="49"/>
        <v>49</v>
      </c>
      <c r="G1507" s="160">
        <f t="shared" si="50"/>
        <v>4</v>
      </c>
      <c r="H1507" s="160">
        <f t="shared" si="51"/>
        <v>14</v>
      </c>
      <c r="I1507" s="160">
        <f t="shared" si="52"/>
        <v>6</v>
      </c>
      <c r="J1507" s="160">
        <f t="shared" si="53"/>
        <v>2</v>
      </c>
    </row>
    <row r="1508" spans="2:10" x14ac:dyDescent="0.35">
      <c r="B1508" s="160">
        <f t="shared" si="45"/>
        <v>26</v>
      </c>
      <c r="C1508" s="160">
        <f t="shared" si="46"/>
        <v>78</v>
      </c>
      <c r="D1508" s="160">
        <f t="shared" si="47"/>
        <v>3</v>
      </c>
      <c r="E1508" s="160">
        <f t="shared" si="48"/>
        <v>10</v>
      </c>
      <c r="F1508" s="160">
        <f t="shared" si="49"/>
        <v>50</v>
      </c>
      <c r="G1508" s="160">
        <f t="shared" si="50"/>
        <v>2</v>
      </c>
      <c r="H1508" s="160">
        <f t="shared" si="51"/>
        <v>19</v>
      </c>
      <c r="I1508" s="160">
        <f t="shared" si="52"/>
        <v>37</v>
      </c>
      <c r="J1508" s="160">
        <f t="shared" si="53"/>
        <v>1</v>
      </c>
    </row>
    <row r="1509" spans="2:10" x14ac:dyDescent="0.35">
      <c r="B1509" s="160">
        <f t="shared" si="45"/>
        <v>26</v>
      </c>
      <c r="C1509" s="160">
        <f t="shared" si="46"/>
        <v>78</v>
      </c>
      <c r="D1509" s="160">
        <f t="shared" si="47"/>
        <v>3</v>
      </c>
      <c r="E1509" s="160">
        <f t="shared" si="48"/>
        <v>10</v>
      </c>
      <c r="F1509" s="160">
        <f t="shared" si="49"/>
        <v>50</v>
      </c>
      <c r="G1509" s="160">
        <f t="shared" si="50"/>
        <v>5</v>
      </c>
      <c r="H1509" s="160">
        <f t="shared" si="51"/>
        <v>1</v>
      </c>
      <c r="I1509" s="160">
        <f t="shared" si="52"/>
        <v>22</v>
      </c>
      <c r="J1509" s="160">
        <f t="shared" si="53"/>
        <v>1</v>
      </c>
    </row>
    <row r="1510" spans="2:10" x14ac:dyDescent="0.35">
      <c r="B1510" s="160">
        <f t="shared" si="45"/>
        <v>26</v>
      </c>
      <c r="C1510" s="160">
        <f t="shared" si="46"/>
        <v>71</v>
      </c>
      <c r="D1510" s="160">
        <f t="shared" si="47"/>
        <v>1</v>
      </c>
      <c r="E1510" s="160">
        <f t="shared" si="48"/>
        <v>16</v>
      </c>
      <c r="F1510" s="160">
        <f t="shared" si="49"/>
        <v>48</v>
      </c>
      <c r="G1510" s="160">
        <f t="shared" si="50"/>
        <v>1</v>
      </c>
      <c r="H1510" s="160">
        <f t="shared" si="51"/>
        <v>1</v>
      </c>
      <c r="I1510" s="160">
        <f t="shared" si="52"/>
        <v>37</v>
      </c>
      <c r="J1510" s="160">
        <f t="shared" si="53"/>
        <v>1</v>
      </c>
    </row>
    <row r="1511" spans="2:10" x14ac:dyDescent="0.35">
      <c r="B1511" s="160">
        <f t="shared" si="45"/>
        <v>26</v>
      </c>
      <c r="C1511" s="160">
        <f t="shared" si="46"/>
        <v>71</v>
      </c>
      <c r="D1511" s="160">
        <f t="shared" si="47"/>
        <v>1</v>
      </c>
      <c r="E1511" s="160">
        <f t="shared" si="48"/>
        <v>16</v>
      </c>
      <c r="F1511" s="160">
        <f t="shared" si="49"/>
        <v>48</v>
      </c>
      <c r="G1511" s="160">
        <f t="shared" si="50"/>
        <v>2</v>
      </c>
      <c r="H1511" s="160">
        <f t="shared" si="51"/>
        <v>1</v>
      </c>
      <c r="I1511" s="160">
        <f t="shared" si="52"/>
        <v>37</v>
      </c>
      <c r="J1511" s="160">
        <f t="shared" si="53"/>
        <v>1</v>
      </c>
    </row>
    <row r="1512" spans="2:10" x14ac:dyDescent="0.35">
      <c r="B1512" s="160">
        <f t="shared" si="45"/>
        <v>26</v>
      </c>
      <c r="C1512" s="160">
        <f t="shared" si="46"/>
        <v>79</v>
      </c>
      <c r="D1512" s="160">
        <f t="shared" si="47"/>
        <v>2</v>
      </c>
      <c r="E1512" s="160">
        <f t="shared" si="48"/>
        <v>17</v>
      </c>
      <c r="F1512" s="160">
        <f t="shared" si="49"/>
        <v>43</v>
      </c>
      <c r="G1512" s="160">
        <f t="shared" si="50"/>
        <v>2</v>
      </c>
      <c r="H1512" s="160">
        <f t="shared" si="51"/>
        <v>18</v>
      </c>
      <c r="I1512" s="160">
        <f t="shared" si="52"/>
        <v>34</v>
      </c>
      <c r="J1512" s="160">
        <f t="shared" si="53"/>
        <v>2</v>
      </c>
    </row>
    <row r="1513" spans="2:10" x14ac:dyDescent="0.35">
      <c r="B1513" s="160">
        <f t="shared" si="45"/>
        <v>26</v>
      </c>
      <c r="C1513" s="160">
        <f t="shared" si="46"/>
        <v>79</v>
      </c>
      <c r="D1513" s="160">
        <f t="shared" si="47"/>
        <v>2</v>
      </c>
      <c r="E1513" s="160">
        <f t="shared" si="48"/>
        <v>17</v>
      </c>
      <c r="F1513" s="160">
        <f t="shared" si="49"/>
        <v>43</v>
      </c>
      <c r="G1513" s="160">
        <f t="shared" si="50"/>
        <v>4</v>
      </c>
      <c r="H1513" s="160">
        <f t="shared" si="51"/>
        <v>18</v>
      </c>
      <c r="I1513" s="160">
        <f t="shared" si="52"/>
        <v>34</v>
      </c>
      <c r="J1513" s="160">
        <f t="shared" si="53"/>
        <v>2</v>
      </c>
    </row>
    <row r="1514" spans="2:10" x14ac:dyDescent="0.35">
      <c r="B1514" s="160">
        <f t="shared" si="45"/>
        <v>27</v>
      </c>
      <c r="C1514" s="160">
        <f t="shared" si="46"/>
        <v>80</v>
      </c>
      <c r="D1514" s="160">
        <f t="shared" si="47"/>
        <v>4</v>
      </c>
      <c r="E1514" s="160">
        <f t="shared" si="48"/>
        <v>8</v>
      </c>
      <c r="F1514" s="160">
        <f t="shared" si="49"/>
        <v>42</v>
      </c>
      <c r="G1514" s="160">
        <f t="shared" si="50"/>
        <v>2</v>
      </c>
      <c r="H1514" s="160">
        <f t="shared" si="51"/>
        <v>11</v>
      </c>
      <c r="I1514" s="160">
        <f t="shared" si="52"/>
        <v>2</v>
      </c>
      <c r="J1514" s="160">
        <f t="shared" si="53"/>
        <v>1</v>
      </c>
    </row>
    <row r="1515" spans="2:10" x14ac:dyDescent="0.35">
      <c r="B1515" s="160">
        <f t="shared" si="45"/>
        <v>27</v>
      </c>
      <c r="C1515" s="160">
        <f t="shared" si="46"/>
        <v>80</v>
      </c>
      <c r="D1515" s="160">
        <f t="shared" si="47"/>
        <v>4</v>
      </c>
      <c r="E1515" s="160">
        <f t="shared" si="48"/>
        <v>8</v>
      </c>
      <c r="F1515" s="160">
        <f t="shared" si="49"/>
        <v>42</v>
      </c>
      <c r="G1515" s="160">
        <f t="shared" si="50"/>
        <v>4</v>
      </c>
      <c r="H1515" s="160">
        <f t="shared" si="51"/>
        <v>11</v>
      </c>
      <c r="I1515" s="160">
        <f t="shared" si="52"/>
        <v>2</v>
      </c>
      <c r="J1515" s="160">
        <f t="shared" si="53"/>
        <v>1</v>
      </c>
    </row>
    <row r="1516" spans="2:10" x14ac:dyDescent="0.35">
      <c r="B1516" s="160">
        <f t="shared" si="45"/>
        <v>27</v>
      </c>
      <c r="C1516" s="160">
        <f t="shared" si="46"/>
        <v>80</v>
      </c>
      <c r="D1516" s="160">
        <f t="shared" si="47"/>
        <v>4</v>
      </c>
      <c r="E1516" s="160">
        <f t="shared" si="48"/>
        <v>8</v>
      </c>
      <c r="F1516" s="160">
        <f t="shared" si="49"/>
        <v>43</v>
      </c>
      <c r="G1516" s="160">
        <f t="shared" si="50"/>
        <v>3</v>
      </c>
      <c r="H1516" s="160">
        <f t="shared" si="51"/>
        <v>2</v>
      </c>
      <c r="I1516" s="160">
        <f t="shared" si="52"/>
        <v>2</v>
      </c>
      <c r="J1516" s="160">
        <f t="shared" si="53"/>
        <v>1</v>
      </c>
    </row>
    <row r="1517" spans="2:10" x14ac:dyDescent="0.35">
      <c r="B1517" s="160">
        <f t="shared" si="45"/>
        <v>27</v>
      </c>
      <c r="C1517" s="160">
        <f t="shared" si="46"/>
        <v>80</v>
      </c>
      <c r="D1517" s="160">
        <f t="shared" si="47"/>
        <v>4</v>
      </c>
      <c r="E1517" s="160">
        <f t="shared" si="48"/>
        <v>8</v>
      </c>
      <c r="F1517" s="160">
        <f t="shared" si="49"/>
        <v>43</v>
      </c>
      <c r="G1517" s="160">
        <f t="shared" si="50"/>
        <v>5</v>
      </c>
      <c r="H1517" s="160">
        <f t="shared" si="51"/>
        <v>2</v>
      </c>
      <c r="I1517" s="160">
        <f t="shared" si="52"/>
        <v>2</v>
      </c>
      <c r="J1517" s="160">
        <f t="shared" si="53"/>
        <v>1</v>
      </c>
    </row>
    <row r="1518" spans="2:10" x14ac:dyDescent="0.35">
      <c r="B1518" s="160">
        <f t="shared" si="45"/>
        <v>27</v>
      </c>
      <c r="C1518" s="160">
        <f t="shared" si="46"/>
        <v>1</v>
      </c>
      <c r="D1518" s="160">
        <f t="shared" si="47"/>
        <v>4</v>
      </c>
      <c r="E1518" s="160">
        <f t="shared" si="48"/>
        <v>8</v>
      </c>
      <c r="F1518" s="160">
        <f t="shared" si="49"/>
        <v>25</v>
      </c>
      <c r="G1518" s="160">
        <f t="shared" si="50"/>
        <v>1</v>
      </c>
      <c r="H1518" s="160">
        <f t="shared" si="51"/>
        <v>2</v>
      </c>
      <c r="I1518" s="160">
        <f t="shared" si="52"/>
        <v>2</v>
      </c>
      <c r="J1518" s="160">
        <f t="shared" si="53"/>
        <v>2</v>
      </c>
    </row>
    <row r="1519" spans="2:10" x14ac:dyDescent="0.35">
      <c r="B1519" s="160">
        <f t="shared" si="45"/>
        <v>27</v>
      </c>
      <c r="C1519" s="160">
        <f t="shared" si="46"/>
        <v>1</v>
      </c>
      <c r="D1519" s="160">
        <f t="shared" si="47"/>
        <v>4</v>
      </c>
      <c r="E1519" s="160">
        <f t="shared" si="48"/>
        <v>8</v>
      </c>
      <c r="F1519" s="160">
        <f t="shared" si="49"/>
        <v>25</v>
      </c>
      <c r="G1519" s="160">
        <f t="shared" si="50"/>
        <v>3</v>
      </c>
      <c r="H1519" s="160">
        <f t="shared" si="51"/>
        <v>2</v>
      </c>
      <c r="I1519" s="160">
        <f t="shared" si="52"/>
        <v>2</v>
      </c>
      <c r="J1519" s="160">
        <f t="shared" si="53"/>
        <v>2</v>
      </c>
    </row>
    <row r="1520" spans="2:10" x14ac:dyDescent="0.35">
      <c r="B1520" s="160">
        <f t="shared" si="45"/>
        <v>27</v>
      </c>
      <c r="C1520" s="160">
        <f t="shared" si="46"/>
        <v>81</v>
      </c>
      <c r="D1520" s="160">
        <f t="shared" si="47"/>
        <v>3</v>
      </c>
      <c r="E1520" s="160">
        <f t="shared" si="48"/>
        <v>8</v>
      </c>
      <c r="F1520" s="160">
        <f t="shared" si="49"/>
        <v>48</v>
      </c>
      <c r="G1520" s="160">
        <f t="shared" si="50"/>
        <v>1</v>
      </c>
      <c r="H1520" s="160">
        <f t="shared" si="51"/>
        <v>11</v>
      </c>
      <c r="I1520" s="160">
        <f t="shared" si="52"/>
        <v>4</v>
      </c>
      <c r="J1520" s="160">
        <f t="shared" si="53"/>
        <v>2</v>
      </c>
    </row>
    <row r="1521" spans="2:10" x14ac:dyDescent="0.35">
      <c r="B1521" s="160">
        <f t="shared" si="45"/>
        <v>27</v>
      </c>
      <c r="C1521" s="160">
        <f t="shared" si="46"/>
        <v>81</v>
      </c>
      <c r="D1521" s="160">
        <f t="shared" si="47"/>
        <v>3</v>
      </c>
      <c r="E1521" s="160">
        <f t="shared" si="48"/>
        <v>8</v>
      </c>
      <c r="F1521" s="160">
        <f t="shared" si="49"/>
        <v>48</v>
      </c>
      <c r="G1521" s="160">
        <f t="shared" si="50"/>
        <v>3</v>
      </c>
      <c r="H1521" s="160">
        <f t="shared" si="51"/>
        <v>11</v>
      </c>
      <c r="I1521" s="160">
        <f t="shared" si="52"/>
        <v>17</v>
      </c>
      <c r="J1521" s="160">
        <f t="shared" si="53"/>
        <v>2</v>
      </c>
    </row>
    <row r="1522" spans="2:10" x14ac:dyDescent="0.35">
      <c r="B1522" s="160">
        <f t="shared" si="45"/>
        <v>27</v>
      </c>
      <c r="C1522" s="160">
        <f t="shared" si="46"/>
        <v>81</v>
      </c>
      <c r="D1522" s="160">
        <f t="shared" si="47"/>
        <v>3</v>
      </c>
      <c r="E1522" s="160">
        <f t="shared" si="48"/>
        <v>8</v>
      </c>
      <c r="F1522" s="160">
        <f t="shared" si="49"/>
        <v>49</v>
      </c>
      <c r="G1522" s="160">
        <f t="shared" si="50"/>
        <v>2</v>
      </c>
      <c r="H1522" s="160">
        <f t="shared" si="51"/>
        <v>2</v>
      </c>
      <c r="I1522" s="160">
        <f t="shared" si="52"/>
        <v>1</v>
      </c>
      <c r="J1522" s="160">
        <f t="shared" si="53"/>
        <v>2</v>
      </c>
    </row>
    <row r="1523" spans="2:10" x14ac:dyDescent="0.35">
      <c r="B1523" s="160">
        <f t="shared" si="45"/>
        <v>27</v>
      </c>
      <c r="C1523" s="160">
        <f t="shared" si="46"/>
        <v>81</v>
      </c>
      <c r="D1523" s="160">
        <f t="shared" si="47"/>
        <v>3</v>
      </c>
      <c r="E1523" s="160">
        <f t="shared" si="48"/>
        <v>8</v>
      </c>
      <c r="F1523" s="160">
        <f t="shared" si="49"/>
        <v>49</v>
      </c>
      <c r="G1523" s="160">
        <f t="shared" si="50"/>
        <v>4</v>
      </c>
      <c r="H1523" s="160">
        <f t="shared" si="51"/>
        <v>8</v>
      </c>
      <c r="I1523" s="160">
        <f t="shared" si="52"/>
        <v>1</v>
      </c>
      <c r="J1523" s="160">
        <f t="shared" si="53"/>
        <v>2</v>
      </c>
    </row>
    <row r="1524" spans="2:10" x14ac:dyDescent="0.35">
      <c r="B1524" s="160">
        <f t="shared" si="45"/>
        <v>27</v>
      </c>
      <c r="C1524" s="160">
        <f t="shared" si="46"/>
        <v>81</v>
      </c>
      <c r="D1524" s="160">
        <f t="shared" si="47"/>
        <v>3</v>
      </c>
      <c r="E1524" s="160">
        <f t="shared" si="48"/>
        <v>8</v>
      </c>
      <c r="F1524" s="160">
        <f t="shared" si="49"/>
        <v>50</v>
      </c>
      <c r="G1524" s="160">
        <f t="shared" si="50"/>
        <v>2</v>
      </c>
      <c r="H1524" s="160">
        <f t="shared" si="51"/>
        <v>20</v>
      </c>
      <c r="I1524" s="160">
        <f t="shared" si="52"/>
        <v>4</v>
      </c>
      <c r="J1524" s="160">
        <f t="shared" si="53"/>
        <v>2</v>
      </c>
    </row>
    <row r="1525" spans="2:10" x14ac:dyDescent="0.35">
      <c r="B1525" s="160">
        <f t="shared" si="45"/>
        <v>27</v>
      </c>
      <c r="C1525" s="160">
        <f t="shared" si="46"/>
        <v>81</v>
      </c>
      <c r="D1525" s="160">
        <f t="shared" si="47"/>
        <v>3</v>
      </c>
      <c r="E1525" s="160">
        <f t="shared" si="48"/>
        <v>8</v>
      </c>
      <c r="F1525" s="160">
        <f t="shared" si="49"/>
        <v>50</v>
      </c>
      <c r="G1525" s="160">
        <f t="shared" si="50"/>
        <v>4</v>
      </c>
      <c r="H1525" s="160">
        <f t="shared" si="51"/>
        <v>20</v>
      </c>
      <c r="I1525" s="160">
        <f t="shared" si="52"/>
        <v>1</v>
      </c>
      <c r="J1525" s="160">
        <f t="shared" si="53"/>
        <v>2</v>
      </c>
    </row>
    <row r="1526" spans="2:10" x14ac:dyDescent="0.35">
      <c r="B1526" s="160">
        <f t="shared" si="45"/>
        <v>27</v>
      </c>
      <c r="C1526" s="160">
        <f t="shared" si="46"/>
        <v>81</v>
      </c>
      <c r="D1526" s="160">
        <f t="shared" si="47"/>
        <v>3</v>
      </c>
      <c r="E1526" s="160">
        <f t="shared" si="48"/>
        <v>8</v>
      </c>
      <c r="F1526" s="160">
        <f t="shared" si="49"/>
        <v>51</v>
      </c>
      <c r="G1526" s="160">
        <f t="shared" si="50"/>
        <v>2</v>
      </c>
      <c r="H1526" s="160">
        <f t="shared" si="51"/>
        <v>20</v>
      </c>
      <c r="I1526" s="160">
        <f t="shared" si="52"/>
        <v>1</v>
      </c>
      <c r="J1526" s="160">
        <f t="shared" si="53"/>
        <v>2</v>
      </c>
    </row>
    <row r="1527" spans="2:10" x14ac:dyDescent="0.35">
      <c r="B1527" s="160">
        <f t="shared" si="45"/>
        <v>27</v>
      </c>
      <c r="C1527" s="160">
        <f t="shared" si="46"/>
        <v>81</v>
      </c>
      <c r="D1527" s="160">
        <f t="shared" si="47"/>
        <v>3</v>
      </c>
      <c r="E1527" s="160">
        <f t="shared" si="48"/>
        <v>8</v>
      </c>
      <c r="F1527" s="160">
        <f t="shared" si="49"/>
        <v>51</v>
      </c>
      <c r="G1527" s="160">
        <f t="shared" si="50"/>
        <v>5</v>
      </c>
      <c r="H1527" s="160">
        <f t="shared" si="51"/>
        <v>2</v>
      </c>
      <c r="I1527" s="160">
        <f t="shared" si="52"/>
        <v>1</v>
      </c>
      <c r="J1527" s="160">
        <f t="shared" si="53"/>
        <v>2</v>
      </c>
    </row>
    <row r="1528" spans="2:10" x14ac:dyDescent="0.35">
      <c r="B1528" s="160">
        <f t="shared" si="45"/>
        <v>28</v>
      </c>
      <c r="C1528" s="160">
        <f t="shared" si="46"/>
        <v>11</v>
      </c>
      <c r="D1528" s="160">
        <f t="shared" si="47"/>
        <v>4</v>
      </c>
      <c r="E1528" s="160">
        <f t="shared" si="48"/>
        <v>18</v>
      </c>
      <c r="F1528" s="160">
        <f t="shared" si="49"/>
        <v>49</v>
      </c>
      <c r="G1528" s="160">
        <f t="shared" si="50"/>
        <v>1</v>
      </c>
      <c r="H1528" s="160">
        <f t="shared" si="51"/>
        <v>11</v>
      </c>
      <c r="I1528" s="160">
        <f t="shared" si="52"/>
        <v>17</v>
      </c>
      <c r="J1528" s="160">
        <f t="shared" si="53"/>
        <v>2</v>
      </c>
    </row>
    <row r="1529" spans="2:10" x14ac:dyDescent="0.35">
      <c r="B1529" s="160">
        <f t="shared" si="45"/>
        <v>28</v>
      </c>
      <c r="C1529" s="160">
        <f t="shared" si="46"/>
        <v>11</v>
      </c>
      <c r="D1529" s="160">
        <f t="shared" si="47"/>
        <v>4</v>
      </c>
      <c r="E1529" s="160">
        <f t="shared" si="48"/>
        <v>18</v>
      </c>
      <c r="F1529" s="160">
        <f t="shared" si="49"/>
        <v>49</v>
      </c>
      <c r="G1529" s="160">
        <f t="shared" si="50"/>
        <v>2</v>
      </c>
      <c r="H1529" s="160">
        <f t="shared" si="51"/>
        <v>11</v>
      </c>
      <c r="I1529" s="160">
        <f t="shared" si="52"/>
        <v>1</v>
      </c>
      <c r="J1529" s="160">
        <f t="shared" si="53"/>
        <v>2</v>
      </c>
    </row>
    <row r="1530" spans="2:10" x14ac:dyDescent="0.35">
      <c r="B1530" s="160">
        <f t="shared" si="45"/>
        <v>28</v>
      </c>
      <c r="C1530" s="160">
        <f t="shared" si="46"/>
        <v>59</v>
      </c>
      <c r="D1530" s="160">
        <f t="shared" si="47"/>
        <v>4</v>
      </c>
      <c r="E1530" s="160">
        <f t="shared" si="48"/>
        <v>10</v>
      </c>
      <c r="F1530" s="160">
        <f t="shared" si="49"/>
        <v>25</v>
      </c>
      <c r="G1530" s="160">
        <f t="shared" si="50"/>
        <v>1</v>
      </c>
      <c r="H1530" s="160">
        <f t="shared" si="51"/>
        <v>20</v>
      </c>
      <c r="I1530" s="160">
        <f t="shared" si="52"/>
        <v>38</v>
      </c>
      <c r="J1530" s="160">
        <f t="shared" si="53"/>
        <v>2</v>
      </c>
    </row>
    <row r="1531" spans="2:10" x14ac:dyDescent="0.35">
      <c r="B1531" s="160">
        <f t="shared" si="45"/>
        <v>28</v>
      </c>
      <c r="C1531" s="160">
        <f t="shared" si="46"/>
        <v>59</v>
      </c>
      <c r="D1531" s="160">
        <f t="shared" si="47"/>
        <v>4</v>
      </c>
      <c r="E1531" s="160">
        <f t="shared" si="48"/>
        <v>10</v>
      </c>
      <c r="F1531" s="160">
        <f t="shared" si="49"/>
        <v>25</v>
      </c>
      <c r="G1531" s="160">
        <f t="shared" si="50"/>
        <v>5</v>
      </c>
      <c r="H1531" s="160">
        <f t="shared" si="51"/>
        <v>2</v>
      </c>
      <c r="I1531" s="160">
        <f t="shared" si="52"/>
        <v>38</v>
      </c>
      <c r="J1531" s="160">
        <f t="shared" si="53"/>
        <v>2</v>
      </c>
    </row>
    <row r="1532" spans="2:10" x14ac:dyDescent="0.35">
      <c r="B1532" s="160">
        <f t="shared" si="45"/>
        <v>28</v>
      </c>
      <c r="C1532" s="160">
        <f t="shared" si="46"/>
        <v>11</v>
      </c>
      <c r="D1532" s="160">
        <f t="shared" si="47"/>
        <v>4</v>
      </c>
      <c r="E1532" s="160">
        <f t="shared" si="48"/>
        <v>10</v>
      </c>
      <c r="F1532" s="160">
        <f t="shared" si="49"/>
        <v>25</v>
      </c>
      <c r="G1532" s="160">
        <f t="shared" si="50"/>
        <v>1</v>
      </c>
      <c r="H1532" s="160">
        <f t="shared" si="51"/>
        <v>2</v>
      </c>
      <c r="I1532" s="160">
        <f t="shared" si="52"/>
        <v>31</v>
      </c>
      <c r="J1532" s="160">
        <f t="shared" si="53"/>
        <v>2</v>
      </c>
    </row>
    <row r="1533" spans="2:10" x14ac:dyDescent="0.35">
      <c r="B1533" s="160">
        <f t="shared" si="45"/>
        <v>28</v>
      </c>
      <c r="C1533" s="160">
        <f t="shared" si="46"/>
        <v>11</v>
      </c>
      <c r="D1533" s="160">
        <f t="shared" si="47"/>
        <v>4</v>
      </c>
      <c r="E1533" s="160">
        <f t="shared" si="48"/>
        <v>10</v>
      </c>
      <c r="F1533" s="160">
        <f t="shared" si="49"/>
        <v>25</v>
      </c>
      <c r="G1533" s="160">
        <f t="shared" si="50"/>
        <v>2</v>
      </c>
      <c r="H1533" s="160">
        <f t="shared" si="51"/>
        <v>2</v>
      </c>
      <c r="I1533" s="160">
        <f t="shared" si="52"/>
        <v>38</v>
      </c>
      <c r="J1533" s="160">
        <f t="shared" si="53"/>
        <v>2</v>
      </c>
    </row>
    <row r="1534" spans="2:10" x14ac:dyDescent="0.35">
      <c r="B1534" s="160">
        <f t="shared" si="45"/>
        <v>28</v>
      </c>
      <c r="C1534" s="160">
        <f t="shared" si="46"/>
        <v>11</v>
      </c>
      <c r="D1534" s="160">
        <f t="shared" si="47"/>
        <v>4</v>
      </c>
      <c r="E1534" s="160">
        <f t="shared" si="48"/>
        <v>10</v>
      </c>
      <c r="F1534" s="160">
        <f t="shared" si="49"/>
        <v>50</v>
      </c>
      <c r="G1534" s="160">
        <f t="shared" si="50"/>
        <v>1</v>
      </c>
      <c r="H1534" s="160">
        <f t="shared" si="51"/>
        <v>11</v>
      </c>
      <c r="I1534" s="160">
        <f t="shared" si="52"/>
        <v>8</v>
      </c>
      <c r="J1534" s="160">
        <f t="shared" si="53"/>
        <v>1</v>
      </c>
    </row>
    <row r="1535" spans="2:10" x14ac:dyDescent="0.35">
      <c r="B1535" s="160">
        <f t="shared" si="45"/>
        <v>28</v>
      </c>
      <c r="C1535" s="160">
        <f t="shared" si="46"/>
        <v>11</v>
      </c>
      <c r="D1535" s="160">
        <f t="shared" si="47"/>
        <v>4</v>
      </c>
      <c r="E1535" s="160">
        <f t="shared" si="48"/>
        <v>10</v>
      </c>
      <c r="F1535" s="160">
        <f t="shared" si="49"/>
        <v>50</v>
      </c>
      <c r="G1535" s="160">
        <f t="shared" si="50"/>
        <v>5</v>
      </c>
      <c r="H1535" s="160">
        <f t="shared" si="51"/>
        <v>8</v>
      </c>
      <c r="I1535" s="160">
        <f t="shared" si="52"/>
        <v>22</v>
      </c>
      <c r="J1535" s="160">
        <f t="shared" si="53"/>
        <v>1</v>
      </c>
    </row>
    <row r="1536" spans="2:10" x14ac:dyDescent="0.35">
      <c r="B1536" s="160">
        <f t="shared" si="45"/>
        <v>29</v>
      </c>
      <c r="C1536" s="160">
        <f t="shared" si="46"/>
        <v>63</v>
      </c>
      <c r="D1536" s="160">
        <f t="shared" si="47"/>
        <v>4</v>
      </c>
      <c r="E1536" s="160">
        <f t="shared" si="48"/>
        <v>15</v>
      </c>
      <c r="F1536" s="160">
        <f t="shared" si="49"/>
        <v>45</v>
      </c>
      <c r="G1536" s="160">
        <f t="shared" si="50"/>
        <v>1</v>
      </c>
      <c r="H1536" s="160">
        <f t="shared" si="51"/>
        <v>20</v>
      </c>
      <c r="I1536" s="160">
        <f t="shared" si="52"/>
        <v>36</v>
      </c>
      <c r="J1536" s="160">
        <f t="shared" si="53"/>
        <v>2</v>
      </c>
    </row>
    <row r="1537" spans="2:10" x14ac:dyDescent="0.35">
      <c r="B1537" s="160">
        <f t="shared" si="45"/>
        <v>29</v>
      </c>
      <c r="C1537" s="160">
        <f t="shared" si="46"/>
        <v>63</v>
      </c>
      <c r="D1537" s="160">
        <f t="shared" si="47"/>
        <v>4</v>
      </c>
      <c r="E1537" s="160">
        <f t="shared" si="48"/>
        <v>15</v>
      </c>
      <c r="F1537" s="160">
        <f t="shared" si="49"/>
        <v>45</v>
      </c>
      <c r="G1537" s="160">
        <f t="shared" si="50"/>
        <v>5</v>
      </c>
      <c r="H1537" s="160">
        <f t="shared" si="51"/>
        <v>20</v>
      </c>
      <c r="I1537" s="160">
        <f t="shared" si="52"/>
        <v>30</v>
      </c>
      <c r="J1537" s="160">
        <f t="shared" si="53"/>
        <v>2</v>
      </c>
    </row>
    <row r="1538" spans="2:10" x14ac:dyDescent="0.35">
      <c r="B1538" s="160">
        <f t="shared" si="45"/>
        <v>29</v>
      </c>
      <c r="C1538" s="160">
        <f t="shared" si="46"/>
        <v>15</v>
      </c>
      <c r="D1538" s="160">
        <f t="shared" si="47"/>
        <v>3</v>
      </c>
      <c r="E1538" s="160">
        <f t="shared" si="48"/>
        <v>15</v>
      </c>
      <c r="F1538" s="160">
        <f t="shared" si="49"/>
        <v>29</v>
      </c>
      <c r="G1538" s="160">
        <f t="shared" si="50"/>
        <v>1</v>
      </c>
      <c r="H1538" s="160">
        <f t="shared" si="51"/>
        <v>1</v>
      </c>
      <c r="I1538" s="160">
        <f t="shared" si="52"/>
        <v>11</v>
      </c>
      <c r="J1538" s="160">
        <f t="shared" si="53"/>
        <v>1</v>
      </c>
    </row>
    <row r="1539" spans="2:10" x14ac:dyDescent="0.35">
      <c r="B1539" s="160">
        <f t="shared" si="45"/>
        <v>29</v>
      </c>
      <c r="C1539" s="160">
        <f t="shared" si="46"/>
        <v>15</v>
      </c>
      <c r="D1539" s="160">
        <f t="shared" si="47"/>
        <v>3</v>
      </c>
      <c r="E1539" s="160">
        <f t="shared" si="48"/>
        <v>15</v>
      </c>
      <c r="F1539" s="160">
        <f t="shared" si="49"/>
        <v>29</v>
      </c>
      <c r="G1539" s="160">
        <f t="shared" si="50"/>
        <v>4</v>
      </c>
      <c r="H1539" s="160">
        <f t="shared" si="51"/>
        <v>10</v>
      </c>
      <c r="I1539" s="160">
        <f t="shared" si="52"/>
        <v>33</v>
      </c>
      <c r="J1539" s="160">
        <f t="shared" si="53"/>
        <v>1</v>
      </c>
    </row>
    <row r="1540" spans="2:10" x14ac:dyDescent="0.35">
      <c r="B1540" s="160">
        <f t="shared" si="45"/>
        <v>29</v>
      </c>
      <c r="C1540" s="160">
        <f t="shared" si="46"/>
        <v>69</v>
      </c>
      <c r="D1540" s="160">
        <f t="shared" si="47"/>
        <v>3</v>
      </c>
      <c r="E1540" s="160">
        <f t="shared" si="48"/>
        <v>15</v>
      </c>
      <c r="F1540" s="160">
        <f t="shared" si="49"/>
        <v>28</v>
      </c>
      <c r="G1540" s="160">
        <f t="shared" si="50"/>
        <v>2</v>
      </c>
      <c r="H1540" s="160">
        <f t="shared" si="51"/>
        <v>4</v>
      </c>
      <c r="I1540" s="160">
        <f t="shared" si="52"/>
        <v>36</v>
      </c>
      <c r="J1540" s="160">
        <f t="shared" si="53"/>
        <v>1</v>
      </c>
    </row>
    <row r="1541" spans="2:10" x14ac:dyDescent="0.35">
      <c r="B1541" s="160">
        <f t="shared" si="45"/>
        <v>29</v>
      </c>
      <c r="C1541" s="160">
        <f t="shared" si="46"/>
        <v>69</v>
      </c>
      <c r="D1541" s="160">
        <f t="shared" si="47"/>
        <v>3</v>
      </c>
      <c r="E1541" s="160">
        <f t="shared" si="48"/>
        <v>15</v>
      </c>
      <c r="F1541" s="160">
        <f t="shared" si="49"/>
        <v>28</v>
      </c>
      <c r="G1541" s="160">
        <f t="shared" si="50"/>
        <v>5</v>
      </c>
      <c r="H1541" s="160">
        <f t="shared" si="51"/>
        <v>1</v>
      </c>
      <c r="I1541" s="160">
        <f t="shared" si="52"/>
        <v>30</v>
      </c>
      <c r="J1541" s="160">
        <f t="shared" si="53"/>
        <v>1</v>
      </c>
    </row>
    <row r="1542" spans="2:10" x14ac:dyDescent="0.35">
      <c r="B1542" s="160">
        <f t="shared" si="45"/>
        <v>29</v>
      </c>
      <c r="C1542" s="160">
        <f t="shared" si="46"/>
        <v>25</v>
      </c>
      <c r="D1542" s="160">
        <f t="shared" si="47"/>
        <v>2</v>
      </c>
      <c r="E1542" s="160">
        <f t="shared" si="48"/>
        <v>13</v>
      </c>
      <c r="F1542" s="160">
        <f t="shared" si="49"/>
        <v>52</v>
      </c>
      <c r="G1542" s="160">
        <f t="shared" si="50"/>
        <v>1</v>
      </c>
      <c r="H1542" s="160">
        <f t="shared" si="51"/>
        <v>1</v>
      </c>
      <c r="I1542" s="160">
        <f t="shared" si="52"/>
        <v>85</v>
      </c>
      <c r="J1542" s="160">
        <f t="shared" si="53"/>
        <v>1</v>
      </c>
    </row>
    <row r="1543" spans="2:10" x14ac:dyDescent="0.35">
      <c r="B1543" s="160">
        <f t="shared" si="45"/>
        <v>29</v>
      </c>
      <c r="C1543" s="160">
        <f t="shared" si="46"/>
        <v>25</v>
      </c>
      <c r="D1543" s="160">
        <f t="shared" si="47"/>
        <v>2</v>
      </c>
      <c r="E1543" s="160">
        <f t="shared" si="48"/>
        <v>13</v>
      </c>
      <c r="F1543" s="160">
        <f t="shared" si="49"/>
        <v>52</v>
      </c>
      <c r="G1543" s="160">
        <f t="shared" si="50"/>
        <v>3</v>
      </c>
      <c r="H1543" s="160">
        <f t="shared" si="51"/>
        <v>1</v>
      </c>
      <c r="I1543" s="160">
        <f t="shared" si="52"/>
        <v>86</v>
      </c>
      <c r="J1543" s="160">
        <f t="shared" si="53"/>
        <v>1</v>
      </c>
    </row>
    <row r="1544" spans="2:10" x14ac:dyDescent="0.35">
      <c r="B1544" s="160">
        <f t="shared" si="45"/>
        <v>29</v>
      </c>
      <c r="C1544" s="160">
        <f t="shared" si="46"/>
        <v>24</v>
      </c>
      <c r="D1544" s="160">
        <f t="shared" si="47"/>
        <v>2</v>
      </c>
      <c r="E1544" s="160">
        <f t="shared" si="48"/>
        <v>9</v>
      </c>
      <c r="F1544" s="160">
        <f t="shared" si="49"/>
        <v>50</v>
      </c>
      <c r="G1544" s="160">
        <f t="shared" si="50"/>
        <v>2</v>
      </c>
      <c r="H1544" s="160">
        <f t="shared" si="51"/>
        <v>23</v>
      </c>
      <c r="I1544" s="160">
        <f t="shared" si="52"/>
        <v>89</v>
      </c>
      <c r="J1544" s="160">
        <f t="shared" si="53"/>
        <v>1</v>
      </c>
    </row>
    <row r="1545" spans="2:10" x14ac:dyDescent="0.35">
      <c r="B1545" s="160">
        <f t="shared" si="45"/>
        <v>29</v>
      </c>
      <c r="C1545" s="160">
        <f t="shared" si="46"/>
        <v>24</v>
      </c>
      <c r="D1545" s="160">
        <f t="shared" si="47"/>
        <v>2</v>
      </c>
      <c r="E1545" s="160">
        <f t="shared" si="48"/>
        <v>9</v>
      </c>
      <c r="F1545" s="160">
        <f t="shared" si="49"/>
        <v>50</v>
      </c>
      <c r="G1545" s="160">
        <f t="shared" si="50"/>
        <v>4</v>
      </c>
      <c r="H1545" s="160">
        <f t="shared" si="51"/>
        <v>1</v>
      </c>
      <c r="I1545" s="160">
        <f t="shared" si="52"/>
        <v>89</v>
      </c>
      <c r="J1545" s="160">
        <f t="shared" si="53"/>
        <v>1</v>
      </c>
    </row>
    <row r="1546" spans="2:10" x14ac:dyDescent="0.35">
      <c r="B1546" s="160">
        <f t="shared" si="45"/>
        <v>29</v>
      </c>
      <c r="C1546" s="160">
        <f t="shared" si="46"/>
        <v>25</v>
      </c>
      <c r="D1546" s="160">
        <f t="shared" si="47"/>
        <v>2</v>
      </c>
      <c r="E1546" s="160">
        <f t="shared" si="48"/>
        <v>12</v>
      </c>
      <c r="F1546" s="160">
        <f t="shared" si="49"/>
        <v>48</v>
      </c>
      <c r="G1546" s="160">
        <f t="shared" si="50"/>
        <v>3</v>
      </c>
      <c r="H1546" s="160">
        <f t="shared" si="51"/>
        <v>20</v>
      </c>
      <c r="I1546" s="160">
        <f t="shared" si="52"/>
        <v>71</v>
      </c>
      <c r="J1546" s="160">
        <f t="shared" si="53"/>
        <v>1</v>
      </c>
    </row>
    <row r="1547" spans="2:10" x14ac:dyDescent="0.35">
      <c r="B1547" s="160">
        <f t="shared" si="45"/>
        <v>29</v>
      </c>
      <c r="C1547" s="160">
        <f t="shared" si="46"/>
        <v>25</v>
      </c>
      <c r="D1547" s="160">
        <f t="shared" si="47"/>
        <v>2</v>
      </c>
      <c r="E1547" s="160">
        <f t="shared" si="48"/>
        <v>12</v>
      </c>
      <c r="F1547" s="160">
        <f t="shared" si="49"/>
        <v>48</v>
      </c>
      <c r="G1547" s="160">
        <f t="shared" si="50"/>
        <v>5</v>
      </c>
      <c r="H1547" s="160">
        <f t="shared" si="51"/>
        <v>2</v>
      </c>
      <c r="I1547" s="160">
        <f t="shared" si="52"/>
        <v>69</v>
      </c>
      <c r="J1547" s="160">
        <f t="shared" si="53"/>
        <v>1</v>
      </c>
    </row>
    <row r="1548" spans="2:10" x14ac:dyDescent="0.35">
      <c r="B1548" s="160">
        <f t="shared" si="45"/>
        <v>29</v>
      </c>
      <c r="C1548" s="160">
        <f t="shared" si="46"/>
        <v>24</v>
      </c>
      <c r="D1548" s="160">
        <f t="shared" si="47"/>
        <v>2</v>
      </c>
      <c r="E1548" s="160">
        <f t="shared" si="48"/>
        <v>12</v>
      </c>
      <c r="F1548" s="160">
        <f t="shared" si="49"/>
        <v>51</v>
      </c>
      <c r="G1548" s="160">
        <f t="shared" si="50"/>
        <v>4</v>
      </c>
      <c r="H1548" s="160">
        <f t="shared" si="51"/>
        <v>23</v>
      </c>
      <c r="I1548" s="160">
        <f t="shared" si="52"/>
        <v>7</v>
      </c>
      <c r="J1548" s="160">
        <f t="shared" si="53"/>
        <v>1</v>
      </c>
    </row>
    <row r="1549" spans="2:10" x14ac:dyDescent="0.35">
      <c r="B1549" s="160">
        <f t="shared" si="45"/>
        <v>29</v>
      </c>
      <c r="C1549" s="160">
        <f t="shared" si="46"/>
        <v>24</v>
      </c>
      <c r="D1549" s="160">
        <f t="shared" si="47"/>
        <v>2</v>
      </c>
      <c r="E1549" s="160">
        <f t="shared" si="48"/>
        <v>12</v>
      </c>
      <c r="F1549" s="160">
        <f t="shared" si="49"/>
        <v>51</v>
      </c>
      <c r="G1549" s="160">
        <f t="shared" si="50"/>
        <v>5</v>
      </c>
      <c r="H1549" s="160">
        <f t="shared" si="51"/>
        <v>23</v>
      </c>
      <c r="I1549" s="160">
        <f t="shared" si="52"/>
        <v>7</v>
      </c>
      <c r="J1549" s="160">
        <f t="shared" si="53"/>
        <v>1</v>
      </c>
    </row>
    <row r="1550" spans="2:10" x14ac:dyDescent="0.35">
      <c r="B1550" s="160">
        <f t="shared" si="45"/>
        <v>29</v>
      </c>
      <c r="C1550" s="160">
        <f t="shared" si="46"/>
        <v>46</v>
      </c>
      <c r="D1550" s="160">
        <f t="shared" si="47"/>
        <v>4</v>
      </c>
      <c r="E1550" s="160">
        <f t="shared" si="48"/>
        <v>15</v>
      </c>
      <c r="F1550" s="160">
        <f t="shared" si="49"/>
        <v>13</v>
      </c>
      <c r="G1550" s="160">
        <f t="shared" si="50"/>
        <v>5</v>
      </c>
      <c r="H1550" s="160">
        <f t="shared" si="51"/>
        <v>25</v>
      </c>
      <c r="I1550" s="160">
        <f t="shared" si="52"/>
        <v>52</v>
      </c>
      <c r="J1550" s="160">
        <f t="shared" si="53"/>
        <v>3</v>
      </c>
    </row>
    <row r="1551" spans="2:10" x14ac:dyDescent="0.35">
      <c r="B1551" s="160">
        <f t="shared" si="45"/>
        <v>30</v>
      </c>
      <c r="C1551" s="160">
        <f t="shared" si="46"/>
        <v>78</v>
      </c>
      <c r="D1551" s="160">
        <f t="shared" si="47"/>
        <v>3</v>
      </c>
      <c r="E1551" s="160">
        <f t="shared" si="48"/>
        <v>4</v>
      </c>
      <c r="F1551" s="160">
        <f t="shared" si="49"/>
        <v>48</v>
      </c>
      <c r="G1551" s="160">
        <f t="shared" si="50"/>
        <v>1</v>
      </c>
      <c r="H1551" s="160">
        <f t="shared" si="51"/>
        <v>19</v>
      </c>
      <c r="I1551" s="160">
        <f t="shared" si="52"/>
        <v>52</v>
      </c>
      <c r="J1551" s="160">
        <f t="shared" si="53"/>
        <v>2</v>
      </c>
    </row>
    <row r="1552" spans="2:10" x14ac:dyDescent="0.35">
      <c r="B1552" s="160">
        <f t="shared" si="45"/>
        <v>30</v>
      </c>
      <c r="C1552" s="160">
        <f t="shared" si="46"/>
        <v>78</v>
      </c>
      <c r="D1552" s="160">
        <f t="shared" si="47"/>
        <v>3</v>
      </c>
      <c r="E1552" s="160">
        <f t="shared" si="48"/>
        <v>4</v>
      </c>
      <c r="F1552" s="160">
        <f t="shared" si="49"/>
        <v>48</v>
      </c>
      <c r="G1552" s="160">
        <f t="shared" si="50"/>
        <v>4</v>
      </c>
      <c r="H1552" s="160">
        <f t="shared" si="51"/>
        <v>1</v>
      </c>
      <c r="I1552" s="160">
        <f t="shared" si="52"/>
        <v>51</v>
      </c>
      <c r="J1552" s="160">
        <f t="shared" si="53"/>
        <v>2</v>
      </c>
    </row>
    <row r="1553" spans="2:10" x14ac:dyDescent="0.35">
      <c r="B1553" s="160">
        <f t="shared" si="45"/>
        <v>30</v>
      </c>
      <c r="C1553" s="160">
        <f t="shared" si="46"/>
        <v>78</v>
      </c>
      <c r="D1553" s="160">
        <f t="shared" si="47"/>
        <v>3</v>
      </c>
      <c r="E1553" s="160">
        <f t="shared" si="48"/>
        <v>15</v>
      </c>
      <c r="F1553" s="160">
        <f t="shared" si="49"/>
        <v>48</v>
      </c>
      <c r="G1553" s="160">
        <f t="shared" si="50"/>
        <v>1</v>
      </c>
      <c r="H1553" s="160">
        <f t="shared" si="51"/>
        <v>7</v>
      </c>
      <c r="I1553" s="160">
        <f t="shared" si="52"/>
        <v>51</v>
      </c>
      <c r="J1553" s="160">
        <f t="shared" si="53"/>
        <v>2</v>
      </c>
    </row>
    <row r="1554" spans="2:10" x14ac:dyDescent="0.35">
      <c r="B1554" s="160">
        <f t="shared" si="45"/>
        <v>30</v>
      </c>
      <c r="C1554" s="160">
        <f t="shared" si="46"/>
        <v>78</v>
      </c>
      <c r="D1554" s="160">
        <f t="shared" si="47"/>
        <v>3</v>
      </c>
      <c r="E1554" s="160">
        <f t="shared" si="48"/>
        <v>15</v>
      </c>
      <c r="F1554" s="160">
        <f t="shared" si="49"/>
        <v>48</v>
      </c>
      <c r="G1554" s="160">
        <f t="shared" si="50"/>
        <v>4</v>
      </c>
      <c r="H1554" s="160">
        <f t="shared" si="51"/>
        <v>19</v>
      </c>
      <c r="I1554" s="160">
        <f t="shared" si="52"/>
        <v>51</v>
      </c>
      <c r="J1554" s="160">
        <f t="shared" si="53"/>
        <v>2</v>
      </c>
    </row>
    <row r="1555" spans="2:10" x14ac:dyDescent="0.35">
      <c r="B1555" s="160">
        <f t="shared" si="45"/>
        <v>30</v>
      </c>
      <c r="C1555" s="160">
        <f t="shared" si="46"/>
        <v>78</v>
      </c>
      <c r="D1555" s="160">
        <f t="shared" si="47"/>
        <v>3</v>
      </c>
      <c r="E1555" s="160">
        <f t="shared" si="48"/>
        <v>15</v>
      </c>
      <c r="F1555" s="160">
        <f t="shared" si="49"/>
        <v>49</v>
      </c>
      <c r="G1555" s="160">
        <f t="shared" si="50"/>
        <v>1</v>
      </c>
      <c r="H1555" s="160">
        <f t="shared" si="51"/>
        <v>1</v>
      </c>
      <c r="I1555" s="160">
        <f t="shared" si="52"/>
        <v>35</v>
      </c>
      <c r="J1555" s="160">
        <f t="shared" si="53"/>
        <v>2</v>
      </c>
    </row>
    <row r="1556" spans="2:10" x14ac:dyDescent="0.35">
      <c r="B1556" s="160">
        <f t="shared" si="45"/>
        <v>30</v>
      </c>
      <c r="C1556" s="160">
        <f t="shared" si="46"/>
        <v>78</v>
      </c>
      <c r="D1556" s="160">
        <f t="shared" si="47"/>
        <v>3</v>
      </c>
      <c r="E1556" s="160">
        <f t="shared" si="48"/>
        <v>15</v>
      </c>
      <c r="F1556" s="160">
        <f t="shared" si="49"/>
        <v>49</v>
      </c>
      <c r="G1556" s="160">
        <f t="shared" si="50"/>
        <v>4</v>
      </c>
      <c r="H1556" s="160">
        <f t="shared" si="51"/>
        <v>23</v>
      </c>
      <c r="I1556" s="160">
        <f t="shared" si="52"/>
        <v>48</v>
      </c>
      <c r="J1556" s="160">
        <f t="shared" si="53"/>
        <v>2</v>
      </c>
    </row>
    <row r="1557" spans="2:10" x14ac:dyDescent="0.35">
      <c r="B1557" s="160">
        <f t="shared" si="45"/>
        <v>30</v>
      </c>
      <c r="C1557" s="160">
        <f t="shared" si="46"/>
        <v>24</v>
      </c>
      <c r="D1557" s="160">
        <f t="shared" si="47"/>
        <v>2</v>
      </c>
      <c r="E1557" s="160">
        <f t="shared" si="48"/>
        <v>9</v>
      </c>
      <c r="F1557" s="160">
        <f t="shared" si="49"/>
        <v>48</v>
      </c>
      <c r="G1557" s="160">
        <f t="shared" si="50"/>
        <v>2</v>
      </c>
      <c r="H1557" s="160">
        <f t="shared" si="51"/>
        <v>23</v>
      </c>
      <c r="I1557" s="160">
        <f t="shared" si="52"/>
        <v>88</v>
      </c>
      <c r="J1557" s="160">
        <f t="shared" si="53"/>
        <v>1</v>
      </c>
    </row>
    <row r="1558" spans="2:10" x14ac:dyDescent="0.35">
      <c r="B1558" s="160">
        <f t="shared" si="45"/>
        <v>30</v>
      </c>
      <c r="C1558" s="160">
        <f t="shared" si="46"/>
        <v>24</v>
      </c>
      <c r="D1558" s="160">
        <f t="shared" si="47"/>
        <v>2</v>
      </c>
      <c r="E1558" s="160">
        <f t="shared" si="48"/>
        <v>9</v>
      </c>
      <c r="F1558" s="160">
        <f t="shared" si="49"/>
        <v>48</v>
      </c>
      <c r="G1558" s="160">
        <f t="shared" si="50"/>
        <v>4</v>
      </c>
      <c r="H1558" s="160">
        <f t="shared" si="51"/>
        <v>1</v>
      </c>
      <c r="I1558" s="160">
        <f t="shared" si="52"/>
        <v>88</v>
      </c>
      <c r="J1558" s="160">
        <f t="shared" si="53"/>
        <v>1</v>
      </c>
    </row>
    <row r="1559" spans="2:10" x14ac:dyDescent="0.35">
      <c r="B1559" s="160">
        <f t="shared" si="45"/>
        <v>30</v>
      </c>
      <c r="C1559" s="160">
        <f t="shared" si="46"/>
        <v>25</v>
      </c>
      <c r="D1559" s="160">
        <f t="shared" si="47"/>
        <v>2</v>
      </c>
      <c r="E1559" s="160">
        <f t="shared" si="48"/>
        <v>9</v>
      </c>
      <c r="F1559" s="160">
        <f t="shared" si="49"/>
        <v>49</v>
      </c>
      <c r="G1559" s="160">
        <f t="shared" si="50"/>
        <v>2</v>
      </c>
      <c r="H1559" s="160">
        <f t="shared" si="51"/>
        <v>19</v>
      </c>
      <c r="I1559" s="160">
        <f t="shared" si="52"/>
        <v>90</v>
      </c>
      <c r="J1559" s="160">
        <f t="shared" si="53"/>
        <v>1</v>
      </c>
    </row>
    <row r="1560" spans="2:10" x14ac:dyDescent="0.35">
      <c r="B1560" s="160">
        <f t="shared" si="45"/>
        <v>30</v>
      </c>
      <c r="C1560" s="160">
        <f t="shared" si="46"/>
        <v>25</v>
      </c>
      <c r="D1560" s="160">
        <f t="shared" si="47"/>
        <v>2</v>
      </c>
      <c r="E1560" s="160">
        <f t="shared" si="48"/>
        <v>9</v>
      </c>
      <c r="F1560" s="160">
        <f t="shared" si="49"/>
        <v>49</v>
      </c>
      <c r="G1560" s="160">
        <f t="shared" si="50"/>
        <v>4</v>
      </c>
      <c r="H1560" s="160">
        <f t="shared" si="51"/>
        <v>14</v>
      </c>
      <c r="I1560" s="160">
        <f t="shared" si="52"/>
        <v>90</v>
      </c>
      <c r="J1560" s="160">
        <f t="shared" si="53"/>
        <v>1</v>
      </c>
    </row>
    <row r="1561" spans="2:10" x14ac:dyDescent="0.35">
      <c r="B1561" s="160">
        <f t="shared" ref="B1561:B1624" si="54">INDEX($A$2:$A$85,MATCH(I446,$B$2:$B$85,0))</f>
        <v>30</v>
      </c>
      <c r="C1561" s="160">
        <f t="shared" ref="C1561:C1624" si="55">INDEX($D$2:$D$117,MATCH(J446,$E$2:$E$117,0))</f>
        <v>25</v>
      </c>
      <c r="D1561" s="160">
        <f t="shared" ref="D1561:D1624" si="56">INDEX($P$2:$P$5,MATCH(K446,$Q$2:$Q$5,0))</f>
        <v>2</v>
      </c>
      <c r="E1561" s="160">
        <f t="shared" ref="E1561:E1624" si="57">INDEX($G$2:$G$19,MATCH(L446,$H$2:$H$19,0))</f>
        <v>3</v>
      </c>
      <c r="F1561" s="160">
        <f t="shared" ref="F1561:F1624" si="58">INDEX($J$2:$J$55,MATCH(M446,$K$2:$K$55,0))</f>
        <v>48</v>
      </c>
      <c r="G1561" s="160">
        <f t="shared" ref="G1561:G1624" si="59">INDEX($M$2:$M$6,MATCH(N446,$N$2:$N$6,0))</f>
        <v>1</v>
      </c>
      <c r="H1561" s="160">
        <f t="shared" ref="H1561:H1624" si="60">INDEX($S$2:$S$26,MATCH(O446,$T$2:$T$26,0))</f>
        <v>14</v>
      </c>
      <c r="I1561" s="160">
        <f t="shared" ref="I1561:I1624" si="61">INDEX($V$2:$V$108,MATCH(P446,$W$2:$W$108,0))</f>
        <v>90</v>
      </c>
      <c r="J1561" s="160">
        <f t="shared" ref="J1561:J1624" si="62">INDEX($Y$2:$Y$4,MATCH(Q446,$Z$2:$Z$4,0))</f>
        <v>1</v>
      </c>
    </row>
    <row r="1562" spans="2:10" x14ac:dyDescent="0.35">
      <c r="B1562" s="160">
        <f t="shared" si="54"/>
        <v>30</v>
      </c>
      <c r="C1562" s="160">
        <f t="shared" si="55"/>
        <v>25</v>
      </c>
      <c r="D1562" s="160">
        <f t="shared" si="56"/>
        <v>2</v>
      </c>
      <c r="E1562" s="160">
        <f t="shared" si="57"/>
        <v>3</v>
      </c>
      <c r="F1562" s="160">
        <f t="shared" si="58"/>
        <v>48</v>
      </c>
      <c r="G1562" s="160">
        <f t="shared" si="59"/>
        <v>3</v>
      </c>
      <c r="H1562" s="160">
        <f t="shared" si="60"/>
        <v>1</v>
      </c>
      <c r="I1562" s="160">
        <f t="shared" si="61"/>
        <v>90</v>
      </c>
      <c r="J1562" s="160">
        <f t="shared" si="62"/>
        <v>1</v>
      </c>
    </row>
    <row r="1563" spans="2:10" x14ac:dyDescent="0.35">
      <c r="B1563" s="160">
        <f t="shared" si="54"/>
        <v>30</v>
      </c>
      <c r="C1563" s="160">
        <f t="shared" si="55"/>
        <v>33</v>
      </c>
      <c r="D1563" s="160">
        <f t="shared" si="56"/>
        <v>3</v>
      </c>
      <c r="E1563" s="160">
        <f t="shared" si="57"/>
        <v>15</v>
      </c>
      <c r="F1563" s="160">
        <f t="shared" si="58"/>
        <v>35</v>
      </c>
      <c r="G1563" s="160">
        <f t="shared" si="59"/>
        <v>1</v>
      </c>
      <c r="H1563" s="160">
        <f t="shared" si="60"/>
        <v>1</v>
      </c>
      <c r="I1563" s="160">
        <f t="shared" si="61"/>
        <v>40</v>
      </c>
      <c r="J1563" s="160">
        <f t="shared" si="62"/>
        <v>1</v>
      </c>
    </row>
    <row r="1564" spans="2:10" x14ac:dyDescent="0.35">
      <c r="B1564" s="160">
        <f t="shared" si="54"/>
        <v>30</v>
      </c>
      <c r="C1564" s="160">
        <f t="shared" si="55"/>
        <v>33</v>
      </c>
      <c r="D1564" s="160">
        <f t="shared" si="56"/>
        <v>3</v>
      </c>
      <c r="E1564" s="160">
        <f t="shared" si="57"/>
        <v>15</v>
      </c>
      <c r="F1564" s="160">
        <f t="shared" si="58"/>
        <v>35</v>
      </c>
      <c r="G1564" s="160">
        <f t="shared" si="59"/>
        <v>4</v>
      </c>
      <c r="H1564" s="160">
        <f t="shared" si="60"/>
        <v>1</v>
      </c>
      <c r="I1564" s="160">
        <f t="shared" si="61"/>
        <v>40</v>
      </c>
      <c r="J1564" s="160">
        <f t="shared" si="62"/>
        <v>1</v>
      </c>
    </row>
    <row r="1565" spans="2:10" x14ac:dyDescent="0.35">
      <c r="B1565" s="160">
        <f t="shared" si="54"/>
        <v>30</v>
      </c>
      <c r="C1565" s="160">
        <f t="shared" si="55"/>
        <v>46</v>
      </c>
      <c r="D1565" s="160">
        <f t="shared" si="56"/>
        <v>4</v>
      </c>
      <c r="E1565" s="160">
        <f t="shared" si="57"/>
        <v>15</v>
      </c>
      <c r="F1565" s="160">
        <f t="shared" si="58"/>
        <v>14</v>
      </c>
      <c r="G1565" s="160">
        <f t="shared" si="59"/>
        <v>5</v>
      </c>
      <c r="H1565" s="160">
        <f t="shared" si="60"/>
        <v>25</v>
      </c>
      <c r="I1565" s="160">
        <f t="shared" si="61"/>
        <v>8</v>
      </c>
      <c r="J1565" s="160">
        <f t="shared" si="62"/>
        <v>3</v>
      </c>
    </row>
    <row r="1566" spans="2:10" x14ac:dyDescent="0.35">
      <c r="B1566" s="160">
        <f t="shared" si="54"/>
        <v>31</v>
      </c>
      <c r="C1566" s="160">
        <f t="shared" si="55"/>
        <v>20</v>
      </c>
      <c r="D1566" s="160">
        <f t="shared" si="56"/>
        <v>3</v>
      </c>
      <c r="E1566" s="160">
        <f t="shared" si="57"/>
        <v>10</v>
      </c>
      <c r="F1566" s="160">
        <f t="shared" si="58"/>
        <v>49</v>
      </c>
      <c r="G1566" s="160">
        <f t="shared" si="59"/>
        <v>2</v>
      </c>
      <c r="H1566" s="160">
        <f t="shared" si="60"/>
        <v>25</v>
      </c>
      <c r="I1566" s="160">
        <f t="shared" si="61"/>
        <v>38</v>
      </c>
      <c r="J1566" s="160">
        <f t="shared" si="62"/>
        <v>1</v>
      </c>
    </row>
    <row r="1567" spans="2:10" x14ac:dyDescent="0.35">
      <c r="B1567" s="160">
        <f t="shared" si="54"/>
        <v>31</v>
      </c>
      <c r="C1567" s="160">
        <f t="shared" si="55"/>
        <v>20</v>
      </c>
      <c r="D1567" s="160">
        <f t="shared" si="56"/>
        <v>3</v>
      </c>
      <c r="E1567" s="160">
        <f t="shared" si="57"/>
        <v>10</v>
      </c>
      <c r="F1567" s="160">
        <f t="shared" si="58"/>
        <v>49</v>
      </c>
      <c r="G1567" s="160">
        <f t="shared" si="59"/>
        <v>5</v>
      </c>
      <c r="H1567" s="160">
        <f t="shared" si="60"/>
        <v>1</v>
      </c>
      <c r="I1567" s="160">
        <f t="shared" si="61"/>
        <v>24</v>
      </c>
      <c r="J1567" s="160">
        <f t="shared" si="62"/>
        <v>1</v>
      </c>
    </row>
    <row r="1568" spans="2:10" x14ac:dyDescent="0.35">
      <c r="B1568" s="160">
        <f t="shared" si="54"/>
        <v>31</v>
      </c>
      <c r="C1568" s="160">
        <f t="shared" si="55"/>
        <v>83</v>
      </c>
      <c r="D1568" s="160">
        <f t="shared" si="56"/>
        <v>2</v>
      </c>
      <c r="E1568" s="160">
        <f t="shared" si="57"/>
        <v>10</v>
      </c>
      <c r="F1568" s="160">
        <f t="shared" si="58"/>
        <v>42</v>
      </c>
      <c r="G1568" s="160">
        <f t="shared" si="59"/>
        <v>1</v>
      </c>
      <c r="H1568" s="160">
        <f t="shared" si="60"/>
        <v>18</v>
      </c>
      <c r="I1568" s="160">
        <f t="shared" si="61"/>
        <v>30</v>
      </c>
      <c r="J1568" s="160">
        <f t="shared" si="62"/>
        <v>1</v>
      </c>
    </row>
    <row r="1569" spans="2:10" x14ac:dyDescent="0.35">
      <c r="B1569" s="160">
        <f t="shared" si="54"/>
        <v>31</v>
      </c>
      <c r="C1569" s="160">
        <f t="shared" si="55"/>
        <v>83</v>
      </c>
      <c r="D1569" s="160">
        <f t="shared" si="56"/>
        <v>2</v>
      </c>
      <c r="E1569" s="160">
        <f t="shared" si="57"/>
        <v>10</v>
      </c>
      <c r="F1569" s="160">
        <f t="shared" si="58"/>
        <v>42</v>
      </c>
      <c r="G1569" s="160">
        <f t="shared" si="59"/>
        <v>3</v>
      </c>
      <c r="H1569" s="160">
        <f t="shared" si="60"/>
        <v>18</v>
      </c>
      <c r="I1569" s="160">
        <f t="shared" si="61"/>
        <v>35</v>
      </c>
      <c r="J1569" s="160">
        <f t="shared" si="62"/>
        <v>1</v>
      </c>
    </row>
    <row r="1570" spans="2:10" x14ac:dyDescent="0.35">
      <c r="B1570" s="160">
        <f t="shared" si="54"/>
        <v>31</v>
      </c>
      <c r="C1570" s="160">
        <f t="shared" si="55"/>
        <v>83</v>
      </c>
      <c r="D1570" s="160">
        <f t="shared" si="56"/>
        <v>2</v>
      </c>
      <c r="E1570" s="160">
        <f t="shared" si="57"/>
        <v>10</v>
      </c>
      <c r="F1570" s="160">
        <f t="shared" si="58"/>
        <v>43</v>
      </c>
      <c r="G1570" s="160">
        <f t="shared" si="59"/>
        <v>2</v>
      </c>
      <c r="H1570" s="160">
        <f t="shared" si="60"/>
        <v>11</v>
      </c>
      <c r="I1570" s="160">
        <f t="shared" si="61"/>
        <v>12</v>
      </c>
      <c r="J1570" s="160">
        <f t="shared" si="62"/>
        <v>1</v>
      </c>
    </row>
    <row r="1571" spans="2:10" x14ac:dyDescent="0.35">
      <c r="B1571" s="160">
        <f t="shared" si="54"/>
        <v>31</v>
      </c>
      <c r="C1571" s="160">
        <f t="shared" si="55"/>
        <v>83</v>
      </c>
      <c r="D1571" s="160">
        <f t="shared" si="56"/>
        <v>2</v>
      </c>
      <c r="E1571" s="160">
        <f t="shared" si="57"/>
        <v>10</v>
      </c>
      <c r="F1571" s="160">
        <f t="shared" si="58"/>
        <v>43</v>
      </c>
      <c r="G1571" s="160">
        <f t="shared" si="59"/>
        <v>3</v>
      </c>
      <c r="H1571" s="160">
        <f t="shared" si="60"/>
        <v>24</v>
      </c>
      <c r="I1571" s="160">
        <f t="shared" si="61"/>
        <v>31</v>
      </c>
      <c r="J1571" s="160">
        <f t="shared" si="62"/>
        <v>1</v>
      </c>
    </row>
    <row r="1572" spans="2:10" x14ac:dyDescent="0.35">
      <c r="B1572" s="160">
        <f t="shared" si="54"/>
        <v>31</v>
      </c>
      <c r="C1572" s="160">
        <f t="shared" si="55"/>
        <v>18</v>
      </c>
      <c r="D1572" s="160">
        <f t="shared" si="56"/>
        <v>2</v>
      </c>
      <c r="E1572" s="160">
        <f t="shared" si="57"/>
        <v>10</v>
      </c>
      <c r="F1572" s="160">
        <f t="shared" si="58"/>
        <v>43</v>
      </c>
      <c r="G1572" s="160">
        <f t="shared" si="59"/>
        <v>1</v>
      </c>
      <c r="H1572" s="160">
        <f t="shared" si="60"/>
        <v>2</v>
      </c>
      <c r="I1572" s="160">
        <f t="shared" si="61"/>
        <v>23</v>
      </c>
      <c r="J1572" s="160">
        <f t="shared" si="62"/>
        <v>2</v>
      </c>
    </row>
    <row r="1573" spans="2:10" x14ac:dyDescent="0.35">
      <c r="B1573" s="160">
        <f t="shared" si="54"/>
        <v>31</v>
      </c>
      <c r="C1573" s="160">
        <f t="shared" si="55"/>
        <v>18</v>
      </c>
      <c r="D1573" s="160">
        <f t="shared" si="56"/>
        <v>2</v>
      </c>
      <c r="E1573" s="160">
        <f t="shared" si="57"/>
        <v>10</v>
      </c>
      <c r="F1573" s="160">
        <f t="shared" si="58"/>
        <v>43</v>
      </c>
      <c r="G1573" s="160">
        <f t="shared" si="59"/>
        <v>5</v>
      </c>
      <c r="H1573" s="160">
        <f t="shared" si="60"/>
        <v>20</v>
      </c>
      <c r="I1573" s="160">
        <f t="shared" si="61"/>
        <v>12</v>
      </c>
      <c r="J1573" s="160">
        <f t="shared" si="62"/>
        <v>2</v>
      </c>
    </row>
    <row r="1574" spans="2:10" x14ac:dyDescent="0.35">
      <c r="B1574" s="160">
        <f t="shared" si="54"/>
        <v>31</v>
      </c>
      <c r="C1574" s="160">
        <f t="shared" si="55"/>
        <v>18</v>
      </c>
      <c r="D1574" s="160">
        <f t="shared" si="56"/>
        <v>2</v>
      </c>
      <c r="E1574" s="160">
        <f t="shared" si="57"/>
        <v>10</v>
      </c>
      <c r="F1574" s="160">
        <f t="shared" si="58"/>
        <v>44</v>
      </c>
      <c r="G1574" s="160">
        <f t="shared" si="59"/>
        <v>2</v>
      </c>
      <c r="H1574" s="160">
        <f t="shared" si="60"/>
        <v>20</v>
      </c>
      <c r="I1574" s="160">
        <f t="shared" si="61"/>
        <v>24</v>
      </c>
      <c r="J1574" s="160">
        <f t="shared" si="62"/>
        <v>1</v>
      </c>
    </row>
    <row r="1575" spans="2:10" x14ac:dyDescent="0.35">
      <c r="B1575" s="160">
        <f t="shared" si="54"/>
        <v>31</v>
      </c>
      <c r="C1575" s="160">
        <f t="shared" si="55"/>
        <v>18</v>
      </c>
      <c r="D1575" s="160">
        <f t="shared" si="56"/>
        <v>2</v>
      </c>
      <c r="E1575" s="160">
        <f t="shared" si="57"/>
        <v>10</v>
      </c>
      <c r="F1575" s="160">
        <f t="shared" si="58"/>
        <v>44</v>
      </c>
      <c r="G1575" s="160">
        <f t="shared" si="59"/>
        <v>5</v>
      </c>
      <c r="H1575" s="160">
        <f t="shared" si="60"/>
        <v>20</v>
      </c>
      <c r="I1575" s="160">
        <f t="shared" si="61"/>
        <v>21</v>
      </c>
      <c r="J1575" s="160">
        <f t="shared" si="62"/>
        <v>1</v>
      </c>
    </row>
    <row r="1576" spans="2:10" x14ac:dyDescent="0.35">
      <c r="B1576" s="160">
        <f t="shared" si="54"/>
        <v>31</v>
      </c>
      <c r="C1576" s="160">
        <f t="shared" si="55"/>
        <v>55</v>
      </c>
      <c r="D1576" s="160">
        <f t="shared" si="56"/>
        <v>2</v>
      </c>
      <c r="E1576" s="160">
        <f t="shared" si="57"/>
        <v>10</v>
      </c>
      <c r="F1576" s="160">
        <f t="shared" si="58"/>
        <v>1</v>
      </c>
      <c r="G1576" s="160">
        <f t="shared" si="59"/>
        <v>4</v>
      </c>
      <c r="H1576" s="160">
        <f t="shared" si="60"/>
        <v>2</v>
      </c>
      <c r="I1576" s="160">
        <f t="shared" si="61"/>
        <v>6</v>
      </c>
      <c r="J1576" s="160">
        <f t="shared" si="62"/>
        <v>1</v>
      </c>
    </row>
    <row r="1577" spans="2:10" x14ac:dyDescent="0.35">
      <c r="B1577" s="160">
        <f t="shared" si="54"/>
        <v>31</v>
      </c>
      <c r="C1577" s="160">
        <f t="shared" si="55"/>
        <v>55</v>
      </c>
      <c r="D1577" s="160">
        <f t="shared" si="56"/>
        <v>2</v>
      </c>
      <c r="E1577" s="160">
        <f t="shared" si="57"/>
        <v>10</v>
      </c>
      <c r="F1577" s="160">
        <f t="shared" si="58"/>
        <v>1</v>
      </c>
      <c r="G1577" s="160">
        <f t="shared" si="59"/>
        <v>5</v>
      </c>
      <c r="H1577" s="160">
        <f t="shared" si="60"/>
        <v>6</v>
      </c>
      <c r="I1577" s="160">
        <f t="shared" si="61"/>
        <v>24</v>
      </c>
      <c r="J1577" s="160">
        <f t="shared" si="62"/>
        <v>1</v>
      </c>
    </row>
    <row r="1578" spans="2:10" x14ac:dyDescent="0.35">
      <c r="B1578" s="160">
        <f t="shared" si="54"/>
        <v>31</v>
      </c>
      <c r="C1578" s="160">
        <f t="shared" si="55"/>
        <v>96</v>
      </c>
      <c r="D1578" s="160">
        <f t="shared" si="56"/>
        <v>4</v>
      </c>
      <c r="E1578" s="160">
        <f t="shared" si="57"/>
        <v>4</v>
      </c>
      <c r="F1578" s="160">
        <f t="shared" si="58"/>
        <v>42</v>
      </c>
      <c r="G1578" s="160">
        <f t="shared" si="59"/>
        <v>1</v>
      </c>
      <c r="H1578" s="160">
        <f t="shared" si="60"/>
        <v>11</v>
      </c>
      <c r="I1578" s="160">
        <f t="shared" si="61"/>
        <v>47</v>
      </c>
      <c r="J1578" s="160">
        <f t="shared" si="62"/>
        <v>2</v>
      </c>
    </row>
    <row r="1579" spans="2:10" x14ac:dyDescent="0.35">
      <c r="B1579" s="160">
        <f t="shared" si="54"/>
        <v>31</v>
      </c>
      <c r="C1579" s="160">
        <f t="shared" si="55"/>
        <v>96</v>
      </c>
      <c r="D1579" s="160">
        <f t="shared" si="56"/>
        <v>4</v>
      </c>
      <c r="E1579" s="160">
        <f t="shared" si="57"/>
        <v>4</v>
      </c>
      <c r="F1579" s="160">
        <f t="shared" si="58"/>
        <v>42</v>
      </c>
      <c r="G1579" s="160">
        <f t="shared" si="59"/>
        <v>5</v>
      </c>
      <c r="H1579" s="160">
        <f t="shared" si="60"/>
        <v>2</v>
      </c>
      <c r="I1579" s="160">
        <f t="shared" si="61"/>
        <v>35</v>
      </c>
      <c r="J1579" s="160">
        <f t="shared" si="62"/>
        <v>2</v>
      </c>
    </row>
    <row r="1580" spans="2:10" x14ac:dyDescent="0.35">
      <c r="B1580" s="160">
        <f t="shared" si="54"/>
        <v>31</v>
      </c>
      <c r="C1580" s="160">
        <f t="shared" si="55"/>
        <v>13</v>
      </c>
      <c r="D1580" s="160">
        <f t="shared" si="56"/>
        <v>2</v>
      </c>
      <c r="E1580" s="160">
        <f t="shared" si="57"/>
        <v>16</v>
      </c>
      <c r="F1580" s="160">
        <f t="shared" si="58"/>
        <v>42</v>
      </c>
      <c r="G1580" s="160">
        <f t="shared" si="59"/>
        <v>1</v>
      </c>
      <c r="H1580" s="160">
        <f t="shared" si="60"/>
        <v>2</v>
      </c>
      <c r="I1580" s="160">
        <f t="shared" si="61"/>
        <v>8</v>
      </c>
      <c r="J1580" s="160">
        <f t="shared" si="62"/>
        <v>1</v>
      </c>
    </row>
    <row r="1581" spans="2:10" x14ac:dyDescent="0.35">
      <c r="B1581" s="160">
        <f t="shared" si="54"/>
        <v>31</v>
      </c>
      <c r="C1581" s="160">
        <f t="shared" si="55"/>
        <v>13</v>
      </c>
      <c r="D1581" s="160">
        <f t="shared" si="56"/>
        <v>2</v>
      </c>
      <c r="E1581" s="160">
        <f t="shared" si="57"/>
        <v>16</v>
      </c>
      <c r="F1581" s="160">
        <f t="shared" si="58"/>
        <v>42</v>
      </c>
      <c r="G1581" s="160">
        <f t="shared" si="59"/>
        <v>2</v>
      </c>
      <c r="H1581" s="160">
        <f t="shared" si="60"/>
        <v>2</v>
      </c>
      <c r="I1581" s="160">
        <f t="shared" si="61"/>
        <v>22</v>
      </c>
      <c r="J1581" s="160">
        <f t="shared" si="62"/>
        <v>1</v>
      </c>
    </row>
    <row r="1582" spans="2:10" x14ac:dyDescent="0.35">
      <c r="B1582" s="160">
        <f t="shared" si="54"/>
        <v>31</v>
      </c>
      <c r="C1582" s="160">
        <f t="shared" si="55"/>
        <v>68</v>
      </c>
      <c r="D1582" s="160">
        <f t="shared" si="56"/>
        <v>2</v>
      </c>
      <c r="E1582" s="160">
        <f t="shared" si="57"/>
        <v>17</v>
      </c>
      <c r="F1582" s="160">
        <f t="shared" si="58"/>
        <v>43</v>
      </c>
      <c r="G1582" s="160">
        <f t="shared" si="59"/>
        <v>2</v>
      </c>
      <c r="H1582" s="160">
        <f t="shared" si="60"/>
        <v>20</v>
      </c>
      <c r="I1582" s="160">
        <f t="shared" si="61"/>
        <v>34</v>
      </c>
      <c r="J1582" s="160">
        <f t="shared" si="62"/>
        <v>2</v>
      </c>
    </row>
    <row r="1583" spans="2:10" x14ac:dyDescent="0.35">
      <c r="B1583" s="160">
        <f t="shared" si="54"/>
        <v>31</v>
      </c>
      <c r="C1583" s="160">
        <f t="shared" si="55"/>
        <v>68</v>
      </c>
      <c r="D1583" s="160">
        <f t="shared" si="56"/>
        <v>2</v>
      </c>
      <c r="E1583" s="160">
        <f t="shared" si="57"/>
        <v>17</v>
      </c>
      <c r="F1583" s="160">
        <f t="shared" si="58"/>
        <v>43</v>
      </c>
      <c r="G1583" s="160">
        <f t="shared" si="59"/>
        <v>4</v>
      </c>
      <c r="H1583" s="160">
        <f t="shared" si="60"/>
        <v>20</v>
      </c>
      <c r="I1583" s="160">
        <f t="shared" si="61"/>
        <v>34</v>
      </c>
      <c r="J1583" s="160">
        <f t="shared" si="62"/>
        <v>2</v>
      </c>
    </row>
    <row r="1584" spans="2:10" x14ac:dyDescent="0.35">
      <c r="B1584" s="160">
        <f t="shared" si="54"/>
        <v>31</v>
      </c>
      <c r="C1584" s="160">
        <f t="shared" si="55"/>
        <v>2</v>
      </c>
      <c r="D1584" s="160">
        <f t="shared" si="56"/>
        <v>2</v>
      </c>
      <c r="E1584" s="160">
        <f t="shared" si="57"/>
        <v>17</v>
      </c>
      <c r="F1584" s="160">
        <f t="shared" si="58"/>
        <v>45</v>
      </c>
      <c r="G1584" s="160">
        <f t="shared" si="59"/>
        <v>1</v>
      </c>
      <c r="H1584" s="160">
        <f t="shared" si="60"/>
        <v>22</v>
      </c>
      <c r="I1584" s="160">
        <f t="shared" si="61"/>
        <v>34</v>
      </c>
      <c r="J1584" s="160">
        <f t="shared" si="62"/>
        <v>1</v>
      </c>
    </row>
    <row r="1585" spans="2:10" x14ac:dyDescent="0.35">
      <c r="B1585" s="160">
        <f t="shared" si="54"/>
        <v>31</v>
      </c>
      <c r="C1585" s="160">
        <f t="shared" si="55"/>
        <v>2</v>
      </c>
      <c r="D1585" s="160">
        <f t="shared" si="56"/>
        <v>2</v>
      </c>
      <c r="E1585" s="160">
        <f t="shared" si="57"/>
        <v>17</v>
      </c>
      <c r="F1585" s="160">
        <f t="shared" si="58"/>
        <v>45</v>
      </c>
      <c r="G1585" s="160">
        <f t="shared" si="59"/>
        <v>4</v>
      </c>
      <c r="H1585" s="160">
        <f t="shared" si="60"/>
        <v>22</v>
      </c>
      <c r="I1585" s="160">
        <f t="shared" si="61"/>
        <v>34</v>
      </c>
      <c r="J1585" s="160">
        <f t="shared" si="62"/>
        <v>1</v>
      </c>
    </row>
    <row r="1586" spans="2:10" x14ac:dyDescent="0.35">
      <c r="B1586" s="160">
        <f t="shared" si="54"/>
        <v>31</v>
      </c>
      <c r="C1586" s="160">
        <f t="shared" si="55"/>
        <v>22</v>
      </c>
      <c r="D1586" s="160">
        <f t="shared" si="56"/>
        <v>4</v>
      </c>
      <c r="E1586" s="160">
        <f t="shared" si="57"/>
        <v>10</v>
      </c>
      <c r="F1586" s="160">
        <f t="shared" si="58"/>
        <v>6</v>
      </c>
      <c r="G1586" s="160">
        <f t="shared" si="59"/>
        <v>1</v>
      </c>
      <c r="H1586" s="160">
        <f t="shared" si="60"/>
        <v>24</v>
      </c>
      <c r="I1586" s="160">
        <f t="shared" si="61"/>
        <v>39</v>
      </c>
      <c r="J1586" s="160">
        <f t="shared" si="62"/>
        <v>3</v>
      </c>
    </row>
    <row r="1587" spans="2:10" x14ac:dyDescent="0.35">
      <c r="B1587" s="160">
        <f t="shared" si="54"/>
        <v>32</v>
      </c>
      <c r="C1587" s="160">
        <f t="shared" si="55"/>
        <v>25</v>
      </c>
      <c r="D1587" s="160">
        <f t="shared" si="56"/>
        <v>2</v>
      </c>
      <c r="E1587" s="160">
        <f t="shared" si="57"/>
        <v>18</v>
      </c>
      <c r="F1587" s="160">
        <f t="shared" si="58"/>
        <v>49</v>
      </c>
      <c r="G1587" s="160">
        <f t="shared" si="59"/>
        <v>1</v>
      </c>
      <c r="H1587" s="160">
        <f t="shared" si="60"/>
        <v>1</v>
      </c>
      <c r="I1587" s="160">
        <f t="shared" si="61"/>
        <v>33</v>
      </c>
      <c r="J1587" s="160">
        <f t="shared" si="62"/>
        <v>1</v>
      </c>
    </row>
    <row r="1588" spans="2:10" x14ac:dyDescent="0.35">
      <c r="B1588" s="160">
        <f t="shared" si="54"/>
        <v>32</v>
      </c>
      <c r="C1588" s="160">
        <f t="shared" si="55"/>
        <v>25</v>
      </c>
      <c r="D1588" s="160">
        <f t="shared" si="56"/>
        <v>2</v>
      </c>
      <c r="E1588" s="160">
        <f t="shared" si="57"/>
        <v>18</v>
      </c>
      <c r="F1588" s="160">
        <f t="shared" si="58"/>
        <v>49</v>
      </c>
      <c r="G1588" s="160">
        <f t="shared" si="59"/>
        <v>5</v>
      </c>
      <c r="H1588" s="160">
        <f t="shared" si="60"/>
        <v>19</v>
      </c>
      <c r="I1588" s="160">
        <f t="shared" si="61"/>
        <v>2</v>
      </c>
      <c r="J1588" s="160">
        <f t="shared" si="62"/>
        <v>1</v>
      </c>
    </row>
    <row r="1589" spans="2:10" x14ac:dyDescent="0.35">
      <c r="B1589" s="160">
        <f t="shared" si="54"/>
        <v>32</v>
      </c>
      <c r="C1589" s="160">
        <f t="shared" si="55"/>
        <v>24</v>
      </c>
      <c r="D1589" s="160">
        <f t="shared" si="56"/>
        <v>2</v>
      </c>
      <c r="E1589" s="160">
        <f t="shared" si="57"/>
        <v>18</v>
      </c>
      <c r="F1589" s="160">
        <f t="shared" si="58"/>
        <v>50</v>
      </c>
      <c r="G1589" s="160">
        <f t="shared" si="59"/>
        <v>2</v>
      </c>
      <c r="H1589" s="160">
        <f t="shared" si="60"/>
        <v>23</v>
      </c>
      <c r="I1589" s="160">
        <f t="shared" si="61"/>
        <v>7</v>
      </c>
      <c r="J1589" s="160">
        <f t="shared" si="62"/>
        <v>2</v>
      </c>
    </row>
    <row r="1590" spans="2:10" x14ac:dyDescent="0.35">
      <c r="B1590" s="160">
        <f t="shared" si="54"/>
        <v>32</v>
      </c>
      <c r="C1590" s="160">
        <f t="shared" si="55"/>
        <v>24</v>
      </c>
      <c r="D1590" s="160">
        <f t="shared" si="56"/>
        <v>2</v>
      </c>
      <c r="E1590" s="160">
        <f t="shared" si="57"/>
        <v>18</v>
      </c>
      <c r="F1590" s="160">
        <f t="shared" si="58"/>
        <v>50</v>
      </c>
      <c r="G1590" s="160">
        <f t="shared" si="59"/>
        <v>5</v>
      </c>
      <c r="H1590" s="160">
        <f t="shared" si="60"/>
        <v>7</v>
      </c>
      <c r="I1590" s="160">
        <f t="shared" si="61"/>
        <v>7</v>
      </c>
      <c r="J1590" s="160">
        <f t="shared" si="62"/>
        <v>2</v>
      </c>
    </row>
    <row r="1591" spans="2:10" x14ac:dyDescent="0.35">
      <c r="B1591" s="160">
        <f t="shared" si="54"/>
        <v>32</v>
      </c>
      <c r="C1591" s="160">
        <f t="shared" si="55"/>
        <v>78</v>
      </c>
      <c r="D1591" s="160">
        <f t="shared" si="56"/>
        <v>3</v>
      </c>
      <c r="E1591" s="160">
        <f t="shared" si="57"/>
        <v>18</v>
      </c>
      <c r="F1591" s="160">
        <f t="shared" si="58"/>
        <v>49</v>
      </c>
      <c r="G1591" s="160">
        <f t="shared" si="59"/>
        <v>2</v>
      </c>
      <c r="H1591" s="160">
        <f t="shared" si="60"/>
        <v>7</v>
      </c>
      <c r="I1591" s="160">
        <f t="shared" si="61"/>
        <v>31</v>
      </c>
      <c r="J1591" s="160">
        <f t="shared" si="62"/>
        <v>2</v>
      </c>
    </row>
    <row r="1592" spans="2:10" x14ac:dyDescent="0.35">
      <c r="B1592" s="160">
        <f t="shared" si="54"/>
        <v>32</v>
      </c>
      <c r="C1592" s="160">
        <f t="shared" si="55"/>
        <v>78</v>
      </c>
      <c r="D1592" s="160">
        <f t="shared" si="56"/>
        <v>3</v>
      </c>
      <c r="E1592" s="160">
        <f t="shared" si="57"/>
        <v>18</v>
      </c>
      <c r="F1592" s="160">
        <f t="shared" si="58"/>
        <v>49</v>
      </c>
      <c r="G1592" s="160">
        <f t="shared" si="59"/>
        <v>3</v>
      </c>
      <c r="H1592" s="160">
        <f t="shared" si="60"/>
        <v>19</v>
      </c>
      <c r="I1592" s="160">
        <f t="shared" si="61"/>
        <v>9</v>
      </c>
      <c r="J1592" s="160">
        <f t="shared" si="62"/>
        <v>2</v>
      </c>
    </row>
    <row r="1593" spans="2:10" x14ac:dyDescent="0.35">
      <c r="B1593" s="160">
        <f t="shared" si="54"/>
        <v>32</v>
      </c>
      <c r="C1593" s="160">
        <f t="shared" si="55"/>
        <v>78</v>
      </c>
      <c r="D1593" s="160">
        <f t="shared" si="56"/>
        <v>3</v>
      </c>
      <c r="E1593" s="160">
        <f t="shared" si="57"/>
        <v>18</v>
      </c>
      <c r="F1593" s="160">
        <f t="shared" si="58"/>
        <v>50</v>
      </c>
      <c r="G1593" s="160">
        <f t="shared" si="59"/>
        <v>1</v>
      </c>
      <c r="H1593" s="160">
        <f t="shared" si="60"/>
        <v>10</v>
      </c>
      <c r="I1593" s="160">
        <f t="shared" si="61"/>
        <v>24</v>
      </c>
      <c r="J1593" s="160">
        <f t="shared" si="62"/>
        <v>1</v>
      </c>
    </row>
    <row r="1594" spans="2:10" x14ac:dyDescent="0.35">
      <c r="B1594" s="160">
        <f t="shared" si="54"/>
        <v>32</v>
      </c>
      <c r="C1594" s="160">
        <f t="shared" si="55"/>
        <v>78</v>
      </c>
      <c r="D1594" s="160">
        <f t="shared" si="56"/>
        <v>3</v>
      </c>
      <c r="E1594" s="160">
        <f t="shared" si="57"/>
        <v>18</v>
      </c>
      <c r="F1594" s="160">
        <f t="shared" si="58"/>
        <v>50</v>
      </c>
      <c r="G1594" s="160">
        <f t="shared" si="59"/>
        <v>2</v>
      </c>
      <c r="H1594" s="160">
        <f t="shared" si="60"/>
        <v>1</v>
      </c>
      <c r="I1594" s="160">
        <f t="shared" si="61"/>
        <v>24</v>
      </c>
      <c r="J1594" s="160">
        <f t="shared" si="62"/>
        <v>1</v>
      </c>
    </row>
    <row r="1595" spans="2:10" x14ac:dyDescent="0.35">
      <c r="B1595" s="160">
        <f t="shared" si="54"/>
        <v>32</v>
      </c>
      <c r="C1595" s="160">
        <f t="shared" si="55"/>
        <v>84</v>
      </c>
      <c r="D1595" s="160">
        <f t="shared" si="56"/>
        <v>3</v>
      </c>
      <c r="E1595" s="160">
        <f t="shared" si="57"/>
        <v>18</v>
      </c>
      <c r="F1595" s="160">
        <f t="shared" si="58"/>
        <v>43</v>
      </c>
      <c r="G1595" s="160">
        <f t="shared" si="59"/>
        <v>2</v>
      </c>
      <c r="H1595" s="160">
        <f t="shared" si="60"/>
        <v>1</v>
      </c>
      <c r="I1595" s="160">
        <f t="shared" si="61"/>
        <v>5</v>
      </c>
      <c r="J1595" s="160">
        <f t="shared" si="62"/>
        <v>2</v>
      </c>
    </row>
    <row r="1596" spans="2:10" x14ac:dyDescent="0.35">
      <c r="B1596" s="160">
        <f t="shared" si="54"/>
        <v>32</v>
      </c>
      <c r="C1596" s="160">
        <f t="shared" si="55"/>
        <v>84</v>
      </c>
      <c r="D1596" s="160">
        <f t="shared" si="56"/>
        <v>3</v>
      </c>
      <c r="E1596" s="160">
        <f t="shared" si="57"/>
        <v>18</v>
      </c>
      <c r="F1596" s="160">
        <f t="shared" si="58"/>
        <v>43</v>
      </c>
      <c r="G1596" s="160">
        <f t="shared" si="59"/>
        <v>3</v>
      </c>
      <c r="H1596" s="160">
        <f t="shared" si="60"/>
        <v>14</v>
      </c>
      <c r="I1596" s="160">
        <f t="shared" si="61"/>
        <v>19</v>
      </c>
      <c r="J1596" s="160">
        <f t="shared" si="62"/>
        <v>2</v>
      </c>
    </row>
    <row r="1597" spans="2:10" x14ac:dyDescent="0.35">
      <c r="B1597" s="160">
        <f t="shared" si="54"/>
        <v>32</v>
      </c>
      <c r="C1597" s="160">
        <f t="shared" si="55"/>
        <v>4</v>
      </c>
      <c r="D1597" s="160">
        <f t="shared" si="56"/>
        <v>4</v>
      </c>
      <c r="E1597" s="160">
        <f t="shared" si="57"/>
        <v>18</v>
      </c>
      <c r="F1597" s="160">
        <f t="shared" si="58"/>
        <v>26</v>
      </c>
      <c r="G1597" s="160">
        <f t="shared" si="59"/>
        <v>1</v>
      </c>
      <c r="H1597" s="160">
        <f t="shared" si="60"/>
        <v>18</v>
      </c>
      <c r="I1597" s="160">
        <f t="shared" si="61"/>
        <v>19</v>
      </c>
      <c r="J1597" s="160">
        <f t="shared" si="62"/>
        <v>2</v>
      </c>
    </row>
    <row r="1598" spans="2:10" x14ac:dyDescent="0.35">
      <c r="B1598" s="160">
        <f t="shared" si="54"/>
        <v>32</v>
      </c>
      <c r="C1598" s="160">
        <f t="shared" si="55"/>
        <v>4</v>
      </c>
      <c r="D1598" s="160">
        <f t="shared" si="56"/>
        <v>4</v>
      </c>
      <c r="E1598" s="160">
        <f t="shared" si="57"/>
        <v>18</v>
      </c>
      <c r="F1598" s="160">
        <f t="shared" si="58"/>
        <v>26</v>
      </c>
      <c r="G1598" s="160">
        <f t="shared" si="59"/>
        <v>2</v>
      </c>
      <c r="H1598" s="160">
        <f t="shared" si="60"/>
        <v>18</v>
      </c>
      <c r="I1598" s="160">
        <f t="shared" si="61"/>
        <v>19</v>
      </c>
      <c r="J1598" s="160">
        <f t="shared" si="62"/>
        <v>2</v>
      </c>
    </row>
    <row r="1599" spans="2:10" x14ac:dyDescent="0.35">
      <c r="B1599" s="160">
        <f t="shared" si="54"/>
        <v>32</v>
      </c>
      <c r="C1599" s="160">
        <f t="shared" si="55"/>
        <v>101</v>
      </c>
      <c r="D1599" s="160">
        <f t="shared" si="56"/>
        <v>4</v>
      </c>
      <c r="E1599" s="160">
        <f t="shared" si="57"/>
        <v>18</v>
      </c>
      <c r="F1599" s="160">
        <f t="shared" si="58"/>
        <v>42</v>
      </c>
      <c r="G1599" s="160">
        <f t="shared" si="59"/>
        <v>2</v>
      </c>
      <c r="H1599" s="160">
        <f t="shared" si="60"/>
        <v>16</v>
      </c>
      <c r="I1599" s="160">
        <f t="shared" si="61"/>
        <v>19</v>
      </c>
      <c r="J1599" s="160">
        <f t="shared" si="62"/>
        <v>1</v>
      </c>
    </row>
    <row r="1600" spans="2:10" x14ac:dyDescent="0.35">
      <c r="B1600" s="160">
        <f t="shared" si="54"/>
        <v>32</v>
      </c>
      <c r="C1600" s="160">
        <f t="shared" si="55"/>
        <v>101</v>
      </c>
      <c r="D1600" s="160">
        <f t="shared" si="56"/>
        <v>4</v>
      </c>
      <c r="E1600" s="160">
        <f t="shared" si="57"/>
        <v>18</v>
      </c>
      <c r="F1600" s="160">
        <f t="shared" si="58"/>
        <v>42</v>
      </c>
      <c r="G1600" s="160">
        <f t="shared" si="59"/>
        <v>3</v>
      </c>
      <c r="H1600" s="160">
        <f t="shared" si="60"/>
        <v>11</v>
      </c>
      <c r="I1600" s="160">
        <f t="shared" si="61"/>
        <v>19</v>
      </c>
      <c r="J1600" s="160">
        <f t="shared" si="62"/>
        <v>1</v>
      </c>
    </row>
    <row r="1601" spans="2:10" x14ac:dyDescent="0.35">
      <c r="B1601" s="160">
        <f t="shared" si="54"/>
        <v>32</v>
      </c>
      <c r="C1601" s="160">
        <f t="shared" si="55"/>
        <v>7</v>
      </c>
      <c r="D1601" s="160">
        <f t="shared" si="56"/>
        <v>3</v>
      </c>
      <c r="E1601" s="160">
        <f t="shared" si="57"/>
        <v>8</v>
      </c>
      <c r="F1601" s="160">
        <f t="shared" si="58"/>
        <v>49</v>
      </c>
      <c r="G1601" s="160">
        <f t="shared" si="59"/>
        <v>2</v>
      </c>
      <c r="H1601" s="160">
        <f t="shared" si="60"/>
        <v>9</v>
      </c>
      <c r="I1601" s="160">
        <f t="shared" si="61"/>
        <v>2</v>
      </c>
      <c r="J1601" s="160">
        <f t="shared" si="62"/>
        <v>2</v>
      </c>
    </row>
    <row r="1602" spans="2:10" x14ac:dyDescent="0.35">
      <c r="B1602" s="160">
        <f t="shared" si="54"/>
        <v>32</v>
      </c>
      <c r="C1602" s="160">
        <f t="shared" si="55"/>
        <v>7</v>
      </c>
      <c r="D1602" s="160">
        <f t="shared" si="56"/>
        <v>3</v>
      </c>
      <c r="E1602" s="160">
        <f t="shared" si="57"/>
        <v>8</v>
      </c>
      <c r="F1602" s="160">
        <f t="shared" si="58"/>
        <v>49</v>
      </c>
      <c r="G1602" s="160">
        <f t="shared" si="59"/>
        <v>5</v>
      </c>
      <c r="H1602" s="160">
        <f t="shared" si="60"/>
        <v>1</v>
      </c>
      <c r="I1602" s="160">
        <f t="shared" si="61"/>
        <v>10</v>
      </c>
      <c r="J1602" s="160">
        <f t="shared" si="62"/>
        <v>2</v>
      </c>
    </row>
    <row r="1603" spans="2:10" x14ac:dyDescent="0.35">
      <c r="B1603" s="160">
        <f t="shared" si="54"/>
        <v>33</v>
      </c>
      <c r="C1603" s="160">
        <f t="shared" si="55"/>
        <v>63</v>
      </c>
      <c r="D1603" s="160">
        <f t="shared" si="56"/>
        <v>4</v>
      </c>
      <c r="E1603" s="160">
        <f t="shared" si="57"/>
        <v>15</v>
      </c>
      <c r="F1603" s="160">
        <f t="shared" si="58"/>
        <v>43</v>
      </c>
      <c r="G1603" s="160">
        <f t="shared" si="59"/>
        <v>3</v>
      </c>
      <c r="H1603" s="160">
        <f t="shared" si="60"/>
        <v>20</v>
      </c>
      <c r="I1603" s="160">
        <f t="shared" si="61"/>
        <v>37</v>
      </c>
      <c r="J1603" s="160">
        <f t="shared" si="62"/>
        <v>2</v>
      </c>
    </row>
    <row r="1604" spans="2:10" x14ac:dyDescent="0.35">
      <c r="B1604" s="160">
        <f t="shared" si="54"/>
        <v>33</v>
      </c>
      <c r="C1604" s="160">
        <f t="shared" si="55"/>
        <v>63</v>
      </c>
      <c r="D1604" s="160">
        <f t="shared" si="56"/>
        <v>4</v>
      </c>
      <c r="E1604" s="160">
        <f t="shared" si="57"/>
        <v>15</v>
      </c>
      <c r="F1604" s="160">
        <f t="shared" si="58"/>
        <v>43</v>
      </c>
      <c r="G1604" s="160">
        <f t="shared" si="59"/>
        <v>5</v>
      </c>
      <c r="H1604" s="160">
        <f t="shared" si="60"/>
        <v>20</v>
      </c>
      <c r="I1604" s="160">
        <f t="shared" si="61"/>
        <v>31</v>
      </c>
      <c r="J1604" s="160">
        <f t="shared" si="62"/>
        <v>2</v>
      </c>
    </row>
    <row r="1605" spans="2:10" x14ac:dyDescent="0.35">
      <c r="B1605" s="160">
        <f t="shared" si="54"/>
        <v>33</v>
      </c>
      <c r="C1605" s="160">
        <f t="shared" si="55"/>
        <v>63</v>
      </c>
      <c r="D1605" s="160">
        <f t="shared" si="56"/>
        <v>4</v>
      </c>
      <c r="E1605" s="160">
        <f t="shared" si="57"/>
        <v>15</v>
      </c>
      <c r="F1605" s="160">
        <f t="shared" si="58"/>
        <v>44</v>
      </c>
      <c r="G1605" s="160">
        <f t="shared" si="59"/>
        <v>1</v>
      </c>
      <c r="H1605" s="160">
        <f t="shared" si="60"/>
        <v>2</v>
      </c>
      <c r="I1605" s="160">
        <f t="shared" si="61"/>
        <v>36</v>
      </c>
      <c r="J1605" s="160">
        <f t="shared" si="62"/>
        <v>2</v>
      </c>
    </row>
    <row r="1606" spans="2:10" x14ac:dyDescent="0.35">
      <c r="B1606" s="160">
        <f t="shared" si="54"/>
        <v>33</v>
      </c>
      <c r="C1606" s="160">
        <f t="shared" si="55"/>
        <v>63</v>
      </c>
      <c r="D1606" s="160">
        <f t="shared" si="56"/>
        <v>4</v>
      </c>
      <c r="E1606" s="160">
        <f t="shared" si="57"/>
        <v>15</v>
      </c>
      <c r="F1606" s="160">
        <f t="shared" si="58"/>
        <v>44</v>
      </c>
      <c r="G1606" s="160">
        <f t="shared" si="59"/>
        <v>4</v>
      </c>
      <c r="H1606" s="160">
        <f t="shared" si="60"/>
        <v>8</v>
      </c>
      <c r="I1606" s="160">
        <f t="shared" si="61"/>
        <v>51</v>
      </c>
      <c r="J1606" s="160">
        <f t="shared" si="62"/>
        <v>2</v>
      </c>
    </row>
    <row r="1607" spans="2:10" x14ac:dyDescent="0.35">
      <c r="B1607" s="160">
        <f t="shared" si="54"/>
        <v>33</v>
      </c>
      <c r="C1607" s="160">
        <f t="shared" si="55"/>
        <v>70</v>
      </c>
      <c r="D1607" s="160">
        <f t="shared" si="56"/>
        <v>4</v>
      </c>
      <c r="E1607" s="160">
        <f t="shared" si="57"/>
        <v>15</v>
      </c>
      <c r="F1607" s="160">
        <f t="shared" si="58"/>
        <v>28</v>
      </c>
      <c r="G1607" s="160">
        <f t="shared" si="59"/>
        <v>1</v>
      </c>
      <c r="H1607" s="160">
        <f t="shared" si="60"/>
        <v>11</v>
      </c>
      <c r="I1607" s="160">
        <f t="shared" si="61"/>
        <v>12</v>
      </c>
      <c r="J1607" s="160">
        <f t="shared" si="62"/>
        <v>2</v>
      </c>
    </row>
    <row r="1608" spans="2:10" x14ac:dyDescent="0.35">
      <c r="B1608" s="160">
        <f t="shared" si="54"/>
        <v>33</v>
      </c>
      <c r="C1608" s="160">
        <f t="shared" si="55"/>
        <v>70</v>
      </c>
      <c r="D1608" s="160">
        <f t="shared" si="56"/>
        <v>4</v>
      </c>
      <c r="E1608" s="160">
        <f t="shared" si="57"/>
        <v>15</v>
      </c>
      <c r="F1608" s="160">
        <f t="shared" si="58"/>
        <v>28</v>
      </c>
      <c r="G1608" s="160">
        <f t="shared" si="59"/>
        <v>4</v>
      </c>
      <c r="H1608" s="160">
        <f t="shared" si="60"/>
        <v>24</v>
      </c>
      <c r="I1608" s="160">
        <f t="shared" si="61"/>
        <v>33</v>
      </c>
      <c r="J1608" s="160">
        <f t="shared" si="62"/>
        <v>2</v>
      </c>
    </row>
    <row r="1609" spans="2:10" x14ac:dyDescent="0.35">
      <c r="B1609" s="160">
        <f t="shared" si="54"/>
        <v>33</v>
      </c>
      <c r="C1609" s="160">
        <f t="shared" si="55"/>
        <v>28</v>
      </c>
      <c r="D1609" s="160">
        <f t="shared" si="56"/>
        <v>1</v>
      </c>
      <c r="E1609" s="160">
        <f t="shared" si="57"/>
        <v>16</v>
      </c>
      <c r="F1609" s="160">
        <f t="shared" si="58"/>
        <v>48</v>
      </c>
      <c r="G1609" s="160">
        <f t="shared" si="59"/>
        <v>1</v>
      </c>
      <c r="H1609" s="160">
        <f t="shared" si="60"/>
        <v>20</v>
      </c>
      <c r="I1609" s="160">
        <f t="shared" si="61"/>
        <v>37</v>
      </c>
      <c r="J1609" s="160">
        <f t="shared" si="62"/>
        <v>2</v>
      </c>
    </row>
    <row r="1610" spans="2:10" x14ac:dyDescent="0.35">
      <c r="B1610" s="160">
        <f t="shared" si="54"/>
        <v>33</v>
      </c>
      <c r="C1610" s="160">
        <f t="shared" si="55"/>
        <v>28</v>
      </c>
      <c r="D1610" s="160">
        <f t="shared" si="56"/>
        <v>1</v>
      </c>
      <c r="E1610" s="160">
        <f t="shared" si="57"/>
        <v>16</v>
      </c>
      <c r="F1610" s="160">
        <f t="shared" si="58"/>
        <v>48</v>
      </c>
      <c r="G1610" s="160">
        <f t="shared" si="59"/>
        <v>2</v>
      </c>
      <c r="H1610" s="160">
        <f t="shared" si="60"/>
        <v>20</v>
      </c>
      <c r="I1610" s="160">
        <f t="shared" si="61"/>
        <v>37</v>
      </c>
      <c r="J1610" s="160">
        <f t="shared" si="62"/>
        <v>2</v>
      </c>
    </row>
    <row r="1611" spans="2:10" x14ac:dyDescent="0.35">
      <c r="B1611" s="160">
        <f t="shared" si="54"/>
        <v>33</v>
      </c>
      <c r="C1611" s="160">
        <f t="shared" si="55"/>
        <v>64</v>
      </c>
      <c r="D1611" s="160">
        <f t="shared" si="56"/>
        <v>1</v>
      </c>
      <c r="E1611" s="160">
        <f t="shared" si="57"/>
        <v>16</v>
      </c>
      <c r="F1611" s="160">
        <f t="shared" si="58"/>
        <v>43</v>
      </c>
      <c r="G1611" s="160">
        <f t="shared" si="59"/>
        <v>4</v>
      </c>
      <c r="H1611" s="160">
        <f t="shared" si="60"/>
        <v>1</v>
      </c>
      <c r="I1611" s="160">
        <f t="shared" si="61"/>
        <v>37</v>
      </c>
      <c r="J1611" s="160">
        <f t="shared" si="62"/>
        <v>2</v>
      </c>
    </row>
    <row r="1612" spans="2:10" x14ac:dyDescent="0.35">
      <c r="B1612" s="160">
        <f t="shared" si="54"/>
        <v>33</v>
      </c>
      <c r="C1612" s="160">
        <f t="shared" si="55"/>
        <v>64</v>
      </c>
      <c r="D1612" s="160">
        <f t="shared" si="56"/>
        <v>1</v>
      </c>
      <c r="E1612" s="160">
        <f t="shared" si="57"/>
        <v>16</v>
      </c>
      <c r="F1612" s="160">
        <f t="shared" si="58"/>
        <v>43</v>
      </c>
      <c r="G1612" s="160">
        <f t="shared" si="59"/>
        <v>5</v>
      </c>
      <c r="H1612" s="160">
        <f t="shared" si="60"/>
        <v>1</v>
      </c>
      <c r="I1612" s="160">
        <f t="shared" si="61"/>
        <v>37</v>
      </c>
      <c r="J1612" s="160">
        <f t="shared" si="62"/>
        <v>2</v>
      </c>
    </row>
    <row r="1613" spans="2:10" x14ac:dyDescent="0.35">
      <c r="B1613" s="160">
        <f t="shared" si="54"/>
        <v>33</v>
      </c>
      <c r="C1613" s="160">
        <f t="shared" si="55"/>
        <v>71</v>
      </c>
      <c r="D1613" s="160">
        <f t="shared" si="56"/>
        <v>2</v>
      </c>
      <c r="E1613" s="160">
        <f t="shared" si="57"/>
        <v>17</v>
      </c>
      <c r="F1613" s="160">
        <f t="shared" si="58"/>
        <v>48</v>
      </c>
      <c r="G1613" s="160">
        <f t="shared" si="59"/>
        <v>1</v>
      </c>
      <c r="H1613" s="160">
        <f t="shared" si="60"/>
        <v>11</v>
      </c>
      <c r="I1613" s="160">
        <f t="shared" si="61"/>
        <v>5</v>
      </c>
      <c r="J1613" s="160">
        <f t="shared" si="62"/>
        <v>1</v>
      </c>
    </row>
    <row r="1614" spans="2:10" x14ac:dyDescent="0.35">
      <c r="B1614" s="160">
        <f t="shared" si="54"/>
        <v>33</v>
      </c>
      <c r="C1614" s="160">
        <f t="shared" si="55"/>
        <v>71</v>
      </c>
      <c r="D1614" s="160">
        <f t="shared" si="56"/>
        <v>2</v>
      </c>
      <c r="E1614" s="160">
        <f t="shared" si="57"/>
        <v>17</v>
      </c>
      <c r="F1614" s="160">
        <f t="shared" si="58"/>
        <v>48</v>
      </c>
      <c r="G1614" s="160">
        <f t="shared" si="59"/>
        <v>4</v>
      </c>
      <c r="H1614" s="160">
        <f t="shared" si="60"/>
        <v>11</v>
      </c>
      <c r="I1614" s="160">
        <f t="shared" si="61"/>
        <v>5</v>
      </c>
      <c r="J1614" s="160">
        <f t="shared" si="62"/>
        <v>1</v>
      </c>
    </row>
    <row r="1615" spans="2:10" x14ac:dyDescent="0.35">
      <c r="B1615" s="160">
        <f t="shared" si="54"/>
        <v>33</v>
      </c>
      <c r="C1615" s="160">
        <f t="shared" si="55"/>
        <v>66</v>
      </c>
      <c r="D1615" s="160">
        <f t="shared" si="56"/>
        <v>2</v>
      </c>
      <c r="E1615" s="160">
        <f t="shared" si="57"/>
        <v>17</v>
      </c>
      <c r="F1615" s="160">
        <f t="shared" si="58"/>
        <v>48</v>
      </c>
      <c r="G1615" s="160">
        <f t="shared" si="59"/>
        <v>1</v>
      </c>
      <c r="H1615" s="160">
        <f t="shared" si="60"/>
        <v>20</v>
      </c>
      <c r="I1615" s="160">
        <f t="shared" si="61"/>
        <v>5</v>
      </c>
      <c r="J1615" s="160">
        <f t="shared" si="62"/>
        <v>2</v>
      </c>
    </row>
    <row r="1616" spans="2:10" x14ac:dyDescent="0.35">
      <c r="B1616" s="160">
        <f t="shared" si="54"/>
        <v>33</v>
      </c>
      <c r="C1616" s="160">
        <f t="shared" si="55"/>
        <v>66</v>
      </c>
      <c r="D1616" s="160">
        <f t="shared" si="56"/>
        <v>2</v>
      </c>
      <c r="E1616" s="160">
        <f t="shared" si="57"/>
        <v>17</v>
      </c>
      <c r="F1616" s="160">
        <f t="shared" si="58"/>
        <v>48</v>
      </c>
      <c r="G1616" s="160">
        <f t="shared" si="59"/>
        <v>4</v>
      </c>
      <c r="H1616" s="160">
        <f t="shared" si="60"/>
        <v>20</v>
      </c>
      <c r="I1616" s="160">
        <f t="shared" si="61"/>
        <v>5</v>
      </c>
      <c r="J1616" s="160">
        <f t="shared" si="62"/>
        <v>2</v>
      </c>
    </row>
    <row r="1617" spans="2:10" x14ac:dyDescent="0.35">
      <c r="B1617" s="160">
        <f t="shared" si="54"/>
        <v>33</v>
      </c>
      <c r="C1617" s="160">
        <f t="shared" si="55"/>
        <v>79</v>
      </c>
      <c r="D1617" s="160">
        <f t="shared" si="56"/>
        <v>2</v>
      </c>
      <c r="E1617" s="160">
        <f t="shared" si="57"/>
        <v>17</v>
      </c>
      <c r="F1617" s="160">
        <f t="shared" si="58"/>
        <v>47</v>
      </c>
      <c r="G1617" s="160">
        <f t="shared" si="59"/>
        <v>2</v>
      </c>
      <c r="H1617" s="160">
        <f t="shared" si="60"/>
        <v>11</v>
      </c>
      <c r="I1617" s="160">
        <f t="shared" si="61"/>
        <v>9</v>
      </c>
      <c r="J1617" s="160">
        <f t="shared" si="62"/>
        <v>2</v>
      </c>
    </row>
    <row r="1618" spans="2:10" x14ac:dyDescent="0.35">
      <c r="B1618" s="160">
        <f t="shared" si="54"/>
        <v>33</v>
      </c>
      <c r="C1618" s="160">
        <f t="shared" si="55"/>
        <v>79</v>
      </c>
      <c r="D1618" s="160">
        <f t="shared" si="56"/>
        <v>2</v>
      </c>
      <c r="E1618" s="160">
        <f t="shared" si="57"/>
        <v>17</v>
      </c>
      <c r="F1618" s="160">
        <f t="shared" si="58"/>
        <v>47</v>
      </c>
      <c r="G1618" s="160">
        <f t="shared" si="59"/>
        <v>5</v>
      </c>
      <c r="H1618" s="160">
        <f t="shared" si="60"/>
        <v>11</v>
      </c>
      <c r="I1618" s="160">
        <f t="shared" si="61"/>
        <v>9</v>
      </c>
      <c r="J1618" s="160">
        <f t="shared" si="62"/>
        <v>2</v>
      </c>
    </row>
    <row r="1619" spans="2:10" x14ac:dyDescent="0.35">
      <c r="B1619" s="160">
        <f t="shared" si="54"/>
        <v>34</v>
      </c>
      <c r="C1619" s="160">
        <f t="shared" si="55"/>
        <v>85</v>
      </c>
      <c r="D1619" s="160">
        <f t="shared" si="56"/>
        <v>4</v>
      </c>
      <c r="E1619" s="160">
        <f t="shared" si="57"/>
        <v>8</v>
      </c>
      <c r="F1619" s="160">
        <f t="shared" si="58"/>
        <v>25</v>
      </c>
      <c r="G1619" s="160">
        <f t="shared" si="59"/>
        <v>1</v>
      </c>
      <c r="H1619" s="160">
        <f t="shared" si="60"/>
        <v>2</v>
      </c>
      <c r="I1619" s="160">
        <f t="shared" si="61"/>
        <v>29</v>
      </c>
      <c r="J1619" s="160">
        <f t="shared" si="62"/>
        <v>2</v>
      </c>
    </row>
    <row r="1620" spans="2:10" x14ac:dyDescent="0.35">
      <c r="B1620" s="160">
        <f t="shared" si="54"/>
        <v>34</v>
      </c>
      <c r="C1620" s="160">
        <f t="shared" si="55"/>
        <v>85</v>
      </c>
      <c r="D1620" s="160">
        <f t="shared" si="56"/>
        <v>4</v>
      </c>
      <c r="E1620" s="160">
        <f t="shared" si="57"/>
        <v>8</v>
      </c>
      <c r="F1620" s="160">
        <f t="shared" si="58"/>
        <v>25</v>
      </c>
      <c r="G1620" s="160">
        <f t="shared" si="59"/>
        <v>5</v>
      </c>
      <c r="H1620" s="160">
        <f t="shared" si="60"/>
        <v>2</v>
      </c>
      <c r="I1620" s="160">
        <f t="shared" si="61"/>
        <v>29</v>
      </c>
      <c r="J1620" s="160">
        <f t="shared" si="62"/>
        <v>2</v>
      </c>
    </row>
    <row r="1621" spans="2:10" x14ac:dyDescent="0.35">
      <c r="B1621" s="160">
        <f t="shared" si="54"/>
        <v>34</v>
      </c>
      <c r="C1621" s="160">
        <f t="shared" si="55"/>
        <v>85</v>
      </c>
      <c r="D1621" s="160">
        <f t="shared" si="56"/>
        <v>4</v>
      </c>
      <c r="E1621" s="160">
        <f t="shared" si="57"/>
        <v>8</v>
      </c>
      <c r="F1621" s="160">
        <f t="shared" si="58"/>
        <v>26</v>
      </c>
      <c r="G1621" s="160">
        <f t="shared" si="59"/>
        <v>1</v>
      </c>
      <c r="H1621" s="160">
        <f t="shared" si="60"/>
        <v>20</v>
      </c>
      <c r="I1621" s="160">
        <f t="shared" si="61"/>
        <v>96</v>
      </c>
      <c r="J1621" s="160">
        <f t="shared" si="62"/>
        <v>2</v>
      </c>
    </row>
    <row r="1622" spans="2:10" x14ac:dyDescent="0.35">
      <c r="B1622" s="160">
        <f t="shared" si="54"/>
        <v>34</v>
      </c>
      <c r="C1622" s="160">
        <f t="shared" si="55"/>
        <v>85</v>
      </c>
      <c r="D1622" s="160">
        <f t="shared" si="56"/>
        <v>4</v>
      </c>
      <c r="E1622" s="160">
        <f t="shared" si="57"/>
        <v>8</v>
      </c>
      <c r="F1622" s="160">
        <f t="shared" si="58"/>
        <v>26</v>
      </c>
      <c r="G1622" s="160">
        <f t="shared" si="59"/>
        <v>5</v>
      </c>
      <c r="H1622" s="160">
        <f t="shared" si="60"/>
        <v>20</v>
      </c>
      <c r="I1622" s="160">
        <f t="shared" si="61"/>
        <v>97</v>
      </c>
      <c r="J1622" s="160">
        <f t="shared" si="62"/>
        <v>2</v>
      </c>
    </row>
    <row r="1623" spans="2:10" x14ac:dyDescent="0.35">
      <c r="B1623" s="160">
        <f t="shared" si="54"/>
        <v>34</v>
      </c>
      <c r="C1623" s="160">
        <f t="shared" si="55"/>
        <v>85</v>
      </c>
      <c r="D1623" s="160">
        <f t="shared" si="56"/>
        <v>4</v>
      </c>
      <c r="E1623" s="160">
        <f t="shared" si="57"/>
        <v>8</v>
      </c>
      <c r="F1623" s="160">
        <f t="shared" si="58"/>
        <v>27</v>
      </c>
      <c r="G1623" s="160">
        <f t="shared" si="59"/>
        <v>2</v>
      </c>
      <c r="H1623" s="160">
        <f t="shared" si="60"/>
        <v>11</v>
      </c>
      <c r="I1623" s="160">
        <f t="shared" si="61"/>
        <v>96</v>
      </c>
      <c r="J1623" s="160">
        <f t="shared" si="62"/>
        <v>2</v>
      </c>
    </row>
    <row r="1624" spans="2:10" x14ac:dyDescent="0.35">
      <c r="B1624" s="160">
        <f t="shared" si="54"/>
        <v>34</v>
      </c>
      <c r="C1624" s="160">
        <f t="shared" si="55"/>
        <v>85</v>
      </c>
      <c r="D1624" s="160">
        <f t="shared" si="56"/>
        <v>4</v>
      </c>
      <c r="E1624" s="160">
        <f t="shared" si="57"/>
        <v>8</v>
      </c>
      <c r="F1624" s="160">
        <f t="shared" si="58"/>
        <v>27</v>
      </c>
      <c r="G1624" s="160">
        <f t="shared" si="59"/>
        <v>4</v>
      </c>
      <c r="H1624" s="160">
        <f t="shared" si="60"/>
        <v>11</v>
      </c>
      <c r="I1624" s="160">
        <f t="shared" si="61"/>
        <v>96</v>
      </c>
      <c r="J1624" s="160">
        <f t="shared" si="62"/>
        <v>2</v>
      </c>
    </row>
    <row r="1625" spans="2:10" x14ac:dyDescent="0.35">
      <c r="B1625" s="160">
        <f t="shared" ref="B1625:B1688" si="63">INDEX($A$2:$A$85,MATCH(I510,$B$2:$B$85,0))</f>
        <v>34</v>
      </c>
      <c r="C1625" s="160">
        <f t="shared" ref="C1625:C1688" si="64">INDEX($D$2:$D$117,MATCH(J510,$E$2:$E$117,0))</f>
        <v>85</v>
      </c>
      <c r="D1625" s="160">
        <f t="shared" ref="D1625:D1688" si="65">INDEX($P$2:$P$5,MATCH(K510,$Q$2:$Q$5,0))</f>
        <v>4</v>
      </c>
      <c r="E1625" s="160">
        <f t="shared" ref="E1625:E1688" si="66">INDEX($G$2:$G$19,MATCH(L510,$H$2:$H$19,0))</f>
        <v>8</v>
      </c>
      <c r="F1625" s="160">
        <f t="shared" ref="F1625:F1688" si="67">INDEX($J$2:$J$55,MATCH(M510,$K$2:$K$55,0))</f>
        <v>28</v>
      </c>
      <c r="G1625" s="160">
        <f t="shared" ref="G1625:G1688" si="68">INDEX($M$2:$M$6,MATCH(N510,$N$2:$N$6,0))</f>
        <v>2</v>
      </c>
      <c r="H1625" s="160">
        <f t="shared" ref="H1625:H1688" si="69">INDEX($S$2:$S$26,MATCH(O510,$T$2:$T$26,0))</f>
        <v>20</v>
      </c>
      <c r="I1625" s="160">
        <f t="shared" ref="I1625:I1688" si="70">INDEX($V$2:$V$108,MATCH(P510,$W$2:$W$108,0))</f>
        <v>29</v>
      </c>
      <c r="J1625" s="160">
        <f t="shared" ref="J1625:J1688" si="71">INDEX($Y$2:$Y$4,MATCH(Q510,$Z$2:$Z$4,0))</f>
        <v>2</v>
      </c>
    </row>
    <row r="1626" spans="2:10" x14ac:dyDescent="0.35">
      <c r="B1626" s="160">
        <f t="shared" si="63"/>
        <v>34</v>
      </c>
      <c r="C1626" s="160">
        <f t="shared" si="64"/>
        <v>85</v>
      </c>
      <c r="D1626" s="160">
        <f t="shared" si="65"/>
        <v>4</v>
      </c>
      <c r="E1626" s="160">
        <f t="shared" si="66"/>
        <v>8</v>
      </c>
      <c r="F1626" s="160">
        <f t="shared" si="67"/>
        <v>28</v>
      </c>
      <c r="G1626" s="160">
        <f t="shared" si="68"/>
        <v>3</v>
      </c>
      <c r="H1626" s="160">
        <f t="shared" si="69"/>
        <v>20</v>
      </c>
      <c r="I1626" s="160">
        <f t="shared" si="70"/>
        <v>18</v>
      </c>
      <c r="J1626" s="160">
        <f t="shared" si="71"/>
        <v>2</v>
      </c>
    </row>
    <row r="1627" spans="2:10" x14ac:dyDescent="0.35">
      <c r="B1627" s="160">
        <f t="shared" si="63"/>
        <v>34</v>
      </c>
      <c r="C1627" s="160">
        <f t="shared" si="64"/>
        <v>86</v>
      </c>
      <c r="D1627" s="160">
        <f t="shared" si="65"/>
        <v>4</v>
      </c>
      <c r="E1627" s="160">
        <f t="shared" si="66"/>
        <v>8</v>
      </c>
      <c r="F1627" s="160">
        <f t="shared" si="67"/>
        <v>3</v>
      </c>
      <c r="G1627" s="160">
        <f t="shared" si="68"/>
        <v>2</v>
      </c>
      <c r="H1627" s="160">
        <f t="shared" si="69"/>
        <v>2</v>
      </c>
      <c r="I1627" s="160">
        <f t="shared" si="70"/>
        <v>2</v>
      </c>
      <c r="J1627" s="160">
        <f t="shared" si="71"/>
        <v>1</v>
      </c>
    </row>
    <row r="1628" spans="2:10" x14ac:dyDescent="0.35">
      <c r="B1628" s="160">
        <f t="shared" si="63"/>
        <v>34</v>
      </c>
      <c r="C1628" s="160">
        <f t="shared" si="64"/>
        <v>86</v>
      </c>
      <c r="D1628" s="160">
        <f t="shared" si="65"/>
        <v>4</v>
      </c>
      <c r="E1628" s="160">
        <f t="shared" si="66"/>
        <v>8</v>
      </c>
      <c r="F1628" s="160">
        <f t="shared" si="67"/>
        <v>3</v>
      </c>
      <c r="G1628" s="160">
        <f t="shared" si="68"/>
        <v>4</v>
      </c>
      <c r="H1628" s="160">
        <f t="shared" si="69"/>
        <v>18</v>
      </c>
      <c r="I1628" s="160">
        <f t="shared" si="70"/>
        <v>21</v>
      </c>
      <c r="J1628" s="160">
        <f t="shared" si="71"/>
        <v>1</v>
      </c>
    </row>
    <row r="1629" spans="2:10" x14ac:dyDescent="0.35">
      <c r="B1629" s="160">
        <f t="shared" si="63"/>
        <v>34</v>
      </c>
      <c r="C1629" s="160">
        <f t="shared" si="64"/>
        <v>13</v>
      </c>
      <c r="D1629" s="160">
        <f t="shared" si="65"/>
        <v>2</v>
      </c>
      <c r="E1629" s="160">
        <f t="shared" si="66"/>
        <v>16</v>
      </c>
      <c r="F1629" s="160">
        <f t="shared" si="67"/>
        <v>43</v>
      </c>
      <c r="G1629" s="160">
        <f t="shared" si="68"/>
        <v>4</v>
      </c>
      <c r="H1629" s="160">
        <f t="shared" si="69"/>
        <v>2</v>
      </c>
      <c r="I1629" s="160">
        <f t="shared" si="70"/>
        <v>11</v>
      </c>
      <c r="J1629" s="160">
        <f t="shared" si="71"/>
        <v>1</v>
      </c>
    </row>
    <row r="1630" spans="2:10" x14ac:dyDescent="0.35">
      <c r="B1630" s="160">
        <f t="shared" si="63"/>
        <v>34</v>
      </c>
      <c r="C1630" s="160">
        <f t="shared" si="64"/>
        <v>13</v>
      </c>
      <c r="D1630" s="160">
        <f t="shared" si="65"/>
        <v>2</v>
      </c>
      <c r="E1630" s="160">
        <f t="shared" si="66"/>
        <v>16</v>
      </c>
      <c r="F1630" s="160">
        <f t="shared" si="67"/>
        <v>43</v>
      </c>
      <c r="G1630" s="160">
        <f t="shared" si="68"/>
        <v>5</v>
      </c>
      <c r="H1630" s="160">
        <f t="shared" si="69"/>
        <v>2</v>
      </c>
      <c r="I1630" s="160">
        <f t="shared" si="70"/>
        <v>8</v>
      </c>
      <c r="J1630" s="160">
        <f t="shared" si="71"/>
        <v>1</v>
      </c>
    </row>
    <row r="1631" spans="2:10" x14ac:dyDescent="0.35">
      <c r="B1631" s="160">
        <f t="shared" si="63"/>
        <v>34</v>
      </c>
      <c r="C1631" s="160">
        <f t="shared" si="64"/>
        <v>29</v>
      </c>
      <c r="D1631" s="160">
        <f t="shared" si="65"/>
        <v>2</v>
      </c>
      <c r="E1631" s="160">
        <f t="shared" si="66"/>
        <v>17</v>
      </c>
      <c r="F1631" s="160">
        <f t="shared" si="67"/>
        <v>43</v>
      </c>
      <c r="G1631" s="160">
        <f t="shared" si="68"/>
        <v>2</v>
      </c>
      <c r="H1631" s="160">
        <f t="shared" si="69"/>
        <v>2</v>
      </c>
      <c r="I1631" s="160">
        <f t="shared" si="70"/>
        <v>34</v>
      </c>
      <c r="J1631" s="160">
        <f t="shared" si="71"/>
        <v>2</v>
      </c>
    </row>
    <row r="1632" spans="2:10" x14ac:dyDescent="0.35">
      <c r="B1632" s="160">
        <f t="shared" si="63"/>
        <v>34</v>
      </c>
      <c r="C1632" s="160">
        <f t="shared" si="64"/>
        <v>29</v>
      </c>
      <c r="D1632" s="160">
        <f t="shared" si="65"/>
        <v>2</v>
      </c>
      <c r="E1632" s="160">
        <f t="shared" si="66"/>
        <v>17</v>
      </c>
      <c r="F1632" s="160">
        <f t="shared" si="67"/>
        <v>43</v>
      </c>
      <c r="G1632" s="160">
        <f t="shared" si="68"/>
        <v>4</v>
      </c>
      <c r="H1632" s="160">
        <f t="shared" si="69"/>
        <v>2</v>
      </c>
      <c r="I1632" s="160">
        <f t="shared" si="70"/>
        <v>34</v>
      </c>
      <c r="J1632" s="160">
        <f t="shared" si="71"/>
        <v>2</v>
      </c>
    </row>
    <row r="1633" spans="2:10" x14ac:dyDescent="0.35">
      <c r="B1633" s="160">
        <f t="shared" si="63"/>
        <v>35</v>
      </c>
      <c r="C1633" s="160">
        <f t="shared" si="64"/>
        <v>30</v>
      </c>
      <c r="D1633" s="160">
        <f t="shared" si="65"/>
        <v>4</v>
      </c>
      <c r="E1633" s="160">
        <f t="shared" si="66"/>
        <v>8</v>
      </c>
      <c r="F1633" s="160">
        <f t="shared" si="67"/>
        <v>44</v>
      </c>
      <c r="G1633" s="160">
        <f t="shared" si="68"/>
        <v>1</v>
      </c>
      <c r="H1633" s="160">
        <f t="shared" si="69"/>
        <v>11</v>
      </c>
      <c r="I1633" s="160">
        <f t="shared" si="70"/>
        <v>1</v>
      </c>
      <c r="J1633" s="160">
        <f t="shared" si="71"/>
        <v>2</v>
      </c>
    </row>
    <row r="1634" spans="2:10" x14ac:dyDescent="0.35">
      <c r="B1634" s="160">
        <f t="shared" si="63"/>
        <v>35</v>
      </c>
      <c r="C1634" s="160">
        <f t="shared" si="64"/>
        <v>30</v>
      </c>
      <c r="D1634" s="160">
        <f t="shared" si="65"/>
        <v>4</v>
      </c>
      <c r="E1634" s="160">
        <f t="shared" si="66"/>
        <v>8</v>
      </c>
      <c r="F1634" s="160">
        <f t="shared" si="67"/>
        <v>44</v>
      </c>
      <c r="G1634" s="160">
        <f t="shared" si="68"/>
        <v>3</v>
      </c>
      <c r="H1634" s="160">
        <f t="shared" si="69"/>
        <v>11</v>
      </c>
      <c r="I1634" s="160">
        <f t="shared" si="70"/>
        <v>1</v>
      </c>
      <c r="J1634" s="160">
        <f t="shared" si="71"/>
        <v>2</v>
      </c>
    </row>
    <row r="1635" spans="2:10" x14ac:dyDescent="0.35">
      <c r="B1635" s="160">
        <f t="shared" si="63"/>
        <v>35</v>
      </c>
      <c r="C1635" s="160">
        <f t="shared" si="64"/>
        <v>30</v>
      </c>
      <c r="D1635" s="160">
        <f t="shared" si="65"/>
        <v>4</v>
      </c>
      <c r="E1635" s="160">
        <f t="shared" si="66"/>
        <v>8</v>
      </c>
      <c r="F1635" s="160">
        <f t="shared" si="67"/>
        <v>45</v>
      </c>
      <c r="G1635" s="160">
        <f t="shared" si="68"/>
        <v>2</v>
      </c>
      <c r="H1635" s="160">
        <f t="shared" si="69"/>
        <v>2</v>
      </c>
      <c r="I1635" s="160">
        <f t="shared" si="70"/>
        <v>4</v>
      </c>
      <c r="J1635" s="160">
        <f t="shared" si="71"/>
        <v>2</v>
      </c>
    </row>
    <row r="1636" spans="2:10" x14ac:dyDescent="0.35">
      <c r="B1636" s="160">
        <f t="shared" si="63"/>
        <v>35</v>
      </c>
      <c r="C1636" s="160">
        <f t="shared" si="64"/>
        <v>30</v>
      </c>
      <c r="D1636" s="160">
        <f t="shared" si="65"/>
        <v>4</v>
      </c>
      <c r="E1636" s="160">
        <f t="shared" si="66"/>
        <v>8</v>
      </c>
      <c r="F1636" s="160">
        <f t="shared" si="67"/>
        <v>45</v>
      </c>
      <c r="G1636" s="160">
        <f t="shared" si="68"/>
        <v>4</v>
      </c>
      <c r="H1636" s="160">
        <f t="shared" si="69"/>
        <v>2</v>
      </c>
      <c r="I1636" s="160">
        <f t="shared" si="70"/>
        <v>4</v>
      </c>
      <c r="J1636" s="160">
        <f t="shared" si="71"/>
        <v>2</v>
      </c>
    </row>
    <row r="1637" spans="2:10" x14ac:dyDescent="0.35">
      <c r="B1637" s="160">
        <f t="shared" si="63"/>
        <v>35</v>
      </c>
      <c r="C1637" s="160">
        <f t="shared" si="64"/>
        <v>1</v>
      </c>
      <c r="D1637" s="160">
        <f t="shared" si="65"/>
        <v>4</v>
      </c>
      <c r="E1637" s="160">
        <f t="shared" si="66"/>
        <v>8</v>
      </c>
      <c r="F1637" s="160">
        <f t="shared" si="67"/>
        <v>28</v>
      </c>
      <c r="G1637" s="160">
        <f t="shared" si="68"/>
        <v>1</v>
      </c>
      <c r="H1637" s="160">
        <f t="shared" si="69"/>
        <v>2</v>
      </c>
      <c r="I1637" s="160">
        <f t="shared" si="70"/>
        <v>4</v>
      </c>
      <c r="J1637" s="160">
        <f t="shared" si="71"/>
        <v>2</v>
      </c>
    </row>
    <row r="1638" spans="2:10" x14ac:dyDescent="0.35">
      <c r="B1638" s="160">
        <f t="shared" si="63"/>
        <v>35</v>
      </c>
      <c r="C1638" s="160">
        <f t="shared" si="64"/>
        <v>1</v>
      </c>
      <c r="D1638" s="160">
        <f t="shared" si="65"/>
        <v>4</v>
      </c>
      <c r="E1638" s="160">
        <f t="shared" si="66"/>
        <v>8</v>
      </c>
      <c r="F1638" s="160">
        <f t="shared" si="67"/>
        <v>28</v>
      </c>
      <c r="G1638" s="160">
        <f t="shared" si="68"/>
        <v>3</v>
      </c>
      <c r="H1638" s="160">
        <f t="shared" si="69"/>
        <v>2</v>
      </c>
      <c r="I1638" s="160">
        <f t="shared" si="70"/>
        <v>4</v>
      </c>
      <c r="J1638" s="160">
        <f t="shared" si="71"/>
        <v>2</v>
      </c>
    </row>
    <row r="1639" spans="2:10" x14ac:dyDescent="0.35">
      <c r="B1639" s="160">
        <f t="shared" si="63"/>
        <v>35</v>
      </c>
      <c r="C1639" s="160">
        <f t="shared" si="64"/>
        <v>86</v>
      </c>
      <c r="D1639" s="160">
        <f t="shared" si="65"/>
        <v>4</v>
      </c>
      <c r="E1639" s="160">
        <f t="shared" si="66"/>
        <v>8</v>
      </c>
      <c r="F1639" s="160">
        <f t="shared" si="67"/>
        <v>1</v>
      </c>
      <c r="G1639" s="160">
        <f t="shared" si="68"/>
        <v>1</v>
      </c>
      <c r="H1639" s="160">
        <f t="shared" si="69"/>
        <v>2</v>
      </c>
      <c r="I1639" s="160">
        <f t="shared" si="70"/>
        <v>4</v>
      </c>
      <c r="J1639" s="160">
        <f t="shared" si="71"/>
        <v>1</v>
      </c>
    </row>
    <row r="1640" spans="2:10" x14ac:dyDescent="0.35">
      <c r="B1640" s="160">
        <f t="shared" si="63"/>
        <v>35</v>
      </c>
      <c r="C1640" s="160">
        <f t="shared" si="64"/>
        <v>86</v>
      </c>
      <c r="D1640" s="160">
        <f t="shared" si="65"/>
        <v>4</v>
      </c>
      <c r="E1640" s="160">
        <f t="shared" si="66"/>
        <v>8</v>
      </c>
      <c r="F1640" s="160">
        <f t="shared" si="67"/>
        <v>1</v>
      </c>
      <c r="G1640" s="160">
        <f t="shared" si="68"/>
        <v>3</v>
      </c>
      <c r="H1640" s="160">
        <f t="shared" si="69"/>
        <v>2</v>
      </c>
      <c r="I1640" s="160">
        <f t="shared" si="70"/>
        <v>4</v>
      </c>
      <c r="J1640" s="160">
        <f t="shared" si="71"/>
        <v>1</v>
      </c>
    </row>
    <row r="1641" spans="2:10" x14ac:dyDescent="0.35">
      <c r="B1641" s="160">
        <f t="shared" si="63"/>
        <v>35</v>
      </c>
      <c r="C1641" s="160">
        <f t="shared" si="64"/>
        <v>86</v>
      </c>
      <c r="D1641" s="160">
        <f t="shared" si="65"/>
        <v>4</v>
      </c>
      <c r="E1641" s="160">
        <f t="shared" si="66"/>
        <v>8</v>
      </c>
      <c r="F1641" s="160">
        <f t="shared" si="67"/>
        <v>2</v>
      </c>
      <c r="G1641" s="160">
        <f t="shared" si="68"/>
        <v>1</v>
      </c>
      <c r="H1641" s="160">
        <f t="shared" si="69"/>
        <v>11</v>
      </c>
      <c r="I1641" s="160">
        <f t="shared" si="70"/>
        <v>1</v>
      </c>
      <c r="J1641" s="160">
        <f t="shared" si="71"/>
        <v>1</v>
      </c>
    </row>
    <row r="1642" spans="2:10" x14ac:dyDescent="0.35">
      <c r="B1642" s="160">
        <f t="shared" si="63"/>
        <v>35</v>
      </c>
      <c r="C1642" s="160">
        <f t="shared" si="64"/>
        <v>86</v>
      </c>
      <c r="D1642" s="160">
        <f t="shared" si="65"/>
        <v>4</v>
      </c>
      <c r="E1642" s="160">
        <f t="shared" si="66"/>
        <v>8</v>
      </c>
      <c r="F1642" s="160">
        <f t="shared" si="67"/>
        <v>2</v>
      </c>
      <c r="G1642" s="160">
        <f t="shared" si="68"/>
        <v>3</v>
      </c>
      <c r="H1642" s="160">
        <f t="shared" si="69"/>
        <v>11</v>
      </c>
      <c r="I1642" s="160">
        <f t="shared" si="70"/>
        <v>1</v>
      </c>
      <c r="J1642" s="160">
        <f t="shared" si="71"/>
        <v>1</v>
      </c>
    </row>
    <row r="1643" spans="2:10" x14ac:dyDescent="0.35">
      <c r="B1643" s="160">
        <f t="shared" si="63"/>
        <v>35</v>
      </c>
      <c r="C1643" s="160">
        <f t="shared" si="64"/>
        <v>87</v>
      </c>
      <c r="D1643" s="160">
        <f t="shared" si="65"/>
        <v>4</v>
      </c>
      <c r="E1643" s="160">
        <f t="shared" si="66"/>
        <v>8</v>
      </c>
      <c r="F1643" s="160">
        <f t="shared" si="67"/>
        <v>25</v>
      </c>
      <c r="G1643" s="160">
        <f t="shared" si="68"/>
        <v>2</v>
      </c>
      <c r="H1643" s="160">
        <f t="shared" si="69"/>
        <v>2</v>
      </c>
      <c r="I1643" s="160">
        <f t="shared" si="70"/>
        <v>3</v>
      </c>
      <c r="J1643" s="160">
        <f t="shared" si="71"/>
        <v>1</v>
      </c>
    </row>
    <row r="1644" spans="2:10" x14ac:dyDescent="0.35">
      <c r="B1644" s="160">
        <f t="shared" si="63"/>
        <v>35</v>
      </c>
      <c r="C1644" s="160">
        <f t="shared" si="64"/>
        <v>87</v>
      </c>
      <c r="D1644" s="160">
        <f t="shared" si="65"/>
        <v>4</v>
      </c>
      <c r="E1644" s="160">
        <f t="shared" si="66"/>
        <v>8</v>
      </c>
      <c r="F1644" s="160">
        <f t="shared" si="67"/>
        <v>25</v>
      </c>
      <c r="G1644" s="160">
        <f t="shared" si="68"/>
        <v>4</v>
      </c>
      <c r="H1644" s="160">
        <f t="shared" si="69"/>
        <v>2</v>
      </c>
      <c r="I1644" s="160">
        <f t="shared" si="70"/>
        <v>3</v>
      </c>
      <c r="J1644" s="160">
        <f t="shared" si="71"/>
        <v>1</v>
      </c>
    </row>
    <row r="1645" spans="2:10" x14ac:dyDescent="0.35">
      <c r="B1645" s="160">
        <f t="shared" si="63"/>
        <v>35</v>
      </c>
      <c r="C1645" s="160">
        <f t="shared" si="64"/>
        <v>87</v>
      </c>
      <c r="D1645" s="160">
        <f t="shared" si="65"/>
        <v>4</v>
      </c>
      <c r="E1645" s="160">
        <f t="shared" si="66"/>
        <v>8</v>
      </c>
      <c r="F1645" s="160">
        <f t="shared" si="67"/>
        <v>26</v>
      </c>
      <c r="G1645" s="160">
        <f t="shared" si="68"/>
        <v>2</v>
      </c>
      <c r="H1645" s="160">
        <f t="shared" si="69"/>
        <v>11</v>
      </c>
      <c r="I1645" s="160">
        <f t="shared" si="70"/>
        <v>3</v>
      </c>
      <c r="J1645" s="160">
        <f t="shared" si="71"/>
        <v>1</v>
      </c>
    </row>
    <row r="1646" spans="2:10" x14ac:dyDescent="0.35">
      <c r="B1646" s="160">
        <f t="shared" si="63"/>
        <v>35</v>
      </c>
      <c r="C1646" s="160">
        <f t="shared" si="64"/>
        <v>87</v>
      </c>
      <c r="D1646" s="160">
        <f t="shared" si="65"/>
        <v>4</v>
      </c>
      <c r="E1646" s="160">
        <f t="shared" si="66"/>
        <v>8</v>
      </c>
      <c r="F1646" s="160">
        <f t="shared" si="67"/>
        <v>26</v>
      </c>
      <c r="G1646" s="160">
        <f t="shared" si="68"/>
        <v>4</v>
      </c>
      <c r="H1646" s="160">
        <f t="shared" si="69"/>
        <v>11</v>
      </c>
      <c r="I1646" s="160">
        <f t="shared" si="70"/>
        <v>3</v>
      </c>
      <c r="J1646" s="160">
        <f t="shared" si="71"/>
        <v>1</v>
      </c>
    </row>
    <row r="1647" spans="2:10" x14ac:dyDescent="0.35">
      <c r="B1647" s="160">
        <f t="shared" si="63"/>
        <v>36</v>
      </c>
      <c r="C1647" s="160">
        <f t="shared" si="64"/>
        <v>37</v>
      </c>
      <c r="D1647" s="160">
        <f t="shared" si="65"/>
        <v>4</v>
      </c>
      <c r="E1647" s="160">
        <f t="shared" si="66"/>
        <v>8</v>
      </c>
      <c r="F1647" s="160">
        <f t="shared" si="67"/>
        <v>25</v>
      </c>
      <c r="G1647" s="160">
        <f t="shared" si="68"/>
        <v>2</v>
      </c>
      <c r="H1647" s="160">
        <f t="shared" si="69"/>
        <v>2</v>
      </c>
      <c r="I1647" s="160">
        <f t="shared" si="70"/>
        <v>29</v>
      </c>
      <c r="J1647" s="160">
        <f t="shared" si="71"/>
        <v>1</v>
      </c>
    </row>
    <row r="1648" spans="2:10" x14ac:dyDescent="0.35">
      <c r="B1648" s="160">
        <f t="shared" si="63"/>
        <v>36</v>
      </c>
      <c r="C1648" s="160">
        <f t="shared" si="64"/>
        <v>37</v>
      </c>
      <c r="D1648" s="160">
        <f t="shared" si="65"/>
        <v>4</v>
      </c>
      <c r="E1648" s="160">
        <f t="shared" si="66"/>
        <v>8</v>
      </c>
      <c r="F1648" s="160">
        <f t="shared" si="67"/>
        <v>25</v>
      </c>
      <c r="G1648" s="160">
        <f t="shared" si="68"/>
        <v>4</v>
      </c>
      <c r="H1648" s="160">
        <f t="shared" si="69"/>
        <v>2</v>
      </c>
      <c r="I1648" s="160">
        <f t="shared" si="70"/>
        <v>29</v>
      </c>
      <c r="J1648" s="160">
        <f t="shared" si="71"/>
        <v>1</v>
      </c>
    </row>
    <row r="1649" spans="2:10" x14ac:dyDescent="0.35">
      <c r="B1649" s="160">
        <f t="shared" si="63"/>
        <v>36</v>
      </c>
      <c r="C1649" s="160">
        <f t="shared" si="64"/>
        <v>37</v>
      </c>
      <c r="D1649" s="160">
        <f t="shared" si="65"/>
        <v>4</v>
      </c>
      <c r="E1649" s="160">
        <f t="shared" si="66"/>
        <v>8</v>
      </c>
      <c r="F1649" s="160">
        <f t="shared" si="67"/>
        <v>26</v>
      </c>
      <c r="G1649" s="160">
        <f t="shared" si="68"/>
        <v>1</v>
      </c>
      <c r="H1649" s="160">
        <f t="shared" si="69"/>
        <v>11</v>
      </c>
      <c r="I1649" s="160">
        <f t="shared" si="70"/>
        <v>18</v>
      </c>
      <c r="J1649" s="160">
        <f t="shared" si="71"/>
        <v>1</v>
      </c>
    </row>
    <row r="1650" spans="2:10" x14ac:dyDescent="0.35">
      <c r="B1650" s="160">
        <f t="shared" si="63"/>
        <v>36</v>
      </c>
      <c r="C1650" s="160">
        <f t="shared" si="64"/>
        <v>37</v>
      </c>
      <c r="D1650" s="160">
        <f t="shared" si="65"/>
        <v>4</v>
      </c>
      <c r="E1650" s="160">
        <f t="shared" si="66"/>
        <v>8</v>
      </c>
      <c r="F1650" s="160">
        <f t="shared" si="67"/>
        <v>26</v>
      </c>
      <c r="G1650" s="160">
        <f t="shared" si="68"/>
        <v>3</v>
      </c>
      <c r="H1650" s="160">
        <f t="shared" si="69"/>
        <v>18</v>
      </c>
      <c r="I1650" s="160">
        <f t="shared" si="70"/>
        <v>18</v>
      </c>
      <c r="J1650" s="160">
        <f t="shared" si="71"/>
        <v>1</v>
      </c>
    </row>
    <row r="1651" spans="2:10" x14ac:dyDescent="0.35">
      <c r="B1651" s="160">
        <f t="shared" si="63"/>
        <v>36</v>
      </c>
      <c r="C1651" s="160">
        <f t="shared" si="64"/>
        <v>88</v>
      </c>
      <c r="D1651" s="160">
        <f t="shared" si="65"/>
        <v>4</v>
      </c>
      <c r="E1651" s="160">
        <f t="shared" si="66"/>
        <v>8</v>
      </c>
      <c r="F1651" s="160">
        <f t="shared" si="67"/>
        <v>25</v>
      </c>
      <c r="G1651" s="160">
        <f t="shared" si="68"/>
        <v>1</v>
      </c>
      <c r="H1651" s="160">
        <f t="shared" si="69"/>
        <v>2</v>
      </c>
      <c r="I1651" s="160">
        <f t="shared" si="70"/>
        <v>18</v>
      </c>
      <c r="J1651" s="160">
        <f t="shared" si="71"/>
        <v>2</v>
      </c>
    </row>
    <row r="1652" spans="2:10" x14ac:dyDescent="0.35">
      <c r="B1652" s="160">
        <f t="shared" si="63"/>
        <v>36</v>
      </c>
      <c r="C1652" s="160">
        <f t="shared" si="64"/>
        <v>88</v>
      </c>
      <c r="D1652" s="160">
        <f t="shared" si="65"/>
        <v>4</v>
      </c>
      <c r="E1652" s="160">
        <f t="shared" si="66"/>
        <v>8</v>
      </c>
      <c r="F1652" s="160">
        <f t="shared" si="67"/>
        <v>25</v>
      </c>
      <c r="G1652" s="160">
        <f t="shared" si="68"/>
        <v>4</v>
      </c>
      <c r="H1652" s="160">
        <f t="shared" si="69"/>
        <v>2</v>
      </c>
      <c r="I1652" s="160">
        <f t="shared" si="70"/>
        <v>18</v>
      </c>
      <c r="J1652" s="160">
        <f t="shared" si="71"/>
        <v>2</v>
      </c>
    </row>
    <row r="1653" spans="2:10" x14ac:dyDescent="0.35">
      <c r="B1653" s="160">
        <f t="shared" si="63"/>
        <v>36</v>
      </c>
      <c r="C1653" s="160">
        <f t="shared" si="64"/>
        <v>88</v>
      </c>
      <c r="D1653" s="160">
        <f t="shared" si="65"/>
        <v>4</v>
      </c>
      <c r="E1653" s="160">
        <f t="shared" si="66"/>
        <v>8</v>
      </c>
      <c r="F1653" s="160">
        <f t="shared" si="67"/>
        <v>26</v>
      </c>
      <c r="G1653" s="160">
        <f t="shared" si="68"/>
        <v>1</v>
      </c>
      <c r="H1653" s="160">
        <f t="shared" si="69"/>
        <v>11</v>
      </c>
      <c r="I1653" s="160">
        <f t="shared" si="70"/>
        <v>18</v>
      </c>
      <c r="J1653" s="160">
        <f t="shared" si="71"/>
        <v>2</v>
      </c>
    </row>
    <row r="1654" spans="2:10" x14ac:dyDescent="0.35">
      <c r="B1654" s="160">
        <f t="shared" si="63"/>
        <v>36</v>
      </c>
      <c r="C1654" s="160">
        <f t="shared" si="64"/>
        <v>88</v>
      </c>
      <c r="D1654" s="160">
        <f t="shared" si="65"/>
        <v>4</v>
      </c>
      <c r="E1654" s="160">
        <f t="shared" si="66"/>
        <v>8</v>
      </c>
      <c r="F1654" s="160">
        <f t="shared" si="67"/>
        <v>26</v>
      </c>
      <c r="G1654" s="160">
        <f t="shared" si="68"/>
        <v>4</v>
      </c>
      <c r="H1654" s="160">
        <f t="shared" si="69"/>
        <v>11</v>
      </c>
      <c r="I1654" s="160">
        <f t="shared" si="70"/>
        <v>29</v>
      </c>
      <c r="J1654" s="160">
        <f t="shared" si="71"/>
        <v>2</v>
      </c>
    </row>
    <row r="1655" spans="2:10" x14ac:dyDescent="0.35">
      <c r="B1655" s="160">
        <f t="shared" si="63"/>
        <v>36</v>
      </c>
      <c r="C1655" s="160">
        <f t="shared" si="64"/>
        <v>88</v>
      </c>
      <c r="D1655" s="160">
        <f t="shared" si="65"/>
        <v>4</v>
      </c>
      <c r="E1655" s="160">
        <f t="shared" si="66"/>
        <v>8</v>
      </c>
      <c r="F1655" s="160">
        <f t="shared" si="67"/>
        <v>27</v>
      </c>
      <c r="G1655" s="160">
        <f t="shared" si="68"/>
        <v>1</v>
      </c>
      <c r="H1655" s="160">
        <f t="shared" si="69"/>
        <v>24</v>
      </c>
      <c r="I1655" s="160">
        <f t="shared" si="70"/>
        <v>18</v>
      </c>
      <c r="J1655" s="160">
        <f t="shared" si="71"/>
        <v>2</v>
      </c>
    </row>
    <row r="1656" spans="2:10" x14ac:dyDescent="0.35">
      <c r="B1656" s="160">
        <f t="shared" si="63"/>
        <v>36</v>
      </c>
      <c r="C1656" s="160">
        <f t="shared" si="64"/>
        <v>88</v>
      </c>
      <c r="D1656" s="160">
        <f t="shared" si="65"/>
        <v>4</v>
      </c>
      <c r="E1656" s="160">
        <f t="shared" si="66"/>
        <v>8</v>
      </c>
      <c r="F1656" s="160">
        <f t="shared" si="67"/>
        <v>27</v>
      </c>
      <c r="G1656" s="160">
        <f t="shared" si="68"/>
        <v>4</v>
      </c>
      <c r="H1656" s="160">
        <f t="shared" si="69"/>
        <v>24</v>
      </c>
      <c r="I1656" s="160">
        <f t="shared" si="70"/>
        <v>18</v>
      </c>
      <c r="J1656" s="160">
        <f t="shared" si="71"/>
        <v>2</v>
      </c>
    </row>
    <row r="1657" spans="2:10" x14ac:dyDescent="0.35">
      <c r="B1657" s="160">
        <f t="shared" si="63"/>
        <v>36</v>
      </c>
      <c r="C1657" s="160">
        <f t="shared" si="64"/>
        <v>88</v>
      </c>
      <c r="D1657" s="160">
        <f t="shared" si="65"/>
        <v>4</v>
      </c>
      <c r="E1657" s="160">
        <f t="shared" si="66"/>
        <v>8</v>
      </c>
      <c r="F1657" s="160">
        <f t="shared" si="67"/>
        <v>28</v>
      </c>
      <c r="G1657" s="160">
        <f t="shared" si="68"/>
        <v>2</v>
      </c>
      <c r="H1657" s="160">
        <f t="shared" si="69"/>
        <v>2</v>
      </c>
      <c r="I1657" s="160">
        <f t="shared" si="70"/>
        <v>19</v>
      </c>
      <c r="J1657" s="160">
        <f t="shared" si="71"/>
        <v>2</v>
      </c>
    </row>
    <row r="1658" spans="2:10" x14ac:dyDescent="0.35">
      <c r="B1658" s="160">
        <f t="shared" si="63"/>
        <v>36</v>
      </c>
      <c r="C1658" s="160">
        <f t="shared" si="64"/>
        <v>88</v>
      </c>
      <c r="D1658" s="160">
        <f t="shared" si="65"/>
        <v>4</v>
      </c>
      <c r="E1658" s="160">
        <f t="shared" si="66"/>
        <v>8</v>
      </c>
      <c r="F1658" s="160">
        <f t="shared" si="67"/>
        <v>28</v>
      </c>
      <c r="G1658" s="160">
        <f t="shared" si="68"/>
        <v>5</v>
      </c>
      <c r="H1658" s="160">
        <f t="shared" si="69"/>
        <v>2</v>
      </c>
      <c r="I1658" s="160">
        <f t="shared" si="70"/>
        <v>19</v>
      </c>
      <c r="J1658" s="160">
        <f t="shared" si="71"/>
        <v>2</v>
      </c>
    </row>
    <row r="1659" spans="2:10" x14ac:dyDescent="0.35">
      <c r="B1659" s="160">
        <f t="shared" si="63"/>
        <v>37</v>
      </c>
      <c r="C1659" s="160">
        <f t="shared" si="64"/>
        <v>78</v>
      </c>
      <c r="D1659" s="160">
        <f t="shared" si="65"/>
        <v>3</v>
      </c>
      <c r="E1659" s="160">
        <f t="shared" si="66"/>
        <v>15</v>
      </c>
      <c r="F1659" s="160">
        <f t="shared" si="67"/>
        <v>51</v>
      </c>
      <c r="G1659" s="160">
        <f t="shared" si="68"/>
        <v>2</v>
      </c>
      <c r="H1659" s="160">
        <f t="shared" si="69"/>
        <v>1</v>
      </c>
      <c r="I1659" s="160">
        <f t="shared" si="70"/>
        <v>31</v>
      </c>
      <c r="J1659" s="160">
        <f t="shared" si="71"/>
        <v>2</v>
      </c>
    </row>
    <row r="1660" spans="2:10" x14ac:dyDescent="0.35">
      <c r="B1660" s="160">
        <f t="shared" si="63"/>
        <v>37</v>
      </c>
      <c r="C1660" s="160">
        <f t="shared" si="64"/>
        <v>78</v>
      </c>
      <c r="D1660" s="160">
        <f t="shared" si="65"/>
        <v>3</v>
      </c>
      <c r="E1660" s="160">
        <f t="shared" si="66"/>
        <v>15</v>
      </c>
      <c r="F1660" s="160">
        <f t="shared" si="67"/>
        <v>51</v>
      </c>
      <c r="G1660" s="160">
        <f t="shared" si="68"/>
        <v>5</v>
      </c>
      <c r="H1660" s="160">
        <f t="shared" si="69"/>
        <v>10</v>
      </c>
      <c r="I1660" s="160">
        <f t="shared" si="70"/>
        <v>47</v>
      </c>
      <c r="J1660" s="160">
        <f t="shared" si="71"/>
        <v>2</v>
      </c>
    </row>
    <row r="1661" spans="2:10" x14ac:dyDescent="0.35">
      <c r="B1661" s="160">
        <f t="shared" si="63"/>
        <v>37</v>
      </c>
      <c r="C1661" s="160">
        <f t="shared" si="64"/>
        <v>48</v>
      </c>
      <c r="D1661" s="160">
        <f t="shared" si="65"/>
        <v>2</v>
      </c>
      <c r="E1661" s="160">
        <f t="shared" si="66"/>
        <v>15</v>
      </c>
      <c r="F1661" s="160">
        <f t="shared" si="67"/>
        <v>28</v>
      </c>
      <c r="G1661" s="160">
        <f t="shared" si="68"/>
        <v>1</v>
      </c>
      <c r="H1661" s="160">
        <f t="shared" si="69"/>
        <v>2</v>
      </c>
      <c r="I1661" s="160">
        <f t="shared" si="70"/>
        <v>52</v>
      </c>
      <c r="J1661" s="160">
        <f t="shared" si="71"/>
        <v>1</v>
      </c>
    </row>
    <row r="1662" spans="2:10" x14ac:dyDescent="0.35">
      <c r="B1662" s="160">
        <f t="shared" si="63"/>
        <v>37</v>
      </c>
      <c r="C1662" s="160">
        <f t="shared" si="64"/>
        <v>48</v>
      </c>
      <c r="D1662" s="160">
        <f t="shared" si="65"/>
        <v>2</v>
      </c>
      <c r="E1662" s="160">
        <f t="shared" si="66"/>
        <v>15</v>
      </c>
      <c r="F1662" s="160">
        <f t="shared" si="67"/>
        <v>28</v>
      </c>
      <c r="G1662" s="160">
        <f t="shared" si="68"/>
        <v>3</v>
      </c>
      <c r="H1662" s="160">
        <f t="shared" si="69"/>
        <v>2</v>
      </c>
      <c r="I1662" s="160">
        <f t="shared" si="70"/>
        <v>48</v>
      </c>
      <c r="J1662" s="160">
        <f t="shared" si="71"/>
        <v>1</v>
      </c>
    </row>
    <row r="1663" spans="2:10" x14ac:dyDescent="0.35">
      <c r="B1663" s="160">
        <f t="shared" si="63"/>
        <v>37</v>
      </c>
      <c r="C1663" s="160">
        <f t="shared" si="64"/>
        <v>25</v>
      </c>
      <c r="D1663" s="160">
        <f t="shared" si="65"/>
        <v>2</v>
      </c>
      <c r="E1663" s="160">
        <f t="shared" si="66"/>
        <v>11</v>
      </c>
      <c r="F1663" s="160">
        <f t="shared" si="67"/>
        <v>48</v>
      </c>
      <c r="G1663" s="160">
        <f t="shared" si="68"/>
        <v>1</v>
      </c>
      <c r="H1663" s="160">
        <f t="shared" si="69"/>
        <v>17</v>
      </c>
      <c r="I1663" s="160">
        <f t="shared" si="70"/>
        <v>78</v>
      </c>
      <c r="J1663" s="160">
        <f t="shared" si="71"/>
        <v>2</v>
      </c>
    </row>
    <row r="1664" spans="2:10" x14ac:dyDescent="0.35">
      <c r="B1664" s="160">
        <f t="shared" si="63"/>
        <v>37</v>
      </c>
      <c r="C1664" s="160">
        <f t="shared" si="64"/>
        <v>25</v>
      </c>
      <c r="D1664" s="160">
        <f t="shared" si="65"/>
        <v>2</v>
      </c>
      <c r="E1664" s="160">
        <f t="shared" si="66"/>
        <v>11</v>
      </c>
      <c r="F1664" s="160">
        <f t="shared" si="67"/>
        <v>48</v>
      </c>
      <c r="G1664" s="160">
        <f t="shared" si="68"/>
        <v>3</v>
      </c>
      <c r="H1664" s="160">
        <f t="shared" si="69"/>
        <v>21</v>
      </c>
      <c r="I1664" s="160">
        <f t="shared" si="70"/>
        <v>80</v>
      </c>
      <c r="J1664" s="160">
        <f t="shared" si="71"/>
        <v>2</v>
      </c>
    </row>
    <row r="1665" spans="2:10" x14ac:dyDescent="0.35">
      <c r="B1665" s="160">
        <f t="shared" si="63"/>
        <v>37</v>
      </c>
      <c r="C1665" s="160">
        <f t="shared" si="64"/>
        <v>25</v>
      </c>
      <c r="D1665" s="160">
        <f t="shared" si="65"/>
        <v>2</v>
      </c>
      <c r="E1665" s="160">
        <f t="shared" si="66"/>
        <v>11</v>
      </c>
      <c r="F1665" s="160">
        <f t="shared" si="67"/>
        <v>50</v>
      </c>
      <c r="G1665" s="160">
        <f t="shared" si="68"/>
        <v>2</v>
      </c>
      <c r="H1665" s="160">
        <f t="shared" si="69"/>
        <v>17</v>
      </c>
      <c r="I1665" s="160">
        <f t="shared" si="70"/>
        <v>79</v>
      </c>
      <c r="J1665" s="160">
        <f t="shared" si="71"/>
        <v>2</v>
      </c>
    </row>
    <row r="1666" spans="2:10" x14ac:dyDescent="0.35">
      <c r="B1666" s="160">
        <f t="shared" si="63"/>
        <v>37</v>
      </c>
      <c r="C1666" s="160">
        <f t="shared" si="64"/>
        <v>25</v>
      </c>
      <c r="D1666" s="160">
        <f t="shared" si="65"/>
        <v>2</v>
      </c>
      <c r="E1666" s="160">
        <f t="shared" si="66"/>
        <v>11</v>
      </c>
      <c r="F1666" s="160">
        <f t="shared" si="67"/>
        <v>50</v>
      </c>
      <c r="G1666" s="160">
        <f t="shared" si="68"/>
        <v>4</v>
      </c>
      <c r="H1666" s="160">
        <f t="shared" si="69"/>
        <v>21</v>
      </c>
      <c r="I1666" s="160">
        <f t="shared" si="70"/>
        <v>80</v>
      </c>
      <c r="J1666" s="160">
        <f t="shared" si="71"/>
        <v>2</v>
      </c>
    </row>
    <row r="1667" spans="2:10" x14ac:dyDescent="0.35">
      <c r="B1667" s="160">
        <f t="shared" si="63"/>
        <v>37</v>
      </c>
      <c r="C1667" s="160">
        <f t="shared" si="64"/>
        <v>25</v>
      </c>
      <c r="D1667" s="160">
        <f t="shared" si="65"/>
        <v>2</v>
      </c>
      <c r="E1667" s="160">
        <f t="shared" si="66"/>
        <v>11</v>
      </c>
      <c r="F1667" s="160">
        <f t="shared" si="67"/>
        <v>52</v>
      </c>
      <c r="G1667" s="160">
        <f t="shared" si="68"/>
        <v>1</v>
      </c>
      <c r="H1667" s="160">
        <f t="shared" si="69"/>
        <v>1</v>
      </c>
      <c r="I1667" s="160">
        <f t="shared" si="70"/>
        <v>14</v>
      </c>
      <c r="J1667" s="160">
        <f t="shared" si="71"/>
        <v>2</v>
      </c>
    </row>
    <row r="1668" spans="2:10" x14ac:dyDescent="0.35">
      <c r="B1668" s="160">
        <f t="shared" si="63"/>
        <v>37</v>
      </c>
      <c r="C1668" s="160">
        <f t="shared" si="64"/>
        <v>25</v>
      </c>
      <c r="D1668" s="160">
        <f t="shared" si="65"/>
        <v>2</v>
      </c>
      <c r="E1668" s="160">
        <f t="shared" si="66"/>
        <v>11</v>
      </c>
      <c r="F1668" s="160">
        <f t="shared" si="67"/>
        <v>52</v>
      </c>
      <c r="G1668" s="160">
        <f t="shared" si="68"/>
        <v>3</v>
      </c>
      <c r="H1668" s="160">
        <f t="shared" si="69"/>
        <v>14</v>
      </c>
      <c r="I1668" s="160">
        <f t="shared" si="70"/>
        <v>79</v>
      </c>
      <c r="J1668" s="160">
        <f t="shared" si="71"/>
        <v>2</v>
      </c>
    </row>
    <row r="1669" spans="2:10" x14ac:dyDescent="0.35">
      <c r="B1669" s="160">
        <f t="shared" si="63"/>
        <v>37</v>
      </c>
      <c r="C1669" s="160">
        <f t="shared" si="64"/>
        <v>24</v>
      </c>
      <c r="D1669" s="160">
        <f t="shared" si="65"/>
        <v>2</v>
      </c>
      <c r="E1669" s="160">
        <f t="shared" si="66"/>
        <v>5</v>
      </c>
      <c r="F1669" s="160">
        <f t="shared" si="67"/>
        <v>48</v>
      </c>
      <c r="G1669" s="160">
        <f t="shared" si="68"/>
        <v>1</v>
      </c>
      <c r="H1669" s="160">
        <f t="shared" si="69"/>
        <v>21</v>
      </c>
      <c r="I1669" s="160">
        <f t="shared" si="70"/>
        <v>7</v>
      </c>
      <c r="J1669" s="160">
        <f t="shared" si="71"/>
        <v>2</v>
      </c>
    </row>
    <row r="1670" spans="2:10" x14ac:dyDescent="0.35">
      <c r="B1670" s="160">
        <f t="shared" si="63"/>
        <v>37</v>
      </c>
      <c r="C1670" s="160">
        <f t="shared" si="64"/>
        <v>24</v>
      </c>
      <c r="D1670" s="160">
        <f t="shared" si="65"/>
        <v>2</v>
      </c>
      <c r="E1670" s="160">
        <f t="shared" si="66"/>
        <v>5</v>
      </c>
      <c r="F1670" s="160">
        <f t="shared" si="67"/>
        <v>48</v>
      </c>
      <c r="G1670" s="160">
        <f t="shared" si="68"/>
        <v>2</v>
      </c>
      <c r="H1670" s="160">
        <f t="shared" si="69"/>
        <v>17</v>
      </c>
      <c r="I1670" s="160">
        <f t="shared" si="70"/>
        <v>7</v>
      </c>
      <c r="J1670" s="160">
        <f t="shared" si="71"/>
        <v>2</v>
      </c>
    </row>
    <row r="1671" spans="2:10" x14ac:dyDescent="0.35">
      <c r="B1671" s="160">
        <f t="shared" si="63"/>
        <v>37</v>
      </c>
      <c r="C1671" s="160">
        <f t="shared" si="64"/>
        <v>25</v>
      </c>
      <c r="D1671" s="160">
        <f t="shared" si="65"/>
        <v>2</v>
      </c>
      <c r="E1671" s="160">
        <f t="shared" si="66"/>
        <v>7</v>
      </c>
      <c r="F1671" s="160">
        <f t="shared" si="67"/>
        <v>48</v>
      </c>
      <c r="G1671" s="160">
        <f t="shared" si="68"/>
        <v>3</v>
      </c>
      <c r="H1671" s="160">
        <f t="shared" si="69"/>
        <v>2</v>
      </c>
      <c r="I1671" s="160">
        <f t="shared" si="70"/>
        <v>72</v>
      </c>
      <c r="J1671" s="160">
        <f t="shared" si="71"/>
        <v>1</v>
      </c>
    </row>
    <row r="1672" spans="2:10" x14ac:dyDescent="0.35">
      <c r="B1672" s="160">
        <f t="shared" si="63"/>
        <v>37</v>
      </c>
      <c r="C1672" s="160">
        <f t="shared" si="64"/>
        <v>25</v>
      </c>
      <c r="D1672" s="160">
        <f t="shared" si="65"/>
        <v>2</v>
      </c>
      <c r="E1672" s="160">
        <f t="shared" si="66"/>
        <v>7</v>
      </c>
      <c r="F1672" s="160">
        <f t="shared" si="67"/>
        <v>48</v>
      </c>
      <c r="G1672" s="160">
        <f t="shared" si="68"/>
        <v>5</v>
      </c>
      <c r="H1672" s="160">
        <f t="shared" si="69"/>
        <v>2</v>
      </c>
      <c r="I1672" s="160">
        <f t="shared" si="70"/>
        <v>73</v>
      </c>
      <c r="J1672" s="160">
        <f t="shared" si="71"/>
        <v>1</v>
      </c>
    </row>
    <row r="1673" spans="2:10" x14ac:dyDescent="0.35">
      <c r="B1673" s="160">
        <f t="shared" si="63"/>
        <v>37</v>
      </c>
      <c r="C1673" s="160">
        <f t="shared" si="64"/>
        <v>24</v>
      </c>
      <c r="D1673" s="160">
        <f t="shared" si="65"/>
        <v>2</v>
      </c>
      <c r="E1673" s="160">
        <f t="shared" si="66"/>
        <v>7</v>
      </c>
      <c r="F1673" s="160">
        <f t="shared" si="67"/>
        <v>49</v>
      </c>
      <c r="G1673" s="160">
        <f t="shared" si="68"/>
        <v>3</v>
      </c>
      <c r="H1673" s="160">
        <f t="shared" si="69"/>
        <v>23</v>
      </c>
      <c r="I1673" s="160">
        <f t="shared" si="70"/>
        <v>7</v>
      </c>
      <c r="J1673" s="160">
        <f t="shared" si="71"/>
        <v>1</v>
      </c>
    </row>
    <row r="1674" spans="2:10" x14ac:dyDescent="0.35">
      <c r="B1674" s="160">
        <f t="shared" si="63"/>
        <v>37</v>
      </c>
      <c r="C1674" s="160">
        <f t="shared" si="64"/>
        <v>24</v>
      </c>
      <c r="D1674" s="160">
        <f t="shared" si="65"/>
        <v>2</v>
      </c>
      <c r="E1674" s="160">
        <f t="shared" si="66"/>
        <v>7</v>
      </c>
      <c r="F1674" s="160">
        <f t="shared" si="67"/>
        <v>49</v>
      </c>
      <c r="G1674" s="160">
        <f t="shared" si="68"/>
        <v>5</v>
      </c>
      <c r="H1674" s="160">
        <f t="shared" si="69"/>
        <v>23</v>
      </c>
      <c r="I1674" s="160">
        <f t="shared" si="70"/>
        <v>7</v>
      </c>
      <c r="J1674" s="160">
        <f t="shared" si="71"/>
        <v>1</v>
      </c>
    </row>
    <row r="1675" spans="2:10" x14ac:dyDescent="0.35">
      <c r="B1675" s="160">
        <f t="shared" si="63"/>
        <v>37</v>
      </c>
      <c r="C1675" s="160">
        <f t="shared" si="64"/>
        <v>24</v>
      </c>
      <c r="D1675" s="160">
        <f t="shared" si="65"/>
        <v>2</v>
      </c>
      <c r="E1675" s="160">
        <f t="shared" si="66"/>
        <v>13</v>
      </c>
      <c r="F1675" s="160">
        <f t="shared" si="67"/>
        <v>53</v>
      </c>
      <c r="G1675" s="160">
        <f t="shared" si="68"/>
        <v>2</v>
      </c>
      <c r="H1675" s="160">
        <f t="shared" si="69"/>
        <v>23</v>
      </c>
      <c r="I1675" s="160">
        <f t="shared" si="70"/>
        <v>86</v>
      </c>
      <c r="J1675" s="160">
        <f t="shared" si="71"/>
        <v>1</v>
      </c>
    </row>
    <row r="1676" spans="2:10" x14ac:dyDescent="0.35">
      <c r="B1676" s="160">
        <f t="shared" si="63"/>
        <v>37</v>
      </c>
      <c r="C1676" s="160">
        <f t="shared" si="64"/>
        <v>24</v>
      </c>
      <c r="D1676" s="160">
        <f t="shared" si="65"/>
        <v>2</v>
      </c>
      <c r="E1676" s="160">
        <f t="shared" si="66"/>
        <v>13</v>
      </c>
      <c r="F1676" s="160">
        <f t="shared" si="67"/>
        <v>53</v>
      </c>
      <c r="G1676" s="160">
        <f t="shared" si="68"/>
        <v>4</v>
      </c>
      <c r="H1676" s="160">
        <f t="shared" si="69"/>
        <v>23</v>
      </c>
      <c r="I1676" s="160">
        <f t="shared" si="70"/>
        <v>87</v>
      </c>
      <c r="J1676" s="160">
        <f t="shared" si="71"/>
        <v>1</v>
      </c>
    </row>
    <row r="1677" spans="2:10" x14ac:dyDescent="0.35">
      <c r="B1677" s="160">
        <f t="shared" si="63"/>
        <v>38</v>
      </c>
      <c r="C1677" s="160">
        <f t="shared" si="64"/>
        <v>53</v>
      </c>
      <c r="D1677" s="160">
        <f t="shared" si="65"/>
        <v>4</v>
      </c>
      <c r="E1677" s="160">
        <f t="shared" si="66"/>
        <v>15</v>
      </c>
      <c r="F1677" s="160">
        <f t="shared" si="67"/>
        <v>43</v>
      </c>
      <c r="G1677" s="160">
        <f t="shared" si="68"/>
        <v>2</v>
      </c>
      <c r="H1677" s="160">
        <f t="shared" si="69"/>
        <v>8</v>
      </c>
      <c r="I1677" s="160">
        <f t="shared" si="70"/>
        <v>48</v>
      </c>
      <c r="J1677" s="160">
        <f t="shared" si="71"/>
        <v>1</v>
      </c>
    </row>
    <row r="1678" spans="2:10" x14ac:dyDescent="0.35">
      <c r="B1678" s="160">
        <f t="shared" si="63"/>
        <v>38</v>
      </c>
      <c r="C1678" s="160">
        <f t="shared" si="64"/>
        <v>53</v>
      </c>
      <c r="D1678" s="160">
        <f t="shared" si="65"/>
        <v>4</v>
      </c>
      <c r="E1678" s="160">
        <f t="shared" si="66"/>
        <v>15</v>
      </c>
      <c r="F1678" s="160">
        <f t="shared" si="67"/>
        <v>43</v>
      </c>
      <c r="G1678" s="160">
        <f t="shared" si="68"/>
        <v>5</v>
      </c>
      <c r="H1678" s="160">
        <f t="shared" si="69"/>
        <v>8</v>
      </c>
      <c r="I1678" s="160">
        <f t="shared" si="70"/>
        <v>48</v>
      </c>
      <c r="J1678" s="160">
        <f t="shared" si="71"/>
        <v>1</v>
      </c>
    </row>
    <row r="1679" spans="2:10" x14ac:dyDescent="0.35">
      <c r="B1679" s="160">
        <f t="shared" si="63"/>
        <v>38</v>
      </c>
      <c r="C1679" s="160">
        <f t="shared" si="64"/>
        <v>53</v>
      </c>
      <c r="D1679" s="160">
        <f t="shared" si="65"/>
        <v>4</v>
      </c>
      <c r="E1679" s="160">
        <f t="shared" si="66"/>
        <v>15</v>
      </c>
      <c r="F1679" s="160">
        <f t="shared" si="67"/>
        <v>44</v>
      </c>
      <c r="G1679" s="160">
        <f t="shared" si="68"/>
        <v>2</v>
      </c>
      <c r="H1679" s="160">
        <f t="shared" si="69"/>
        <v>18</v>
      </c>
      <c r="I1679" s="160">
        <f t="shared" si="70"/>
        <v>35</v>
      </c>
      <c r="J1679" s="160">
        <f t="shared" si="71"/>
        <v>1</v>
      </c>
    </row>
    <row r="1680" spans="2:10" x14ac:dyDescent="0.35">
      <c r="B1680" s="160">
        <f t="shared" si="63"/>
        <v>38</v>
      </c>
      <c r="C1680" s="160">
        <f t="shared" si="64"/>
        <v>53</v>
      </c>
      <c r="D1680" s="160">
        <f t="shared" si="65"/>
        <v>4</v>
      </c>
      <c r="E1680" s="160">
        <f t="shared" si="66"/>
        <v>15</v>
      </c>
      <c r="F1680" s="160">
        <f t="shared" si="67"/>
        <v>44</v>
      </c>
      <c r="G1680" s="160">
        <f t="shared" si="68"/>
        <v>5</v>
      </c>
      <c r="H1680" s="160">
        <f t="shared" si="69"/>
        <v>20</v>
      </c>
      <c r="I1680" s="160">
        <f t="shared" si="70"/>
        <v>103</v>
      </c>
      <c r="J1680" s="160">
        <f t="shared" si="71"/>
        <v>1</v>
      </c>
    </row>
    <row r="1681" spans="2:10" x14ac:dyDescent="0.35">
      <c r="B1681" s="160">
        <f t="shared" si="63"/>
        <v>38</v>
      </c>
      <c r="C1681" s="160">
        <f t="shared" si="64"/>
        <v>44</v>
      </c>
      <c r="D1681" s="160">
        <f t="shared" si="65"/>
        <v>4</v>
      </c>
      <c r="E1681" s="160">
        <f t="shared" si="66"/>
        <v>15</v>
      </c>
      <c r="F1681" s="160">
        <f t="shared" si="67"/>
        <v>28</v>
      </c>
      <c r="G1681" s="160">
        <f t="shared" si="68"/>
        <v>2</v>
      </c>
      <c r="H1681" s="160">
        <f t="shared" si="69"/>
        <v>2</v>
      </c>
      <c r="I1681" s="160">
        <f t="shared" si="70"/>
        <v>24</v>
      </c>
      <c r="J1681" s="160">
        <f t="shared" si="71"/>
        <v>2</v>
      </c>
    </row>
    <row r="1682" spans="2:10" x14ac:dyDescent="0.35">
      <c r="B1682" s="160">
        <f t="shared" si="63"/>
        <v>38</v>
      </c>
      <c r="C1682" s="160">
        <f t="shared" si="64"/>
        <v>44</v>
      </c>
      <c r="D1682" s="160">
        <f t="shared" si="65"/>
        <v>4</v>
      </c>
      <c r="E1682" s="160">
        <f t="shared" si="66"/>
        <v>15</v>
      </c>
      <c r="F1682" s="160">
        <f t="shared" si="67"/>
        <v>28</v>
      </c>
      <c r="G1682" s="160">
        <f t="shared" si="68"/>
        <v>5</v>
      </c>
      <c r="H1682" s="160">
        <f t="shared" si="69"/>
        <v>8</v>
      </c>
      <c r="I1682" s="160">
        <f t="shared" si="70"/>
        <v>46</v>
      </c>
      <c r="J1682" s="160">
        <f t="shared" si="71"/>
        <v>2</v>
      </c>
    </row>
    <row r="1683" spans="2:10" x14ac:dyDescent="0.35">
      <c r="B1683" s="160">
        <f t="shared" si="63"/>
        <v>38</v>
      </c>
      <c r="C1683" s="160">
        <f t="shared" si="64"/>
        <v>33</v>
      </c>
      <c r="D1683" s="160">
        <f t="shared" si="65"/>
        <v>3</v>
      </c>
      <c r="E1683" s="160">
        <f t="shared" si="66"/>
        <v>15</v>
      </c>
      <c r="F1683" s="160">
        <f t="shared" si="67"/>
        <v>36</v>
      </c>
      <c r="G1683" s="160">
        <f t="shared" si="68"/>
        <v>2</v>
      </c>
      <c r="H1683" s="160">
        <f t="shared" si="69"/>
        <v>10</v>
      </c>
      <c r="I1683" s="160">
        <f t="shared" si="70"/>
        <v>44</v>
      </c>
      <c r="J1683" s="160">
        <f t="shared" si="71"/>
        <v>2</v>
      </c>
    </row>
    <row r="1684" spans="2:10" x14ac:dyDescent="0.35">
      <c r="B1684" s="160">
        <f t="shared" si="63"/>
        <v>38</v>
      </c>
      <c r="C1684" s="160">
        <f t="shared" si="64"/>
        <v>33</v>
      </c>
      <c r="D1684" s="160">
        <f t="shared" si="65"/>
        <v>3</v>
      </c>
      <c r="E1684" s="160">
        <f t="shared" si="66"/>
        <v>15</v>
      </c>
      <c r="F1684" s="160">
        <f t="shared" si="67"/>
        <v>36</v>
      </c>
      <c r="G1684" s="160">
        <f t="shared" si="68"/>
        <v>4</v>
      </c>
      <c r="H1684" s="160">
        <f t="shared" si="69"/>
        <v>1</v>
      </c>
      <c r="I1684" s="160">
        <f t="shared" si="70"/>
        <v>44</v>
      </c>
      <c r="J1684" s="160">
        <f t="shared" si="71"/>
        <v>2</v>
      </c>
    </row>
    <row r="1685" spans="2:10" x14ac:dyDescent="0.35">
      <c r="B1685" s="160">
        <f t="shared" si="63"/>
        <v>38</v>
      </c>
      <c r="C1685" s="160">
        <f t="shared" si="64"/>
        <v>71</v>
      </c>
      <c r="D1685" s="160">
        <f t="shared" si="65"/>
        <v>1</v>
      </c>
      <c r="E1685" s="160">
        <f t="shared" si="66"/>
        <v>16</v>
      </c>
      <c r="F1685" s="160">
        <f t="shared" si="67"/>
        <v>48</v>
      </c>
      <c r="G1685" s="160">
        <f t="shared" si="68"/>
        <v>1</v>
      </c>
      <c r="H1685" s="160">
        <f t="shared" si="69"/>
        <v>1</v>
      </c>
      <c r="I1685" s="160">
        <f t="shared" si="70"/>
        <v>37</v>
      </c>
      <c r="J1685" s="160">
        <f t="shared" si="71"/>
        <v>1</v>
      </c>
    </row>
    <row r="1686" spans="2:10" x14ac:dyDescent="0.35">
      <c r="B1686" s="160">
        <f t="shared" si="63"/>
        <v>38</v>
      </c>
      <c r="C1686" s="160">
        <f t="shared" si="64"/>
        <v>71</v>
      </c>
      <c r="D1686" s="160">
        <f t="shared" si="65"/>
        <v>1</v>
      </c>
      <c r="E1686" s="160">
        <f t="shared" si="66"/>
        <v>16</v>
      </c>
      <c r="F1686" s="160">
        <f t="shared" si="67"/>
        <v>48</v>
      </c>
      <c r="G1686" s="160">
        <f t="shared" si="68"/>
        <v>2</v>
      </c>
      <c r="H1686" s="160">
        <f t="shared" si="69"/>
        <v>1</v>
      </c>
      <c r="I1686" s="160">
        <f t="shared" si="70"/>
        <v>37</v>
      </c>
      <c r="J1686" s="160">
        <f t="shared" si="71"/>
        <v>1</v>
      </c>
    </row>
    <row r="1687" spans="2:10" x14ac:dyDescent="0.35">
      <c r="B1687" s="160">
        <f t="shared" si="63"/>
        <v>38</v>
      </c>
      <c r="C1687" s="160">
        <f t="shared" si="64"/>
        <v>28</v>
      </c>
      <c r="D1687" s="160">
        <f t="shared" si="65"/>
        <v>1</v>
      </c>
      <c r="E1687" s="160">
        <f t="shared" si="66"/>
        <v>16</v>
      </c>
      <c r="F1687" s="160">
        <f t="shared" si="67"/>
        <v>48</v>
      </c>
      <c r="G1687" s="160">
        <f t="shared" si="68"/>
        <v>1</v>
      </c>
      <c r="H1687" s="160">
        <f t="shared" si="69"/>
        <v>20</v>
      </c>
      <c r="I1687" s="160">
        <f t="shared" si="70"/>
        <v>37</v>
      </c>
      <c r="J1687" s="160">
        <f t="shared" si="71"/>
        <v>2</v>
      </c>
    </row>
    <row r="1688" spans="2:10" x14ac:dyDescent="0.35">
      <c r="B1688" s="160">
        <f t="shared" si="63"/>
        <v>38</v>
      </c>
      <c r="C1688" s="160">
        <f t="shared" si="64"/>
        <v>28</v>
      </c>
      <c r="D1688" s="160">
        <f t="shared" si="65"/>
        <v>1</v>
      </c>
      <c r="E1688" s="160">
        <f t="shared" si="66"/>
        <v>16</v>
      </c>
      <c r="F1688" s="160">
        <f t="shared" si="67"/>
        <v>48</v>
      </c>
      <c r="G1688" s="160">
        <f t="shared" si="68"/>
        <v>2</v>
      </c>
      <c r="H1688" s="160">
        <f t="shared" si="69"/>
        <v>20</v>
      </c>
      <c r="I1688" s="160">
        <f t="shared" si="70"/>
        <v>37</v>
      </c>
      <c r="J1688" s="160">
        <f t="shared" si="71"/>
        <v>2</v>
      </c>
    </row>
    <row r="1689" spans="2:10" x14ac:dyDescent="0.35">
      <c r="B1689" s="160">
        <f t="shared" ref="B1689:B1752" si="72">INDEX($A$2:$A$85,MATCH(I574,$B$2:$B$85,0))</f>
        <v>38</v>
      </c>
      <c r="C1689" s="160">
        <f t="shared" ref="C1689:C1752" si="73">INDEX($D$2:$D$117,MATCH(J574,$E$2:$E$117,0))</f>
        <v>79</v>
      </c>
      <c r="D1689" s="160">
        <f t="shared" ref="D1689:D1752" si="74">INDEX($P$2:$P$5,MATCH(K574,$Q$2:$Q$5,0))</f>
        <v>2</v>
      </c>
      <c r="E1689" s="160">
        <f t="shared" ref="E1689:E1752" si="75">INDEX($G$2:$G$19,MATCH(L574,$H$2:$H$19,0))</f>
        <v>17</v>
      </c>
      <c r="F1689" s="160">
        <f t="shared" ref="F1689:F1752" si="76">INDEX($J$2:$J$55,MATCH(M574,$K$2:$K$55,0))</f>
        <v>43</v>
      </c>
      <c r="G1689" s="160">
        <f t="shared" ref="G1689:G1752" si="77">INDEX($M$2:$M$6,MATCH(N574,$N$2:$N$6,0))</f>
        <v>2</v>
      </c>
      <c r="H1689" s="160">
        <f t="shared" ref="H1689:H1752" si="78">INDEX($S$2:$S$26,MATCH(O574,$T$2:$T$26,0))</f>
        <v>11</v>
      </c>
      <c r="I1689" s="160">
        <f t="shared" ref="I1689:I1752" si="79">INDEX($V$2:$V$108,MATCH(P574,$W$2:$W$108,0))</f>
        <v>34</v>
      </c>
      <c r="J1689" s="160">
        <f t="shared" ref="J1689:J1752" si="80">INDEX($Y$2:$Y$4,MATCH(Q574,$Z$2:$Z$4,0))</f>
        <v>2</v>
      </c>
    </row>
    <row r="1690" spans="2:10" x14ac:dyDescent="0.35">
      <c r="B1690" s="160">
        <f t="shared" si="72"/>
        <v>38</v>
      </c>
      <c r="C1690" s="160">
        <f t="shared" si="73"/>
        <v>79</v>
      </c>
      <c r="D1690" s="160">
        <f t="shared" si="74"/>
        <v>2</v>
      </c>
      <c r="E1690" s="160">
        <f t="shared" si="75"/>
        <v>17</v>
      </c>
      <c r="F1690" s="160">
        <f t="shared" si="76"/>
        <v>43</v>
      </c>
      <c r="G1690" s="160">
        <f t="shared" si="77"/>
        <v>4</v>
      </c>
      <c r="H1690" s="160">
        <f t="shared" si="78"/>
        <v>11</v>
      </c>
      <c r="I1690" s="160">
        <f t="shared" si="79"/>
        <v>34</v>
      </c>
      <c r="J1690" s="160">
        <f t="shared" si="80"/>
        <v>2</v>
      </c>
    </row>
    <row r="1691" spans="2:10" x14ac:dyDescent="0.35">
      <c r="B1691" s="160">
        <f t="shared" si="72"/>
        <v>38</v>
      </c>
      <c r="C1691" s="160">
        <f t="shared" si="73"/>
        <v>68</v>
      </c>
      <c r="D1691" s="160">
        <f t="shared" si="74"/>
        <v>2</v>
      </c>
      <c r="E1691" s="160">
        <f t="shared" si="75"/>
        <v>17</v>
      </c>
      <c r="F1691" s="160">
        <f t="shared" si="76"/>
        <v>43</v>
      </c>
      <c r="G1691" s="160">
        <f t="shared" si="77"/>
        <v>2</v>
      </c>
      <c r="H1691" s="160">
        <f t="shared" si="78"/>
        <v>20</v>
      </c>
      <c r="I1691" s="160">
        <f t="shared" si="79"/>
        <v>34</v>
      </c>
      <c r="J1691" s="160">
        <f t="shared" si="80"/>
        <v>2</v>
      </c>
    </row>
    <row r="1692" spans="2:10" x14ac:dyDescent="0.35">
      <c r="B1692" s="160">
        <f t="shared" si="72"/>
        <v>38</v>
      </c>
      <c r="C1692" s="160">
        <f t="shared" si="73"/>
        <v>68</v>
      </c>
      <c r="D1692" s="160">
        <f t="shared" si="74"/>
        <v>2</v>
      </c>
      <c r="E1692" s="160">
        <f t="shared" si="75"/>
        <v>17</v>
      </c>
      <c r="F1692" s="160">
        <f t="shared" si="76"/>
        <v>43</v>
      </c>
      <c r="G1692" s="160">
        <f t="shared" si="77"/>
        <v>4</v>
      </c>
      <c r="H1692" s="160">
        <f t="shared" si="78"/>
        <v>20</v>
      </c>
      <c r="I1692" s="160">
        <f t="shared" si="79"/>
        <v>34</v>
      </c>
      <c r="J1692" s="160">
        <f t="shared" si="80"/>
        <v>2</v>
      </c>
    </row>
    <row r="1693" spans="2:10" x14ac:dyDescent="0.35">
      <c r="B1693" s="160">
        <f t="shared" si="72"/>
        <v>38</v>
      </c>
      <c r="C1693" s="160">
        <f t="shared" si="73"/>
        <v>71</v>
      </c>
      <c r="D1693" s="160">
        <f t="shared" si="74"/>
        <v>2</v>
      </c>
      <c r="E1693" s="160">
        <f t="shared" si="75"/>
        <v>17</v>
      </c>
      <c r="F1693" s="160">
        <f t="shared" si="76"/>
        <v>48</v>
      </c>
      <c r="G1693" s="160">
        <f t="shared" si="77"/>
        <v>1</v>
      </c>
      <c r="H1693" s="160">
        <f t="shared" si="78"/>
        <v>11</v>
      </c>
      <c r="I1693" s="160">
        <f t="shared" si="79"/>
        <v>5</v>
      </c>
      <c r="J1693" s="160">
        <f t="shared" si="80"/>
        <v>1</v>
      </c>
    </row>
    <row r="1694" spans="2:10" x14ac:dyDescent="0.35">
      <c r="B1694" s="160">
        <f t="shared" si="72"/>
        <v>38</v>
      </c>
      <c r="C1694" s="160">
        <f t="shared" si="73"/>
        <v>71</v>
      </c>
      <c r="D1694" s="160">
        <f t="shared" si="74"/>
        <v>2</v>
      </c>
      <c r="E1694" s="160">
        <f t="shared" si="75"/>
        <v>17</v>
      </c>
      <c r="F1694" s="160">
        <f t="shared" si="76"/>
        <v>48</v>
      </c>
      <c r="G1694" s="160">
        <f t="shared" si="77"/>
        <v>4</v>
      </c>
      <c r="H1694" s="160">
        <f t="shared" si="78"/>
        <v>11</v>
      </c>
      <c r="I1694" s="160">
        <f t="shared" si="79"/>
        <v>5</v>
      </c>
      <c r="J1694" s="160">
        <f t="shared" si="80"/>
        <v>1</v>
      </c>
    </row>
    <row r="1695" spans="2:10" x14ac:dyDescent="0.35">
      <c r="B1695" s="160">
        <f t="shared" si="72"/>
        <v>38</v>
      </c>
      <c r="C1695" s="160">
        <f t="shared" si="73"/>
        <v>46</v>
      </c>
      <c r="D1695" s="160">
        <f t="shared" si="74"/>
        <v>4</v>
      </c>
      <c r="E1695" s="160">
        <f t="shared" si="75"/>
        <v>17</v>
      </c>
      <c r="F1695" s="160">
        <f t="shared" si="76"/>
        <v>15</v>
      </c>
      <c r="G1695" s="160">
        <f t="shared" si="77"/>
        <v>5</v>
      </c>
      <c r="H1695" s="160">
        <f t="shared" si="78"/>
        <v>25</v>
      </c>
      <c r="I1695" s="160">
        <f t="shared" si="79"/>
        <v>41</v>
      </c>
      <c r="J1695" s="160">
        <f t="shared" si="80"/>
        <v>3</v>
      </c>
    </row>
    <row r="1696" spans="2:10" x14ac:dyDescent="0.35">
      <c r="B1696" s="160">
        <f t="shared" si="72"/>
        <v>39</v>
      </c>
      <c r="C1696" s="160">
        <f t="shared" si="73"/>
        <v>89</v>
      </c>
      <c r="D1696" s="160">
        <f t="shared" si="74"/>
        <v>3</v>
      </c>
      <c r="E1696" s="160">
        <f t="shared" si="75"/>
        <v>15</v>
      </c>
      <c r="F1696" s="160">
        <f t="shared" si="76"/>
        <v>45</v>
      </c>
      <c r="G1696" s="160">
        <f t="shared" si="77"/>
        <v>1</v>
      </c>
      <c r="H1696" s="160">
        <f t="shared" si="78"/>
        <v>10</v>
      </c>
      <c r="I1696" s="160">
        <f t="shared" si="79"/>
        <v>38</v>
      </c>
      <c r="J1696" s="160">
        <f t="shared" si="80"/>
        <v>1</v>
      </c>
    </row>
    <row r="1697" spans="2:10" x14ac:dyDescent="0.35">
      <c r="B1697" s="160">
        <f t="shared" si="72"/>
        <v>39</v>
      </c>
      <c r="C1697" s="160">
        <f t="shared" si="73"/>
        <v>89</v>
      </c>
      <c r="D1697" s="160">
        <f t="shared" si="74"/>
        <v>3</v>
      </c>
      <c r="E1697" s="160">
        <f t="shared" si="75"/>
        <v>15</v>
      </c>
      <c r="F1697" s="160">
        <f t="shared" si="76"/>
        <v>45</v>
      </c>
      <c r="G1697" s="160">
        <f t="shared" si="77"/>
        <v>5</v>
      </c>
      <c r="H1697" s="160">
        <f t="shared" si="78"/>
        <v>1</v>
      </c>
      <c r="I1697" s="160">
        <f t="shared" si="79"/>
        <v>35</v>
      </c>
      <c r="J1697" s="160">
        <f t="shared" si="80"/>
        <v>1</v>
      </c>
    </row>
    <row r="1698" spans="2:10" x14ac:dyDescent="0.35">
      <c r="B1698" s="160">
        <f t="shared" si="72"/>
        <v>39</v>
      </c>
      <c r="C1698" s="160">
        <f t="shared" si="73"/>
        <v>89</v>
      </c>
      <c r="D1698" s="160">
        <f t="shared" si="74"/>
        <v>3</v>
      </c>
      <c r="E1698" s="160">
        <f t="shared" si="75"/>
        <v>15</v>
      </c>
      <c r="F1698" s="160">
        <f t="shared" si="76"/>
        <v>46</v>
      </c>
      <c r="G1698" s="160">
        <f t="shared" si="77"/>
        <v>1</v>
      </c>
      <c r="H1698" s="160">
        <f t="shared" si="78"/>
        <v>1</v>
      </c>
      <c r="I1698" s="160">
        <f t="shared" si="79"/>
        <v>30</v>
      </c>
      <c r="J1698" s="160">
        <f t="shared" si="80"/>
        <v>2</v>
      </c>
    </row>
    <row r="1699" spans="2:10" x14ac:dyDescent="0.35">
      <c r="B1699" s="160">
        <f t="shared" si="72"/>
        <v>39</v>
      </c>
      <c r="C1699" s="160">
        <f t="shared" si="73"/>
        <v>89</v>
      </c>
      <c r="D1699" s="160">
        <f t="shared" si="74"/>
        <v>3</v>
      </c>
      <c r="E1699" s="160">
        <f t="shared" si="75"/>
        <v>15</v>
      </c>
      <c r="F1699" s="160">
        <f t="shared" si="76"/>
        <v>46</v>
      </c>
      <c r="G1699" s="160">
        <f t="shared" si="77"/>
        <v>5</v>
      </c>
      <c r="H1699" s="160">
        <f t="shared" si="78"/>
        <v>10</v>
      </c>
      <c r="I1699" s="160">
        <f t="shared" si="79"/>
        <v>51</v>
      </c>
      <c r="J1699" s="160">
        <f t="shared" si="80"/>
        <v>2</v>
      </c>
    </row>
    <row r="1700" spans="2:10" x14ac:dyDescent="0.35">
      <c r="B1700" s="160">
        <f t="shared" si="72"/>
        <v>39</v>
      </c>
      <c r="C1700" s="160">
        <f t="shared" si="73"/>
        <v>25</v>
      </c>
      <c r="D1700" s="160">
        <f t="shared" si="74"/>
        <v>2</v>
      </c>
      <c r="E1700" s="160">
        <f t="shared" si="75"/>
        <v>5</v>
      </c>
      <c r="F1700" s="160">
        <f t="shared" si="76"/>
        <v>48</v>
      </c>
      <c r="G1700" s="160">
        <f t="shared" si="77"/>
        <v>1</v>
      </c>
      <c r="H1700" s="160">
        <f t="shared" si="78"/>
        <v>17</v>
      </c>
      <c r="I1700" s="160">
        <f t="shared" si="79"/>
        <v>16</v>
      </c>
      <c r="J1700" s="160">
        <f t="shared" si="80"/>
        <v>2</v>
      </c>
    </row>
    <row r="1701" spans="2:10" x14ac:dyDescent="0.35">
      <c r="B1701" s="160">
        <f t="shared" si="72"/>
        <v>39</v>
      </c>
      <c r="C1701" s="160">
        <f t="shared" si="73"/>
        <v>25</v>
      </c>
      <c r="D1701" s="160">
        <f t="shared" si="74"/>
        <v>2</v>
      </c>
      <c r="E1701" s="160">
        <f t="shared" si="75"/>
        <v>5</v>
      </c>
      <c r="F1701" s="160">
        <f t="shared" si="76"/>
        <v>48</v>
      </c>
      <c r="G1701" s="160">
        <f t="shared" si="77"/>
        <v>2</v>
      </c>
      <c r="H1701" s="160">
        <f t="shared" si="78"/>
        <v>7</v>
      </c>
      <c r="I1701" s="160">
        <f t="shared" si="79"/>
        <v>95</v>
      </c>
      <c r="J1701" s="160">
        <f t="shared" si="80"/>
        <v>2</v>
      </c>
    </row>
    <row r="1702" spans="2:10" x14ac:dyDescent="0.35">
      <c r="B1702" s="160">
        <f t="shared" si="72"/>
        <v>39</v>
      </c>
      <c r="C1702" s="160">
        <f t="shared" si="73"/>
        <v>24</v>
      </c>
      <c r="D1702" s="160">
        <f t="shared" si="74"/>
        <v>2</v>
      </c>
      <c r="E1702" s="160">
        <f t="shared" si="75"/>
        <v>7</v>
      </c>
      <c r="F1702" s="160">
        <f t="shared" si="76"/>
        <v>48</v>
      </c>
      <c r="G1702" s="160">
        <f t="shared" si="77"/>
        <v>3</v>
      </c>
      <c r="H1702" s="160">
        <f t="shared" si="78"/>
        <v>23</v>
      </c>
      <c r="I1702" s="160">
        <f t="shared" si="79"/>
        <v>7</v>
      </c>
      <c r="J1702" s="160">
        <f t="shared" si="80"/>
        <v>1</v>
      </c>
    </row>
    <row r="1703" spans="2:10" x14ac:dyDescent="0.35">
      <c r="B1703" s="160">
        <f t="shared" si="72"/>
        <v>39</v>
      </c>
      <c r="C1703" s="160">
        <f t="shared" si="73"/>
        <v>24</v>
      </c>
      <c r="D1703" s="160">
        <f t="shared" si="74"/>
        <v>2</v>
      </c>
      <c r="E1703" s="160">
        <f t="shared" si="75"/>
        <v>7</v>
      </c>
      <c r="F1703" s="160">
        <f t="shared" si="76"/>
        <v>48</v>
      </c>
      <c r="G1703" s="160">
        <f t="shared" si="77"/>
        <v>5</v>
      </c>
      <c r="H1703" s="160">
        <f t="shared" si="78"/>
        <v>23</v>
      </c>
      <c r="I1703" s="160">
        <f t="shared" si="79"/>
        <v>7</v>
      </c>
      <c r="J1703" s="160">
        <f t="shared" si="80"/>
        <v>1</v>
      </c>
    </row>
    <row r="1704" spans="2:10" x14ac:dyDescent="0.35">
      <c r="B1704" s="160">
        <f t="shared" si="72"/>
        <v>39</v>
      </c>
      <c r="C1704" s="160">
        <f t="shared" si="73"/>
        <v>25</v>
      </c>
      <c r="D1704" s="160">
        <f t="shared" si="74"/>
        <v>2</v>
      </c>
      <c r="E1704" s="160">
        <f t="shared" si="75"/>
        <v>7</v>
      </c>
      <c r="F1704" s="160">
        <f t="shared" si="76"/>
        <v>49</v>
      </c>
      <c r="G1704" s="160">
        <f t="shared" si="77"/>
        <v>3</v>
      </c>
      <c r="H1704" s="160">
        <f t="shared" si="78"/>
        <v>2</v>
      </c>
      <c r="I1704" s="160">
        <f t="shared" si="79"/>
        <v>73</v>
      </c>
      <c r="J1704" s="160">
        <f t="shared" si="80"/>
        <v>1</v>
      </c>
    </row>
    <row r="1705" spans="2:10" x14ac:dyDescent="0.35">
      <c r="B1705" s="160">
        <f t="shared" si="72"/>
        <v>39</v>
      </c>
      <c r="C1705" s="160">
        <f t="shared" si="73"/>
        <v>25</v>
      </c>
      <c r="D1705" s="160">
        <f t="shared" si="74"/>
        <v>2</v>
      </c>
      <c r="E1705" s="160">
        <f t="shared" si="75"/>
        <v>7</v>
      </c>
      <c r="F1705" s="160">
        <f t="shared" si="76"/>
        <v>49</v>
      </c>
      <c r="G1705" s="160">
        <f t="shared" si="77"/>
        <v>5</v>
      </c>
      <c r="H1705" s="160">
        <f t="shared" si="78"/>
        <v>2</v>
      </c>
      <c r="I1705" s="160">
        <f t="shared" si="79"/>
        <v>74</v>
      </c>
      <c r="J1705" s="160">
        <f t="shared" si="80"/>
        <v>1</v>
      </c>
    </row>
    <row r="1706" spans="2:10" x14ac:dyDescent="0.35">
      <c r="B1706" s="160">
        <f t="shared" si="72"/>
        <v>39</v>
      </c>
      <c r="C1706" s="160">
        <f t="shared" si="73"/>
        <v>25</v>
      </c>
      <c r="D1706" s="160">
        <f t="shared" si="74"/>
        <v>2</v>
      </c>
      <c r="E1706" s="160">
        <f t="shared" si="75"/>
        <v>13</v>
      </c>
      <c r="F1706" s="160">
        <f t="shared" si="76"/>
        <v>53</v>
      </c>
      <c r="G1706" s="160">
        <f t="shared" si="77"/>
        <v>1</v>
      </c>
      <c r="H1706" s="160">
        <f t="shared" si="78"/>
        <v>1</v>
      </c>
      <c r="I1706" s="160">
        <f t="shared" si="79"/>
        <v>86</v>
      </c>
      <c r="J1706" s="160">
        <f t="shared" si="80"/>
        <v>1</v>
      </c>
    </row>
    <row r="1707" spans="2:10" x14ac:dyDescent="0.35">
      <c r="B1707" s="160">
        <f t="shared" si="72"/>
        <v>39</v>
      </c>
      <c r="C1707" s="160">
        <f t="shared" si="73"/>
        <v>25</v>
      </c>
      <c r="D1707" s="160">
        <f t="shared" si="74"/>
        <v>2</v>
      </c>
      <c r="E1707" s="160">
        <f t="shared" si="75"/>
        <v>13</v>
      </c>
      <c r="F1707" s="160">
        <f t="shared" si="76"/>
        <v>53</v>
      </c>
      <c r="G1707" s="160">
        <f t="shared" si="77"/>
        <v>3</v>
      </c>
      <c r="H1707" s="160">
        <f t="shared" si="78"/>
        <v>1</v>
      </c>
      <c r="I1707" s="160">
        <f t="shared" si="79"/>
        <v>87</v>
      </c>
      <c r="J1707" s="160">
        <f t="shared" si="80"/>
        <v>1</v>
      </c>
    </row>
    <row r="1708" spans="2:10" x14ac:dyDescent="0.35">
      <c r="B1708" s="160">
        <f t="shared" si="72"/>
        <v>39</v>
      </c>
      <c r="C1708" s="160">
        <f t="shared" si="73"/>
        <v>33</v>
      </c>
      <c r="D1708" s="160">
        <f t="shared" si="74"/>
        <v>2</v>
      </c>
      <c r="E1708" s="160">
        <f t="shared" si="75"/>
        <v>15</v>
      </c>
      <c r="F1708" s="160">
        <f t="shared" si="76"/>
        <v>37</v>
      </c>
      <c r="G1708" s="160">
        <f t="shared" si="77"/>
        <v>2</v>
      </c>
      <c r="H1708" s="160">
        <f t="shared" si="78"/>
        <v>1</v>
      </c>
      <c r="I1708" s="160">
        <f t="shared" si="79"/>
        <v>44</v>
      </c>
      <c r="J1708" s="160">
        <f t="shared" si="80"/>
        <v>2</v>
      </c>
    </row>
    <row r="1709" spans="2:10" x14ac:dyDescent="0.35">
      <c r="B1709" s="160">
        <f t="shared" si="72"/>
        <v>39</v>
      </c>
      <c r="C1709" s="160">
        <f t="shared" si="73"/>
        <v>33</v>
      </c>
      <c r="D1709" s="160">
        <f t="shared" si="74"/>
        <v>2</v>
      </c>
      <c r="E1709" s="160">
        <f t="shared" si="75"/>
        <v>15</v>
      </c>
      <c r="F1709" s="160">
        <f t="shared" si="76"/>
        <v>37</v>
      </c>
      <c r="G1709" s="160">
        <f t="shared" si="77"/>
        <v>4</v>
      </c>
      <c r="H1709" s="160">
        <f t="shared" si="78"/>
        <v>10</v>
      </c>
      <c r="I1709" s="160">
        <f t="shared" si="79"/>
        <v>44</v>
      </c>
      <c r="J1709" s="160">
        <f t="shared" si="80"/>
        <v>2</v>
      </c>
    </row>
    <row r="1710" spans="2:10" x14ac:dyDescent="0.35">
      <c r="B1710" s="160">
        <f t="shared" si="72"/>
        <v>39</v>
      </c>
      <c r="C1710" s="160">
        <f t="shared" si="73"/>
        <v>7</v>
      </c>
      <c r="D1710" s="160">
        <f t="shared" si="74"/>
        <v>2</v>
      </c>
      <c r="E1710" s="160">
        <f t="shared" si="75"/>
        <v>8</v>
      </c>
      <c r="F1710" s="160">
        <f t="shared" si="76"/>
        <v>50</v>
      </c>
      <c r="G1710" s="160">
        <f t="shared" si="77"/>
        <v>2</v>
      </c>
      <c r="H1710" s="160">
        <f t="shared" si="78"/>
        <v>7</v>
      </c>
      <c r="I1710" s="160">
        <f t="shared" si="79"/>
        <v>3</v>
      </c>
      <c r="J1710" s="160">
        <f t="shared" si="80"/>
        <v>2</v>
      </c>
    </row>
    <row r="1711" spans="2:10" x14ac:dyDescent="0.35">
      <c r="B1711" s="160">
        <f t="shared" si="72"/>
        <v>39</v>
      </c>
      <c r="C1711" s="160">
        <f t="shared" si="73"/>
        <v>7</v>
      </c>
      <c r="D1711" s="160">
        <f t="shared" si="74"/>
        <v>2</v>
      </c>
      <c r="E1711" s="160">
        <f t="shared" si="75"/>
        <v>8</v>
      </c>
      <c r="F1711" s="160">
        <f t="shared" si="76"/>
        <v>50</v>
      </c>
      <c r="G1711" s="160">
        <f t="shared" si="77"/>
        <v>4</v>
      </c>
      <c r="H1711" s="160">
        <f t="shared" si="78"/>
        <v>7</v>
      </c>
      <c r="I1711" s="160">
        <f t="shared" si="79"/>
        <v>3</v>
      </c>
      <c r="J1711" s="160">
        <f t="shared" si="80"/>
        <v>2</v>
      </c>
    </row>
    <row r="1712" spans="2:10" x14ac:dyDescent="0.35">
      <c r="B1712" s="160">
        <f t="shared" si="72"/>
        <v>39</v>
      </c>
      <c r="C1712" s="160">
        <f t="shared" si="73"/>
        <v>46</v>
      </c>
      <c r="D1712" s="160">
        <f t="shared" si="74"/>
        <v>4</v>
      </c>
      <c r="E1712" s="160">
        <f t="shared" si="75"/>
        <v>15</v>
      </c>
      <c r="F1712" s="160">
        <f t="shared" si="76"/>
        <v>16</v>
      </c>
      <c r="G1712" s="160">
        <f t="shared" si="77"/>
        <v>5</v>
      </c>
      <c r="H1712" s="160">
        <f t="shared" si="78"/>
        <v>25</v>
      </c>
      <c r="I1712" s="160">
        <f t="shared" si="79"/>
        <v>37</v>
      </c>
      <c r="J1712" s="160">
        <f t="shared" si="80"/>
        <v>3</v>
      </c>
    </row>
    <row r="1713" spans="2:10" x14ac:dyDescent="0.35">
      <c r="B1713" s="160">
        <f t="shared" si="72"/>
        <v>40</v>
      </c>
      <c r="C1713" s="160">
        <f t="shared" si="73"/>
        <v>14</v>
      </c>
      <c r="D1713" s="160">
        <f t="shared" si="74"/>
        <v>4</v>
      </c>
      <c r="E1713" s="160">
        <f t="shared" si="75"/>
        <v>8</v>
      </c>
      <c r="F1713" s="160">
        <f t="shared" si="76"/>
        <v>25</v>
      </c>
      <c r="G1713" s="160">
        <f t="shared" si="77"/>
        <v>2</v>
      </c>
      <c r="H1713" s="160">
        <f t="shared" si="78"/>
        <v>2</v>
      </c>
      <c r="I1713" s="160">
        <f t="shared" si="79"/>
        <v>18</v>
      </c>
      <c r="J1713" s="160">
        <f t="shared" si="80"/>
        <v>2</v>
      </c>
    </row>
    <row r="1714" spans="2:10" x14ac:dyDescent="0.35">
      <c r="B1714" s="160">
        <f t="shared" si="72"/>
        <v>40</v>
      </c>
      <c r="C1714" s="160">
        <f t="shared" si="73"/>
        <v>14</v>
      </c>
      <c r="D1714" s="160">
        <f t="shared" si="74"/>
        <v>4</v>
      </c>
      <c r="E1714" s="160">
        <f t="shared" si="75"/>
        <v>8</v>
      </c>
      <c r="F1714" s="160">
        <f t="shared" si="76"/>
        <v>25</v>
      </c>
      <c r="G1714" s="160">
        <f t="shared" si="77"/>
        <v>4</v>
      </c>
      <c r="H1714" s="160">
        <f t="shared" si="78"/>
        <v>2</v>
      </c>
      <c r="I1714" s="160">
        <f t="shared" si="79"/>
        <v>19</v>
      </c>
      <c r="J1714" s="160">
        <f t="shared" si="80"/>
        <v>2</v>
      </c>
    </row>
    <row r="1715" spans="2:10" x14ac:dyDescent="0.35">
      <c r="B1715" s="160">
        <f t="shared" si="72"/>
        <v>40</v>
      </c>
      <c r="C1715" s="160">
        <f t="shared" si="73"/>
        <v>14</v>
      </c>
      <c r="D1715" s="160">
        <f t="shared" si="74"/>
        <v>4</v>
      </c>
      <c r="E1715" s="160">
        <f t="shared" si="75"/>
        <v>8</v>
      </c>
      <c r="F1715" s="160">
        <f t="shared" si="76"/>
        <v>26</v>
      </c>
      <c r="G1715" s="160">
        <f t="shared" si="77"/>
        <v>2</v>
      </c>
      <c r="H1715" s="160">
        <f t="shared" si="78"/>
        <v>11</v>
      </c>
      <c r="I1715" s="160">
        <f t="shared" si="79"/>
        <v>18</v>
      </c>
      <c r="J1715" s="160">
        <f t="shared" si="80"/>
        <v>2</v>
      </c>
    </row>
    <row r="1716" spans="2:10" x14ac:dyDescent="0.35">
      <c r="B1716" s="160">
        <f t="shared" si="72"/>
        <v>40</v>
      </c>
      <c r="C1716" s="160">
        <f t="shared" si="73"/>
        <v>14</v>
      </c>
      <c r="D1716" s="160">
        <f t="shared" si="74"/>
        <v>4</v>
      </c>
      <c r="E1716" s="160">
        <f t="shared" si="75"/>
        <v>8</v>
      </c>
      <c r="F1716" s="160">
        <f t="shared" si="76"/>
        <v>26</v>
      </c>
      <c r="G1716" s="160">
        <f t="shared" si="77"/>
        <v>4</v>
      </c>
      <c r="H1716" s="160">
        <f t="shared" si="78"/>
        <v>11</v>
      </c>
      <c r="I1716" s="160">
        <f t="shared" si="79"/>
        <v>19</v>
      </c>
      <c r="J1716" s="160">
        <f t="shared" si="80"/>
        <v>2</v>
      </c>
    </row>
    <row r="1717" spans="2:10" x14ac:dyDescent="0.35">
      <c r="B1717" s="160">
        <f t="shared" si="72"/>
        <v>40</v>
      </c>
      <c r="C1717" s="160">
        <f t="shared" si="73"/>
        <v>90</v>
      </c>
      <c r="D1717" s="160">
        <f t="shared" si="74"/>
        <v>4</v>
      </c>
      <c r="E1717" s="160">
        <f t="shared" si="75"/>
        <v>8</v>
      </c>
      <c r="F1717" s="160">
        <f t="shared" si="76"/>
        <v>1</v>
      </c>
      <c r="G1717" s="160">
        <f t="shared" si="77"/>
        <v>2</v>
      </c>
      <c r="H1717" s="160">
        <f t="shared" si="78"/>
        <v>2</v>
      </c>
      <c r="I1717" s="160">
        <f t="shared" si="79"/>
        <v>17</v>
      </c>
      <c r="J1717" s="160">
        <f t="shared" si="80"/>
        <v>1</v>
      </c>
    </row>
    <row r="1718" spans="2:10" x14ac:dyDescent="0.35">
      <c r="B1718" s="160">
        <f t="shared" si="72"/>
        <v>40</v>
      </c>
      <c r="C1718" s="160">
        <f t="shared" si="73"/>
        <v>90</v>
      </c>
      <c r="D1718" s="160">
        <f t="shared" si="74"/>
        <v>4</v>
      </c>
      <c r="E1718" s="160">
        <f t="shared" si="75"/>
        <v>8</v>
      </c>
      <c r="F1718" s="160">
        <f t="shared" si="76"/>
        <v>1</v>
      </c>
      <c r="G1718" s="160">
        <f t="shared" si="77"/>
        <v>4</v>
      </c>
      <c r="H1718" s="160">
        <f t="shared" si="78"/>
        <v>2</v>
      </c>
      <c r="I1718" s="160">
        <f t="shared" si="79"/>
        <v>17</v>
      </c>
      <c r="J1718" s="160">
        <f t="shared" si="80"/>
        <v>1</v>
      </c>
    </row>
    <row r="1719" spans="2:10" x14ac:dyDescent="0.35">
      <c r="B1719" s="160">
        <f t="shared" si="72"/>
        <v>40</v>
      </c>
      <c r="C1719" s="160">
        <f t="shared" si="73"/>
        <v>90</v>
      </c>
      <c r="D1719" s="160">
        <f t="shared" si="74"/>
        <v>4</v>
      </c>
      <c r="E1719" s="160">
        <f t="shared" si="75"/>
        <v>8</v>
      </c>
      <c r="F1719" s="160">
        <f t="shared" si="76"/>
        <v>2</v>
      </c>
      <c r="G1719" s="160">
        <f t="shared" si="77"/>
        <v>2</v>
      </c>
      <c r="H1719" s="160">
        <f t="shared" si="78"/>
        <v>11</v>
      </c>
      <c r="I1719" s="160">
        <f t="shared" si="79"/>
        <v>17</v>
      </c>
      <c r="J1719" s="160">
        <f t="shared" si="80"/>
        <v>1</v>
      </c>
    </row>
    <row r="1720" spans="2:10" x14ac:dyDescent="0.35">
      <c r="B1720" s="160">
        <f t="shared" si="72"/>
        <v>40</v>
      </c>
      <c r="C1720" s="160">
        <f t="shared" si="73"/>
        <v>90</v>
      </c>
      <c r="D1720" s="160">
        <f t="shared" si="74"/>
        <v>4</v>
      </c>
      <c r="E1720" s="160">
        <f t="shared" si="75"/>
        <v>8</v>
      </c>
      <c r="F1720" s="160">
        <f t="shared" si="76"/>
        <v>2</v>
      </c>
      <c r="G1720" s="160">
        <f t="shared" si="77"/>
        <v>4</v>
      </c>
      <c r="H1720" s="160">
        <f t="shared" si="78"/>
        <v>11</v>
      </c>
      <c r="I1720" s="160">
        <f t="shared" si="79"/>
        <v>17</v>
      </c>
      <c r="J1720" s="160">
        <f t="shared" si="80"/>
        <v>1</v>
      </c>
    </row>
    <row r="1721" spans="2:10" x14ac:dyDescent="0.35">
      <c r="B1721" s="160">
        <f t="shared" si="72"/>
        <v>40</v>
      </c>
      <c r="C1721" s="160">
        <f t="shared" si="73"/>
        <v>90</v>
      </c>
      <c r="D1721" s="160">
        <f t="shared" si="74"/>
        <v>4</v>
      </c>
      <c r="E1721" s="160">
        <f t="shared" si="75"/>
        <v>8</v>
      </c>
      <c r="F1721" s="160">
        <f t="shared" si="76"/>
        <v>3</v>
      </c>
      <c r="G1721" s="160">
        <f t="shared" si="77"/>
        <v>1</v>
      </c>
      <c r="H1721" s="160">
        <f t="shared" si="78"/>
        <v>11</v>
      </c>
      <c r="I1721" s="160">
        <f t="shared" si="79"/>
        <v>4</v>
      </c>
      <c r="J1721" s="160">
        <f t="shared" si="80"/>
        <v>1</v>
      </c>
    </row>
    <row r="1722" spans="2:10" x14ac:dyDescent="0.35">
      <c r="B1722" s="160">
        <f t="shared" si="72"/>
        <v>40</v>
      </c>
      <c r="C1722" s="160">
        <f t="shared" si="73"/>
        <v>90</v>
      </c>
      <c r="D1722" s="160">
        <f t="shared" si="74"/>
        <v>4</v>
      </c>
      <c r="E1722" s="160">
        <f t="shared" si="75"/>
        <v>8</v>
      </c>
      <c r="F1722" s="160">
        <f t="shared" si="76"/>
        <v>3</v>
      </c>
      <c r="G1722" s="160">
        <f t="shared" si="77"/>
        <v>4</v>
      </c>
      <c r="H1722" s="160">
        <f t="shared" si="78"/>
        <v>18</v>
      </c>
      <c r="I1722" s="160">
        <f t="shared" si="79"/>
        <v>4</v>
      </c>
      <c r="J1722" s="160">
        <f t="shared" si="80"/>
        <v>1</v>
      </c>
    </row>
    <row r="1723" spans="2:10" x14ac:dyDescent="0.35">
      <c r="B1723" s="160">
        <f t="shared" si="72"/>
        <v>41</v>
      </c>
      <c r="C1723" s="160">
        <f t="shared" si="73"/>
        <v>25</v>
      </c>
      <c r="D1723" s="160">
        <f t="shared" si="74"/>
        <v>2</v>
      </c>
      <c r="E1723" s="160">
        <f t="shared" si="75"/>
        <v>15</v>
      </c>
      <c r="F1723" s="160">
        <f t="shared" si="76"/>
        <v>48</v>
      </c>
      <c r="G1723" s="160">
        <f t="shared" si="77"/>
        <v>2</v>
      </c>
      <c r="H1723" s="160">
        <f t="shared" si="78"/>
        <v>10</v>
      </c>
      <c r="I1723" s="160">
        <f t="shared" si="79"/>
        <v>38</v>
      </c>
      <c r="J1723" s="160">
        <f t="shared" si="80"/>
        <v>2</v>
      </c>
    </row>
    <row r="1724" spans="2:10" x14ac:dyDescent="0.35">
      <c r="B1724" s="160">
        <f t="shared" si="72"/>
        <v>41</v>
      </c>
      <c r="C1724" s="160">
        <f t="shared" si="73"/>
        <v>25</v>
      </c>
      <c r="D1724" s="160">
        <f t="shared" si="74"/>
        <v>2</v>
      </c>
      <c r="E1724" s="160">
        <f t="shared" si="75"/>
        <v>15</v>
      </c>
      <c r="F1724" s="160">
        <f t="shared" si="76"/>
        <v>48</v>
      </c>
      <c r="G1724" s="160">
        <f t="shared" si="77"/>
        <v>4</v>
      </c>
      <c r="H1724" s="160">
        <f t="shared" si="78"/>
        <v>10</v>
      </c>
      <c r="I1724" s="160">
        <f t="shared" si="79"/>
        <v>38</v>
      </c>
      <c r="J1724" s="160">
        <f t="shared" si="80"/>
        <v>2</v>
      </c>
    </row>
    <row r="1725" spans="2:10" x14ac:dyDescent="0.35">
      <c r="B1725" s="160">
        <f t="shared" si="72"/>
        <v>41</v>
      </c>
      <c r="C1725" s="160">
        <f t="shared" si="73"/>
        <v>25</v>
      </c>
      <c r="D1725" s="160">
        <f t="shared" si="74"/>
        <v>2</v>
      </c>
      <c r="E1725" s="160">
        <f t="shared" si="75"/>
        <v>15</v>
      </c>
      <c r="F1725" s="160">
        <f t="shared" si="76"/>
        <v>49</v>
      </c>
      <c r="G1725" s="160">
        <f t="shared" si="77"/>
        <v>2</v>
      </c>
      <c r="H1725" s="160">
        <f t="shared" si="78"/>
        <v>1</v>
      </c>
      <c r="I1725" s="160">
        <f t="shared" si="79"/>
        <v>35</v>
      </c>
      <c r="J1725" s="160">
        <f t="shared" si="80"/>
        <v>2</v>
      </c>
    </row>
    <row r="1726" spans="2:10" x14ac:dyDescent="0.35">
      <c r="B1726" s="160">
        <f t="shared" si="72"/>
        <v>41</v>
      </c>
      <c r="C1726" s="160">
        <f t="shared" si="73"/>
        <v>25</v>
      </c>
      <c r="D1726" s="160">
        <f t="shared" si="74"/>
        <v>2</v>
      </c>
      <c r="E1726" s="160">
        <f t="shared" si="75"/>
        <v>15</v>
      </c>
      <c r="F1726" s="160">
        <f t="shared" si="76"/>
        <v>49</v>
      </c>
      <c r="G1726" s="160">
        <f t="shared" si="77"/>
        <v>4</v>
      </c>
      <c r="H1726" s="160">
        <f t="shared" si="78"/>
        <v>1</v>
      </c>
      <c r="I1726" s="160">
        <f t="shared" si="79"/>
        <v>31</v>
      </c>
      <c r="J1726" s="160">
        <f t="shared" si="80"/>
        <v>2</v>
      </c>
    </row>
    <row r="1727" spans="2:10" x14ac:dyDescent="0.35">
      <c r="B1727" s="160">
        <f t="shared" si="72"/>
        <v>41</v>
      </c>
      <c r="C1727" s="160">
        <f t="shared" si="73"/>
        <v>25</v>
      </c>
      <c r="D1727" s="160">
        <f t="shared" si="74"/>
        <v>2</v>
      </c>
      <c r="E1727" s="160">
        <f t="shared" si="75"/>
        <v>15</v>
      </c>
      <c r="F1727" s="160">
        <f t="shared" si="76"/>
        <v>50</v>
      </c>
      <c r="G1727" s="160">
        <f t="shared" si="77"/>
        <v>1</v>
      </c>
      <c r="H1727" s="160">
        <f t="shared" si="78"/>
        <v>1</v>
      </c>
      <c r="I1727" s="160">
        <f t="shared" si="79"/>
        <v>27</v>
      </c>
      <c r="J1727" s="160">
        <f t="shared" si="80"/>
        <v>2</v>
      </c>
    </row>
    <row r="1728" spans="2:10" x14ac:dyDescent="0.35">
      <c r="B1728" s="160">
        <f t="shared" si="72"/>
        <v>41</v>
      </c>
      <c r="C1728" s="160">
        <f t="shared" si="73"/>
        <v>25</v>
      </c>
      <c r="D1728" s="160">
        <f t="shared" si="74"/>
        <v>2</v>
      </c>
      <c r="E1728" s="160">
        <f t="shared" si="75"/>
        <v>15</v>
      </c>
      <c r="F1728" s="160">
        <f t="shared" si="76"/>
        <v>50</v>
      </c>
      <c r="G1728" s="160">
        <f t="shared" si="77"/>
        <v>4</v>
      </c>
      <c r="H1728" s="160">
        <f t="shared" si="78"/>
        <v>19</v>
      </c>
      <c r="I1728" s="160">
        <f t="shared" si="79"/>
        <v>37</v>
      </c>
      <c r="J1728" s="160">
        <f t="shared" si="80"/>
        <v>2</v>
      </c>
    </row>
    <row r="1729" spans="2:10" x14ac:dyDescent="0.35">
      <c r="B1729" s="160">
        <f t="shared" si="72"/>
        <v>41</v>
      </c>
      <c r="C1729" s="160">
        <f t="shared" si="73"/>
        <v>24</v>
      </c>
      <c r="D1729" s="160">
        <f t="shared" si="74"/>
        <v>2</v>
      </c>
      <c r="E1729" s="160">
        <f t="shared" si="75"/>
        <v>15</v>
      </c>
      <c r="F1729" s="160">
        <f t="shared" si="76"/>
        <v>51</v>
      </c>
      <c r="G1729" s="160">
        <f t="shared" si="77"/>
        <v>3</v>
      </c>
      <c r="H1729" s="160">
        <f t="shared" si="78"/>
        <v>1</v>
      </c>
      <c r="I1729" s="160">
        <f t="shared" si="79"/>
        <v>7</v>
      </c>
      <c r="J1729" s="160">
        <f t="shared" si="80"/>
        <v>2</v>
      </c>
    </row>
    <row r="1730" spans="2:10" x14ac:dyDescent="0.35">
      <c r="B1730" s="160">
        <f t="shared" si="72"/>
        <v>41</v>
      </c>
      <c r="C1730" s="160">
        <f t="shared" si="73"/>
        <v>24</v>
      </c>
      <c r="D1730" s="160">
        <f t="shared" si="74"/>
        <v>2</v>
      </c>
      <c r="E1730" s="160">
        <f t="shared" si="75"/>
        <v>15</v>
      </c>
      <c r="F1730" s="160">
        <f t="shared" si="76"/>
        <v>51</v>
      </c>
      <c r="G1730" s="160">
        <f t="shared" si="77"/>
        <v>5</v>
      </c>
      <c r="H1730" s="160">
        <f t="shared" si="78"/>
        <v>25</v>
      </c>
      <c r="I1730" s="160">
        <f t="shared" si="79"/>
        <v>7</v>
      </c>
      <c r="J1730" s="160">
        <f t="shared" si="80"/>
        <v>2</v>
      </c>
    </row>
    <row r="1731" spans="2:10" x14ac:dyDescent="0.35">
      <c r="B1731" s="160">
        <f t="shared" si="72"/>
        <v>41</v>
      </c>
      <c r="C1731" s="160">
        <f t="shared" si="73"/>
        <v>24</v>
      </c>
      <c r="D1731" s="160">
        <f t="shared" si="74"/>
        <v>2</v>
      </c>
      <c r="E1731" s="160">
        <f t="shared" si="75"/>
        <v>15</v>
      </c>
      <c r="F1731" s="160">
        <f t="shared" si="76"/>
        <v>52</v>
      </c>
      <c r="G1731" s="160">
        <f t="shared" si="77"/>
        <v>3</v>
      </c>
      <c r="H1731" s="160">
        <f t="shared" si="78"/>
        <v>23</v>
      </c>
      <c r="I1731" s="160">
        <f t="shared" si="79"/>
        <v>7</v>
      </c>
      <c r="J1731" s="160">
        <f t="shared" si="80"/>
        <v>2</v>
      </c>
    </row>
    <row r="1732" spans="2:10" x14ac:dyDescent="0.35">
      <c r="B1732" s="160">
        <f t="shared" si="72"/>
        <v>41</v>
      </c>
      <c r="C1732" s="160">
        <f t="shared" si="73"/>
        <v>24</v>
      </c>
      <c r="D1732" s="160">
        <f t="shared" si="74"/>
        <v>2</v>
      </c>
      <c r="E1732" s="160">
        <f t="shared" si="75"/>
        <v>15</v>
      </c>
      <c r="F1732" s="160">
        <f t="shared" si="76"/>
        <v>52</v>
      </c>
      <c r="G1732" s="160">
        <f t="shared" si="77"/>
        <v>5</v>
      </c>
      <c r="H1732" s="160">
        <f t="shared" si="78"/>
        <v>19</v>
      </c>
      <c r="I1732" s="160">
        <f t="shared" si="79"/>
        <v>7</v>
      </c>
      <c r="J1732" s="160">
        <f t="shared" si="80"/>
        <v>2</v>
      </c>
    </row>
    <row r="1733" spans="2:10" x14ac:dyDescent="0.35">
      <c r="B1733" s="160">
        <f t="shared" si="72"/>
        <v>41</v>
      </c>
      <c r="C1733" s="160">
        <f t="shared" si="73"/>
        <v>24</v>
      </c>
      <c r="D1733" s="160">
        <f t="shared" si="74"/>
        <v>2</v>
      </c>
      <c r="E1733" s="160">
        <f t="shared" si="75"/>
        <v>15</v>
      </c>
      <c r="F1733" s="160">
        <f t="shared" si="76"/>
        <v>53</v>
      </c>
      <c r="G1733" s="160">
        <f t="shared" si="77"/>
        <v>2</v>
      </c>
      <c r="H1733" s="160">
        <f t="shared" si="78"/>
        <v>19</v>
      </c>
      <c r="I1733" s="160">
        <f t="shared" si="79"/>
        <v>7</v>
      </c>
      <c r="J1733" s="160">
        <f t="shared" si="80"/>
        <v>1</v>
      </c>
    </row>
    <row r="1734" spans="2:10" x14ac:dyDescent="0.35">
      <c r="B1734" s="160">
        <f t="shared" si="72"/>
        <v>41</v>
      </c>
      <c r="C1734" s="160">
        <f t="shared" si="73"/>
        <v>24</v>
      </c>
      <c r="D1734" s="160">
        <f t="shared" si="74"/>
        <v>2</v>
      </c>
      <c r="E1734" s="160">
        <f t="shared" si="75"/>
        <v>15</v>
      </c>
      <c r="F1734" s="160">
        <f t="shared" si="76"/>
        <v>53</v>
      </c>
      <c r="G1734" s="160">
        <f t="shared" si="77"/>
        <v>5</v>
      </c>
      <c r="H1734" s="160">
        <f t="shared" si="78"/>
        <v>25</v>
      </c>
      <c r="I1734" s="160">
        <f t="shared" si="79"/>
        <v>7</v>
      </c>
      <c r="J1734" s="160">
        <f t="shared" si="80"/>
        <v>1</v>
      </c>
    </row>
    <row r="1735" spans="2:10" x14ac:dyDescent="0.35">
      <c r="B1735" s="160">
        <f t="shared" si="72"/>
        <v>41</v>
      </c>
      <c r="C1735" s="160">
        <f t="shared" si="73"/>
        <v>25</v>
      </c>
      <c r="D1735" s="160">
        <f t="shared" si="74"/>
        <v>2</v>
      </c>
      <c r="E1735" s="160">
        <f t="shared" si="75"/>
        <v>14</v>
      </c>
      <c r="F1735" s="160">
        <f t="shared" si="76"/>
        <v>49</v>
      </c>
      <c r="G1735" s="160">
        <f t="shared" si="77"/>
        <v>2</v>
      </c>
      <c r="H1735" s="160">
        <f t="shared" si="78"/>
        <v>2</v>
      </c>
      <c r="I1735" s="160">
        <f t="shared" si="79"/>
        <v>35</v>
      </c>
      <c r="J1735" s="160">
        <f t="shared" si="80"/>
        <v>2</v>
      </c>
    </row>
    <row r="1736" spans="2:10" x14ac:dyDescent="0.35">
      <c r="B1736" s="160">
        <f t="shared" si="72"/>
        <v>41</v>
      </c>
      <c r="C1736" s="160">
        <f t="shared" si="73"/>
        <v>25</v>
      </c>
      <c r="D1736" s="160">
        <f t="shared" si="74"/>
        <v>2</v>
      </c>
      <c r="E1736" s="160">
        <f t="shared" si="75"/>
        <v>14</v>
      </c>
      <c r="F1736" s="160">
        <f t="shared" si="76"/>
        <v>49</v>
      </c>
      <c r="G1736" s="160">
        <f t="shared" si="77"/>
        <v>4</v>
      </c>
      <c r="H1736" s="160">
        <f t="shared" si="78"/>
        <v>2</v>
      </c>
      <c r="I1736" s="160">
        <f t="shared" si="79"/>
        <v>31</v>
      </c>
      <c r="J1736" s="160">
        <f t="shared" si="80"/>
        <v>2</v>
      </c>
    </row>
    <row r="1737" spans="2:10" x14ac:dyDescent="0.35">
      <c r="B1737" s="160">
        <f t="shared" si="72"/>
        <v>41</v>
      </c>
      <c r="C1737" s="160">
        <f t="shared" si="73"/>
        <v>43</v>
      </c>
      <c r="D1737" s="160">
        <f t="shared" si="74"/>
        <v>3</v>
      </c>
      <c r="E1737" s="160">
        <f t="shared" si="75"/>
        <v>4</v>
      </c>
      <c r="F1737" s="160">
        <f t="shared" si="76"/>
        <v>1</v>
      </c>
      <c r="G1737" s="160">
        <f t="shared" si="77"/>
        <v>1</v>
      </c>
      <c r="H1737" s="160">
        <f t="shared" si="78"/>
        <v>10</v>
      </c>
      <c r="I1737" s="160">
        <f t="shared" si="79"/>
        <v>52</v>
      </c>
      <c r="J1737" s="160">
        <f t="shared" si="80"/>
        <v>2</v>
      </c>
    </row>
    <row r="1738" spans="2:10" x14ac:dyDescent="0.35">
      <c r="B1738" s="160">
        <f t="shared" si="72"/>
        <v>41</v>
      </c>
      <c r="C1738" s="160">
        <f t="shared" si="73"/>
        <v>43</v>
      </c>
      <c r="D1738" s="160">
        <f t="shared" si="74"/>
        <v>3</v>
      </c>
      <c r="E1738" s="160">
        <f t="shared" si="75"/>
        <v>4</v>
      </c>
      <c r="F1738" s="160">
        <f t="shared" si="76"/>
        <v>1</v>
      </c>
      <c r="G1738" s="160">
        <f t="shared" si="77"/>
        <v>5</v>
      </c>
      <c r="H1738" s="160">
        <f t="shared" si="78"/>
        <v>10</v>
      </c>
      <c r="I1738" s="160">
        <f t="shared" si="79"/>
        <v>48</v>
      </c>
      <c r="J1738" s="160">
        <f t="shared" si="80"/>
        <v>2</v>
      </c>
    </row>
    <row r="1739" spans="2:10" x14ac:dyDescent="0.35">
      <c r="B1739" s="160">
        <f t="shared" si="72"/>
        <v>41</v>
      </c>
      <c r="C1739" s="160">
        <f t="shared" si="73"/>
        <v>46</v>
      </c>
      <c r="D1739" s="160">
        <f t="shared" si="74"/>
        <v>4</v>
      </c>
      <c r="E1739" s="160">
        <f t="shared" si="75"/>
        <v>15</v>
      </c>
      <c r="F1739" s="160">
        <f t="shared" si="76"/>
        <v>17</v>
      </c>
      <c r="G1739" s="160">
        <f t="shared" si="77"/>
        <v>5</v>
      </c>
      <c r="H1739" s="160">
        <f t="shared" si="78"/>
        <v>25</v>
      </c>
      <c r="I1739" s="160">
        <f t="shared" si="79"/>
        <v>11</v>
      </c>
      <c r="J1739" s="160">
        <f t="shared" si="80"/>
        <v>3</v>
      </c>
    </row>
    <row r="1740" spans="2:10" x14ac:dyDescent="0.35">
      <c r="B1740" s="160">
        <f t="shared" si="72"/>
        <v>42</v>
      </c>
      <c r="C1740" s="160">
        <f t="shared" si="73"/>
        <v>63</v>
      </c>
      <c r="D1740" s="160">
        <f t="shared" si="74"/>
        <v>4</v>
      </c>
      <c r="E1740" s="160">
        <f t="shared" si="75"/>
        <v>15</v>
      </c>
      <c r="F1740" s="160">
        <f t="shared" si="76"/>
        <v>42</v>
      </c>
      <c r="G1740" s="160">
        <f t="shared" si="77"/>
        <v>1</v>
      </c>
      <c r="H1740" s="160">
        <f t="shared" si="78"/>
        <v>11</v>
      </c>
      <c r="I1740" s="160">
        <f t="shared" si="79"/>
        <v>34</v>
      </c>
      <c r="J1740" s="160">
        <f t="shared" si="80"/>
        <v>2</v>
      </c>
    </row>
    <row r="1741" spans="2:10" x14ac:dyDescent="0.35">
      <c r="B1741" s="160">
        <f t="shared" si="72"/>
        <v>42</v>
      </c>
      <c r="C1741" s="160">
        <f t="shared" si="73"/>
        <v>63</v>
      </c>
      <c r="D1741" s="160">
        <f t="shared" si="74"/>
        <v>4</v>
      </c>
      <c r="E1741" s="160">
        <f t="shared" si="75"/>
        <v>15</v>
      </c>
      <c r="F1741" s="160">
        <f t="shared" si="76"/>
        <v>42</v>
      </c>
      <c r="G1741" s="160">
        <f t="shared" si="77"/>
        <v>5</v>
      </c>
      <c r="H1741" s="160">
        <f t="shared" si="78"/>
        <v>20</v>
      </c>
      <c r="I1741" s="160">
        <f t="shared" si="79"/>
        <v>51</v>
      </c>
      <c r="J1741" s="160">
        <f t="shared" si="80"/>
        <v>2</v>
      </c>
    </row>
    <row r="1742" spans="2:10" x14ac:dyDescent="0.35">
      <c r="B1742" s="160">
        <f t="shared" si="72"/>
        <v>42</v>
      </c>
      <c r="C1742" s="160">
        <f t="shared" si="73"/>
        <v>63</v>
      </c>
      <c r="D1742" s="160">
        <f t="shared" si="74"/>
        <v>4</v>
      </c>
      <c r="E1742" s="160">
        <f t="shared" si="75"/>
        <v>4</v>
      </c>
      <c r="F1742" s="160">
        <f t="shared" si="76"/>
        <v>42</v>
      </c>
      <c r="G1742" s="160">
        <f t="shared" si="77"/>
        <v>2</v>
      </c>
      <c r="H1742" s="160">
        <f t="shared" si="78"/>
        <v>20</v>
      </c>
      <c r="I1742" s="160">
        <f t="shared" si="79"/>
        <v>5</v>
      </c>
      <c r="J1742" s="160">
        <f t="shared" si="80"/>
        <v>2</v>
      </c>
    </row>
    <row r="1743" spans="2:10" x14ac:dyDescent="0.35">
      <c r="B1743" s="160">
        <f t="shared" si="72"/>
        <v>42</v>
      </c>
      <c r="C1743" s="160">
        <f t="shared" si="73"/>
        <v>63</v>
      </c>
      <c r="D1743" s="160">
        <f t="shared" si="74"/>
        <v>4</v>
      </c>
      <c r="E1743" s="160">
        <f t="shared" si="75"/>
        <v>4</v>
      </c>
      <c r="F1743" s="160">
        <f t="shared" si="76"/>
        <v>42</v>
      </c>
      <c r="G1743" s="160">
        <f t="shared" si="77"/>
        <v>4</v>
      </c>
      <c r="H1743" s="160">
        <f t="shared" si="78"/>
        <v>20</v>
      </c>
      <c r="I1743" s="160">
        <f t="shared" si="79"/>
        <v>28</v>
      </c>
      <c r="J1743" s="160">
        <f t="shared" si="80"/>
        <v>2</v>
      </c>
    </row>
    <row r="1744" spans="2:10" x14ac:dyDescent="0.35">
      <c r="B1744" s="160">
        <f t="shared" si="72"/>
        <v>42</v>
      </c>
      <c r="C1744" s="160">
        <f t="shared" si="73"/>
        <v>70</v>
      </c>
      <c r="D1744" s="160">
        <f t="shared" si="74"/>
        <v>4</v>
      </c>
      <c r="E1744" s="160">
        <f t="shared" si="75"/>
        <v>15</v>
      </c>
      <c r="F1744" s="160">
        <f t="shared" si="76"/>
        <v>29</v>
      </c>
      <c r="G1744" s="160">
        <f t="shared" si="77"/>
        <v>2</v>
      </c>
      <c r="H1744" s="160">
        <f t="shared" si="78"/>
        <v>11</v>
      </c>
      <c r="I1744" s="160">
        <f t="shared" si="79"/>
        <v>20</v>
      </c>
      <c r="J1744" s="160">
        <f t="shared" si="80"/>
        <v>1</v>
      </c>
    </row>
    <row r="1745" spans="2:10" x14ac:dyDescent="0.35">
      <c r="B1745" s="160">
        <f t="shared" si="72"/>
        <v>42</v>
      </c>
      <c r="C1745" s="160">
        <f t="shared" si="73"/>
        <v>70</v>
      </c>
      <c r="D1745" s="160">
        <f t="shared" si="74"/>
        <v>4</v>
      </c>
      <c r="E1745" s="160">
        <f t="shared" si="75"/>
        <v>15</v>
      </c>
      <c r="F1745" s="160">
        <f t="shared" si="76"/>
        <v>29</v>
      </c>
      <c r="G1745" s="160">
        <f t="shared" si="77"/>
        <v>5</v>
      </c>
      <c r="H1745" s="160">
        <f t="shared" si="78"/>
        <v>2</v>
      </c>
      <c r="I1745" s="160">
        <f t="shared" si="79"/>
        <v>52</v>
      </c>
      <c r="J1745" s="160">
        <f t="shared" si="80"/>
        <v>1</v>
      </c>
    </row>
    <row r="1746" spans="2:10" x14ac:dyDescent="0.35">
      <c r="B1746" s="160">
        <f t="shared" si="72"/>
        <v>42</v>
      </c>
      <c r="C1746" s="160">
        <f t="shared" si="73"/>
        <v>28</v>
      </c>
      <c r="D1746" s="160">
        <f t="shared" si="74"/>
        <v>1</v>
      </c>
      <c r="E1746" s="160">
        <f t="shared" si="75"/>
        <v>16</v>
      </c>
      <c r="F1746" s="160">
        <f t="shared" si="76"/>
        <v>48</v>
      </c>
      <c r="G1746" s="160">
        <f t="shared" si="77"/>
        <v>1</v>
      </c>
      <c r="H1746" s="160">
        <f t="shared" si="78"/>
        <v>20</v>
      </c>
      <c r="I1746" s="160">
        <f t="shared" si="79"/>
        <v>37</v>
      </c>
      <c r="J1746" s="160">
        <f t="shared" si="80"/>
        <v>2</v>
      </c>
    </row>
    <row r="1747" spans="2:10" x14ac:dyDescent="0.35">
      <c r="B1747" s="160">
        <f t="shared" si="72"/>
        <v>42</v>
      </c>
      <c r="C1747" s="160">
        <f t="shared" si="73"/>
        <v>28</v>
      </c>
      <c r="D1747" s="160">
        <f t="shared" si="74"/>
        <v>1</v>
      </c>
      <c r="E1747" s="160">
        <f t="shared" si="75"/>
        <v>16</v>
      </c>
      <c r="F1747" s="160">
        <f t="shared" si="76"/>
        <v>48</v>
      </c>
      <c r="G1747" s="160">
        <f t="shared" si="77"/>
        <v>2</v>
      </c>
      <c r="H1747" s="160">
        <f t="shared" si="78"/>
        <v>20</v>
      </c>
      <c r="I1747" s="160">
        <f t="shared" si="79"/>
        <v>37</v>
      </c>
      <c r="J1747" s="160">
        <f t="shared" si="80"/>
        <v>2</v>
      </c>
    </row>
    <row r="1748" spans="2:10" x14ac:dyDescent="0.35">
      <c r="B1748" s="160">
        <f t="shared" si="72"/>
        <v>42</v>
      </c>
      <c r="C1748" s="160">
        <f t="shared" si="73"/>
        <v>64</v>
      </c>
      <c r="D1748" s="160">
        <f t="shared" si="74"/>
        <v>1</v>
      </c>
      <c r="E1748" s="160">
        <f t="shared" si="75"/>
        <v>16</v>
      </c>
      <c r="F1748" s="160">
        <f t="shared" si="76"/>
        <v>43</v>
      </c>
      <c r="G1748" s="160">
        <f t="shared" si="77"/>
        <v>4</v>
      </c>
      <c r="H1748" s="160">
        <f t="shared" si="78"/>
        <v>1</v>
      </c>
      <c r="I1748" s="160">
        <f t="shared" si="79"/>
        <v>37</v>
      </c>
      <c r="J1748" s="160">
        <f t="shared" si="80"/>
        <v>2</v>
      </c>
    </row>
    <row r="1749" spans="2:10" x14ac:dyDescent="0.35">
      <c r="B1749" s="160">
        <f t="shared" si="72"/>
        <v>42</v>
      </c>
      <c r="C1749" s="160">
        <f t="shared" si="73"/>
        <v>64</v>
      </c>
      <c r="D1749" s="160">
        <f t="shared" si="74"/>
        <v>1</v>
      </c>
      <c r="E1749" s="160">
        <f t="shared" si="75"/>
        <v>16</v>
      </c>
      <c r="F1749" s="160">
        <f t="shared" si="76"/>
        <v>43</v>
      </c>
      <c r="G1749" s="160">
        <f t="shared" si="77"/>
        <v>5</v>
      </c>
      <c r="H1749" s="160">
        <f t="shared" si="78"/>
        <v>1</v>
      </c>
      <c r="I1749" s="160">
        <f t="shared" si="79"/>
        <v>37</v>
      </c>
      <c r="J1749" s="160">
        <f t="shared" si="80"/>
        <v>2</v>
      </c>
    </row>
    <row r="1750" spans="2:10" x14ac:dyDescent="0.35">
      <c r="B1750" s="160">
        <f t="shared" si="72"/>
        <v>42</v>
      </c>
      <c r="C1750" s="160">
        <f t="shared" si="73"/>
        <v>79</v>
      </c>
      <c r="D1750" s="160">
        <f t="shared" si="74"/>
        <v>2</v>
      </c>
      <c r="E1750" s="160">
        <f t="shared" si="75"/>
        <v>17</v>
      </c>
      <c r="F1750" s="160">
        <f t="shared" si="76"/>
        <v>42</v>
      </c>
      <c r="G1750" s="160">
        <f t="shared" si="77"/>
        <v>2</v>
      </c>
      <c r="H1750" s="160">
        <f t="shared" si="78"/>
        <v>11</v>
      </c>
      <c r="I1750" s="160">
        <f t="shared" si="79"/>
        <v>22</v>
      </c>
      <c r="J1750" s="160">
        <f t="shared" si="80"/>
        <v>2</v>
      </c>
    </row>
    <row r="1751" spans="2:10" x14ac:dyDescent="0.35">
      <c r="B1751" s="160">
        <f t="shared" si="72"/>
        <v>42</v>
      </c>
      <c r="C1751" s="160">
        <f t="shared" si="73"/>
        <v>79</v>
      </c>
      <c r="D1751" s="160">
        <f t="shared" si="74"/>
        <v>2</v>
      </c>
      <c r="E1751" s="160">
        <f t="shared" si="75"/>
        <v>17</v>
      </c>
      <c r="F1751" s="160">
        <f t="shared" si="76"/>
        <v>42</v>
      </c>
      <c r="G1751" s="160">
        <f t="shared" si="77"/>
        <v>4</v>
      </c>
      <c r="H1751" s="160">
        <f t="shared" si="78"/>
        <v>11</v>
      </c>
      <c r="I1751" s="160">
        <f t="shared" si="79"/>
        <v>22</v>
      </c>
      <c r="J1751" s="160">
        <f t="shared" si="80"/>
        <v>2</v>
      </c>
    </row>
    <row r="1752" spans="2:10" x14ac:dyDescent="0.35">
      <c r="B1752" s="160">
        <f t="shared" si="72"/>
        <v>42</v>
      </c>
      <c r="C1752" s="160">
        <f t="shared" si="73"/>
        <v>67</v>
      </c>
      <c r="D1752" s="160">
        <f t="shared" si="74"/>
        <v>2</v>
      </c>
      <c r="E1752" s="160">
        <f t="shared" si="75"/>
        <v>17</v>
      </c>
      <c r="F1752" s="160">
        <f t="shared" si="76"/>
        <v>43</v>
      </c>
      <c r="G1752" s="160">
        <f t="shared" si="77"/>
        <v>1</v>
      </c>
      <c r="H1752" s="160">
        <f t="shared" si="78"/>
        <v>15</v>
      </c>
      <c r="I1752" s="160">
        <f t="shared" si="79"/>
        <v>34</v>
      </c>
      <c r="J1752" s="160">
        <f t="shared" si="80"/>
        <v>1</v>
      </c>
    </row>
    <row r="1753" spans="2:10" x14ac:dyDescent="0.35">
      <c r="B1753" s="160">
        <f t="shared" ref="B1753:B1816" si="81">INDEX($A$2:$A$85,MATCH(I638,$B$2:$B$85,0))</f>
        <v>42</v>
      </c>
      <c r="C1753" s="160">
        <f t="shared" ref="C1753:C1816" si="82">INDEX($D$2:$D$117,MATCH(J638,$E$2:$E$117,0))</f>
        <v>67</v>
      </c>
      <c r="D1753" s="160">
        <f t="shared" ref="D1753:D1816" si="83">INDEX($P$2:$P$5,MATCH(K638,$Q$2:$Q$5,0))</f>
        <v>2</v>
      </c>
      <c r="E1753" s="160">
        <f t="shared" ref="E1753:E1816" si="84">INDEX($G$2:$G$19,MATCH(L638,$H$2:$H$19,0))</f>
        <v>17</v>
      </c>
      <c r="F1753" s="160">
        <f t="shared" ref="F1753:F1816" si="85">INDEX($J$2:$J$55,MATCH(M638,$K$2:$K$55,0))</f>
        <v>43</v>
      </c>
      <c r="G1753" s="160">
        <f t="shared" ref="G1753:G1816" si="86">INDEX($M$2:$M$6,MATCH(N638,$N$2:$N$6,0))</f>
        <v>4</v>
      </c>
      <c r="H1753" s="160">
        <f t="shared" ref="H1753:H1816" si="87">INDEX($S$2:$S$26,MATCH(O638,$T$2:$T$26,0))</f>
        <v>15</v>
      </c>
      <c r="I1753" s="160">
        <f t="shared" ref="I1753:I1816" si="88">INDEX($V$2:$V$108,MATCH(P638,$W$2:$W$108,0))</f>
        <v>34</v>
      </c>
      <c r="J1753" s="160">
        <f t="shared" ref="J1753:J1816" si="89">INDEX($Y$2:$Y$4,MATCH(Q638,$Z$2:$Z$4,0))</f>
        <v>1</v>
      </c>
    </row>
    <row r="1754" spans="2:10" x14ac:dyDescent="0.35">
      <c r="B1754" s="160">
        <f t="shared" si="81"/>
        <v>42</v>
      </c>
      <c r="C1754" s="160">
        <f t="shared" si="82"/>
        <v>33</v>
      </c>
      <c r="D1754" s="160">
        <f t="shared" si="83"/>
        <v>3</v>
      </c>
      <c r="E1754" s="160">
        <f t="shared" si="84"/>
        <v>15</v>
      </c>
      <c r="F1754" s="160">
        <f t="shared" si="85"/>
        <v>38</v>
      </c>
      <c r="G1754" s="160">
        <f t="shared" si="86"/>
        <v>2</v>
      </c>
      <c r="H1754" s="160">
        <f t="shared" si="87"/>
        <v>10</v>
      </c>
      <c r="I1754" s="160">
        <f t="shared" si="88"/>
        <v>39</v>
      </c>
      <c r="J1754" s="160">
        <f t="shared" si="89"/>
        <v>2</v>
      </c>
    </row>
    <row r="1755" spans="2:10" x14ac:dyDescent="0.35">
      <c r="B1755" s="160">
        <f t="shared" si="81"/>
        <v>42</v>
      </c>
      <c r="C1755" s="160">
        <f t="shared" si="82"/>
        <v>33</v>
      </c>
      <c r="D1755" s="160">
        <f t="shared" si="83"/>
        <v>3</v>
      </c>
      <c r="E1755" s="160">
        <f t="shared" si="84"/>
        <v>15</v>
      </c>
      <c r="F1755" s="160">
        <f t="shared" si="85"/>
        <v>38</v>
      </c>
      <c r="G1755" s="160">
        <f t="shared" si="86"/>
        <v>4</v>
      </c>
      <c r="H1755" s="160">
        <f t="shared" si="87"/>
        <v>1</v>
      </c>
      <c r="I1755" s="160">
        <f t="shared" si="88"/>
        <v>39</v>
      </c>
      <c r="J1755" s="160">
        <f t="shared" si="89"/>
        <v>2</v>
      </c>
    </row>
    <row r="1756" spans="2:10" x14ac:dyDescent="0.35">
      <c r="B1756" s="160">
        <f t="shared" si="81"/>
        <v>43</v>
      </c>
      <c r="C1756" s="160">
        <f t="shared" si="82"/>
        <v>104</v>
      </c>
      <c r="D1756" s="160">
        <f t="shared" si="83"/>
        <v>2</v>
      </c>
      <c r="E1756" s="160">
        <f t="shared" si="84"/>
        <v>10</v>
      </c>
      <c r="F1756" s="160">
        <f t="shared" si="85"/>
        <v>26</v>
      </c>
      <c r="G1756" s="160">
        <f t="shared" si="86"/>
        <v>2</v>
      </c>
      <c r="H1756" s="160">
        <f t="shared" si="87"/>
        <v>2</v>
      </c>
      <c r="I1756" s="160">
        <f t="shared" si="88"/>
        <v>99</v>
      </c>
      <c r="J1756" s="160">
        <f t="shared" si="89"/>
        <v>2</v>
      </c>
    </row>
    <row r="1757" spans="2:10" x14ac:dyDescent="0.35">
      <c r="B1757" s="160">
        <f t="shared" si="81"/>
        <v>43</v>
      </c>
      <c r="C1757" s="160">
        <f t="shared" si="82"/>
        <v>104</v>
      </c>
      <c r="D1757" s="160">
        <f t="shared" si="83"/>
        <v>2</v>
      </c>
      <c r="E1757" s="160">
        <f t="shared" si="84"/>
        <v>10</v>
      </c>
      <c r="F1757" s="160">
        <f t="shared" si="85"/>
        <v>26</v>
      </c>
      <c r="G1757" s="160">
        <f t="shared" si="86"/>
        <v>5</v>
      </c>
      <c r="H1757" s="160">
        <f t="shared" si="87"/>
        <v>20</v>
      </c>
      <c r="I1757" s="160">
        <f t="shared" si="88"/>
        <v>8</v>
      </c>
      <c r="J1757" s="160">
        <f t="shared" si="89"/>
        <v>2</v>
      </c>
    </row>
    <row r="1758" spans="2:10" x14ac:dyDescent="0.35">
      <c r="B1758" s="160">
        <f t="shared" si="81"/>
        <v>43</v>
      </c>
      <c r="C1758" s="160">
        <f t="shared" si="82"/>
        <v>104</v>
      </c>
      <c r="D1758" s="160">
        <f t="shared" si="83"/>
        <v>2</v>
      </c>
      <c r="E1758" s="160">
        <f t="shared" si="84"/>
        <v>10</v>
      </c>
      <c r="F1758" s="160">
        <f t="shared" si="85"/>
        <v>27</v>
      </c>
      <c r="G1758" s="160">
        <f t="shared" si="86"/>
        <v>2</v>
      </c>
      <c r="H1758" s="160">
        <f t="shared" si="87"/>
        <v>11</v>
      </c>
      <c r="I1758" s="160">
        <f t="shared" si="88"/>
        <v>24</v>
      </c>
      <c r="J1758" s="160">
        <f t="shared" si="89"/>
        <v>1</v>
      </c>
    </row>
    <row r="1759" spans="2:10" x14ac:dyDescent="0.35">
      <c r="B1759" s="160">
        <f t="shared" si="81"/>
        <v>43</v>
      </c>
      <c r="C1759" s="160">
        <f t="shared" si="82"/>
        <v>104</v>
      </c>
      <c r="D1759" s="160">
        <f t="shared" si="83"/>
        <v>2</v>
      </c>
      <c r="E1759" s="160">
        <f t="shared" si="84"/>
        <v>10</v>
      </c>
      <c r="F1759" s="160">
        <f t="shared" si="85"/>
        <v>27</v>
      </c>
      <c r="G1759" s="160">
        <f t="shared" si="86"/>
        <v>5</v>
      </c>
      <c r="H1759" s="160">
        <f t="shared" si="87"/>
        <v>20</v>
      </c>
      <c r="I1759" s="160">
        <f t="shared" si="88"/>
        <v>30</v>
      </c>
      <c r="J1759" s="160">
        <f t="shared" si="89"/>
        <v>1</v>
      </c>
    </row>
    <row r="1760" spans="2:10" x14ac:dyDescent="0.35">
      <c r="B1760" s="160">
        <f t="shared" si="81"/>
        <v>43</v>
      </c>
      <c r="C1760" s="160">
        <f t="shared" si="82"/>
        <v>49</v>
      </c>
      <c r="D1760" s="160">
        <f t="shared" si="83"/>
        <v>2</v>
      </c>
      <c r="E1760" s="160">
        <f t="shared" si="84"/>
        <v>10</v>
      </c>
      <c r="F1760" s="160">
        <f t="shared" si="85"/>
        <v>27</v>
      </c>
      <c r="G1760" s="160">
        <f t="shared" si="86"/>
        <v>1</v>
      </c>
      <c r="H1760" s="160">
        <f t="shared" si="87"/>
        <v>20</v>
      </c>
      <c r="I1760" s="160">
        <f t="shared" si="88"/>
        <v>45</v>
      </c>
      <c r="J1760" s="160">
        <f t="shared" si="89"/>
        <v>2</v>
      </c>
    </row>
    <row r="1761" spans="2:10" x14ac:dyDescent="0.35">
      <c r="B1761" s="160">
        <f t="shared" si="81"/>
        <v>43</v>
      </c>
      <c r="C1761" s="160">
        <f t="shared" si="82"/>
        <v>49</v>
      </c>
      <c r="D1761" s="160">
        <f t="shared" si="83"/>
        <v>2</v>
      </c>
      <c r="E1761" s="160">
        <f t="shared" si="84"/>
        <v>10</v>
      </c>
      <c r="F1761" s="160">
        <f t="shared" si="85"/>
        <v>27</v>
      </c>
      <c r="G1761" s="160">
        <f t="shared" si="86"/>
        <v>3</v>
      </c>
      <c r="H1761" s="160">
        <f t="shared" si="87"/>
        <v>20</v>
      </c>
      <c r="I1761" s="160">
        <f t="shared" si="88"/>
        <v>30</v>
      </c>
      <c r="J1761" s="160">
        <f t="shared" si="89"/>
        <v>2</v>
      </c>
    </row>
    <row r="1762" spans="2:10" x14ac:dyDescent="0.35">
      <c r="B1762" s="160">
        <f t="shared" si="81"/>
        <v>43</v>
      </c>
      <c r="C1762" s="160">
        <f t="shared" si="82"/>
        <v>92</v>
      </c>
      <c r="D1762" s="160">
        <f t="shared" si="83"/>
        <v>4</v>
      </c>
      <c r="E1762" s="160">
        <f t="shared" si="84"/>
        <v>10</v>
      </c>
      <c r="F1762" s="160">
        <f t="shared" si="85"/>
        <v>1</v>
      </c>
      <c r="G1762" s="160">
        <f t="shared" si="86"/>
        <v>2</v>
      </c>
      <c r="H1762" s="160">
        <f t="shared" si="87"/>
        <v>20</v>
      </c>
      <c r="I1762" s="160">
        <f t="shared" si="88"/>
        <v>27</v>
      </c>
      <c r="J1762" s="160">
        <f t="shared" si="89"/>
        <v>1</v>
      </c>
    </row>
    <row r="1763" spans="2:10" x14ac:dyDescent="0.35">
      <c r="B1763" s="160">
        <f t="shared" si="81"/>
        <v>43</v>
      </c>
      <c r="C1763" s="160">
        <f t="shared" si="82"/>
        <v>92</v>
      </c>
      <c r="D1763" s="160">
        <f t="shared" si="83"/>
        <v>4</v>
      </c>
      <c r="E1763" s="160">
        <f t="shared" si="84"/>
        <v>10</v>
      </c>
      <c r="F1763" s="160">
        <f t="shared" si="85"/>
        <v>1</v>
      </c>
      <c r="G1763" s="160">
        <f t="shared" si="86"/>
        <v>3</v>
      </c>
      <c r="H1763" s="160">
        <f t="shared" si="87"/>
        <v>24</v>
      </c>
      <c r="I1763" s="160">
        <f t="shared" si="88"/>
        <v>8</v>
      </c>
      <c r="J1763" s="160">
        <f t="shared" si="89"/>
        <v>1</v>
      </c>
    </row>
    <row r="1764" spans="2:10" x14ac:dyDescent="0.35">
      <c r="B1764" s="160">
        <f t="shared" si="81"/>
        <v>43</v>
      </c>
      <c r="C1764" s="160">
        <f t="shared" si="82"/>
        <v>25</v>
      </c>
      <c r="D1764" s="160">
        <f t="shared" si="83"/>
        <v>2</v>
      </c>
      <c r="E1764" s="160">
        <f t="shared" si="84"/>
        <v>4</v>
      </c>
      <c r="F1764" s="160">
        <f t="shared" si="85"/>
        <v>48</v>
      </c>
      <c r="G1764" s="160">
        <f t="shared" si="86"/>
        <v>1</v>
      </c>
      <c r="H1764" s="160">
        <f t="shared" si="87"/>
        <v>10</v>
      </c>
      <c r="I1764" s="160">
        <f t="shared" si="88"/>
        <v>11</v>
      </c>
      <c r="J1764" s="160">
        <f t="shared" si="89"/>
        <v>2</v>
      </c>
    </row>
    <row r="1765" spans="2:10" x14ac:dyDescent="0.35">
      <c r="B1765" s="160">
        <f t="shared" si="81"/>
        <v>43</v>
      </c>
      <c r="C1765" s="160">
        <f t="shared" si="82"/>
        <v>25</v>
      </c>
      <c r="D1765" s="160">
        <f t="shared" si="83"/>
        <v>2</v>
      </c>
      <c r="E1765" s="160">
        <f t="shared" si="84"/>
        <v>4</v>
      </c>
      <c r="F1765" s="160">
        <f t="shared" si="85"/>
        <v>48</v>
      </c>
      <c r="G1765" s="160">
        <f t="shared" si="86"/>
        <v>4</v>
      </c>
      <c r="H1765" s="160">
        <f t="shared" si="87"/>
        <v>19</v>
      </c>
      <c r="I1765" s="160">
        <f t="shared" si="88"/>
        <v>35</v>
      </c>
      <c r="J1765" s="160">
        <f t="shared" si="89"/>
        <v>2</v>
      </c>
    </row>
    <row r="1766" spans="2:10" x14ac:dyDescent="0.35">
      <c r="B1766" s="160">
        <f t="shared" si="81"/>
        <v>43</v>
      </c>
      <c r="C1766" s="160">
        <f t="shared" si="82"/>
        <v>48</v>
      </c>
      <c r="D1766" s="160">
        <f t="shared" si="83"/>
        <v>2</v>
      </c>
      <c r="E1766" s="160">
        <f t="shared" si="84"/>
        <v>4</v>
      </c>
      <c r="F1766" s="160">
        <f t="shared" si="85"/>
        <v>25</v>
      </c>
      <c r="G1766" s="160">
        <f t="shared" si="86"/>
        <v>1</v>
      </c>
      <c r="H1766" s="160">
        <f t="shared" si="87"/>
        <v>11</v>
      </c>
      <c r="I1766" s="160">
        <f t="shared" si="88"/>
        <v>27</v>
      </c>
      <c r="J1766" s="160">
        <f t="shared" si="89"/>
        <v>1</v>
      </c>
    </row>
    <row r="1767" spans="2:10" x14ac:dyDescent="0.35">
      <c r="B1767" s="160">
        <f t="shared" si="81"/>
        <v>43</v>
      </c>
      <c r="C1767" s="160">
        <f t="shared" si="82"/>
        <v>48</v>
      </c>
      <c r="D1767" s="160">
        <f t="shared" si="83"/>
        <v>2</v>
      </c>
      <c r="E1767" s="160">
        <f t="shared" si="84"/>
        <v>4</v>
      </c>
      <c r="F1767" s="160">
        <f t="shared" si="85"/>
        <v>25</v>
      </c>
      <c r="G1767" s="160">
        <f t="shared" si="86"/>
        <v>5</v>
      </c>
      <c r="H1767" s="160">
        <f t="shared" si="87"/>
        <v>8</v>
      </c>
      <c r="I1767" s="160">
        <f t="shared" si="88"/>
        <v>20</v>
      </c>
      <c r="J1767" s="160">
        <f t="shared" si="89"/>
        <v>1</v>
      </c>
    </row>
    <row r="1768" spans="2:10" x14ac:dyDescent="0.35">
      <c r="B1768" s="160">
        <f t="shared" si="81"/>
        <v>43</v>
      </c>
      <c r="C1768" s="160">
        <f t="shared" si="82"/>
        <v>5</v>
      </c>
      <c r="D1768" s="160">
        <f t="shared" si="83"/>
        <v>2</v>
      </c>
      <c r="E1768" s="160">
        <f t="shared" si="84"/>
        <v>16</v>
      </c>
      <c r="F1768" s="160">
        <f t="shared" si="85"/>
        <v>43</v>
      </c>
      <c r="G1768" s="160">
        <f t="shared" si="86"/>
        <v>4</v>
      </c>
      <c r="H1768" s="160">
        <f t="shared" si="87"/>
        <v>11</v>
      </c>
      <c r="I1768" s="160">
        <f t="shared" si="88"/>
        <v>8</v>
      </c>
      <c r="J1768" s="160">
        <f t="shared" si="89"/>
        <v>2</v>
      </c>
    </row>
    <row r="1769" spans="2:10" x14ac:dyDescent="0.35">
      <c r="B1769" s="160">
        <f t="shared" si="81"/>
        <v>43</v>
      </c>
      <c r="C1769" s="160">
        <f t="shared" si="82"/>
        <v>5</v>
      </c>
      <c r="D1769" s="160">
        <f t="shared" si="83"/>
        <v>2</v>
      </c>
      <c r="E1769" s="160">
        <f t="shared" si="84"/>
        <v>16</v>
      </c>
      <c r="F1769" s="160">
        <f t="shared" si="85"/>
        <v>43</v>
      </c>
      <c r="G1769" s="160">
        <f t="shared" si="86"/>
        <v>5</v>
      </c>
      <c r="H1769" s="160">
        <f t="shared" si="87"/>
        <v>8</v>
      </c>
      <c r="I1769" s="160">
        <f t="shared" si="88"/>
        <v>8</v>
      </c>
      <c r="J1769" s="160">
        <f t="shared" si="89"/>
        <v>2</v>
      </c>
    </row>
    <row r="1770" spans="2:10" x14ac:dyDescent="0.35">
      <c r="B1770" s="160">
        <f t="shared" si="81"/>
        <v>43</v>
      </c>
      <c r="C1770" s="160">
        <f t="shared" si="82"/>
        <v>93</v>
      </c>
      <c r="D1770" s="160">
        <f t="shared" si="83"/>
        <v>2</v>
      </c>
      <c r="E1770" s="160">
        <f t="shared" si="84"/>
        <v>17</v>
      </c>
      <c r="F1770" s="160">
        <f t="shared" si="85"/>
        <v>49</v>
      </c>
      <c r="G1770" s="160">
        <f t="shared" si="86"/>
        <v>1</v>
      </c>
      <c r="H1770" s="160">
        <f t="shared" si="87"/>
        <v>2</v>
      </c>
      <c r="I1770" s="160">
        <f t="shared" si="88"/>
        <v>21</v>
      </c>
      <c r="J1770" s="160">
        <f t="shared" si="89"/>
        <v>1</v>
      </c>
    </row>
    <row r="1771" spans="2:10" x14ac:dyDescent="0.35">
      <c r="B1771" s="160">
        <f t="shared" si="81"/>
        <v>43</v>
      </c>
      <c r="C1771" s="160">
        <f t="shared" si="82"/>
        <v>93</v>
      </c>
      <c r="D1771" s="160">
        <f t="shared" si="83"/>
        <v>2</v>
      </c>
      <c r="E1771" s="160">
        <f t="shared" si="84"/>
        <v>17</v>
      </c>
      <c r="F1771" s="160">
        <f t="shared" si="85"/>
        <v>49</v>
      </c>
      <c r="G1771" s="160">
        <f t="shared" si="86"/>
        <v>4</v>
      </c>
      <c r="H1771" s="160">
        <f t="shared" si="87"/>
        <v>2</v>
      </c>
      <c r="I1771" s="160">
        <f t="shared" si="88"/>
        <v>21</v>
      </c>
      <c r="J1771" s="160">
        <f t="shared" si="89"/>
        <v>1</v>
      </c>
    </row>
    <row r="1772" spans="2:10" x14ac:dyDescent="0.35">
      <c r="B1772" s="160">
        <f t="shared" si="81"/>
        <v>43</v>
      </c>
      <c r="C1772" s="160">
        <f t="shared" si="82"/>
        <v>67</v>
      </c>
      <c r="D1772" s="160">
        <f t="shared" si="83"/>
        <v>2</v>
      </c>
      <c r="E1772" s="160">
        <f t="shared" si="84"/>
        <v>17</v>
      </c>
      <c r="F1772" s="160">
        <f t="shared" si="85"/>
        <v>47</v>
      </c>
      <c r="G1772" s="160">
        <f t="shared" si="86"/>
        <v>1</v>
      </c>
      <c r="H1772" s="160">
        <f t="shared" si="87"/>
        <v>22</v>
      </c>
      <c r="I1772" s="160">
        <f t="shared" si="88"/>
        <v>9</v>
      </c>
      <c r="J1772" s="160">
        <f t="shared" si="89"/>
        <v>1</v>
      </c>
    </row>
    <row r="1773" spans="2:10" x14ac:dyDescent="0.35">
      <c r="B1773" s="160">
        <f t="shared" si="81"/>
        <v>43</v>
      </c>
      <c r="C1773" s="160">
        <f t="shared" si="82"/>
        <v>67</v>
      </c>
      <c r="D1773" s="160">
        <f t="shared" si="83"/>
        <v>2</v>
      </c>
      <c r="E1773" s="160">
        <f t="shared" si="84"/>
        <v>17</v>
      </c>
      <c r="F1773" s="160">
        <f t="shared" si="85"/>
        <v>47</v>
      </c>
      <c r="G1773" s="160">
        <f t="shared" si="86"/>
        <v>4</v>
      </c>
      <c r="H1773" s="160">
        <f t="shared" si="87"/>
        <v>22</v>
      </c>
      <c r="I1773" s="160">
        <f t="shared" si="88"/>
        <v>9</v>
      </c>
      <c r="J1773" s="160">
        <f t="shared" si="89"/>
        <v>1</v>
      </c>
    </row>
    <row r="1774" spans="2:10" x14ac:dyDescent="0.35">
      <c r="B1774" s="160">
        <f t="shared" si="81"/>
        <v>44</v>
      </c>
      <c r="C1774" s="160">
        <f t="shared" si="82"/>
        <v>28</v>
      </c>
      <c r="D1774" s="160">
        <f t="shared" si="83"/>
        <v>4</v>
      </c>
      <c r="E1774" s="160">
        <f t="shared" si="84"/>
        <v>15</v>
      </c>
      <c r="F1774" s="160">
        <f t="shared" si="85"/>
        <v>28</v>
      </c>
      <c r="G1774" s="160">
        <f t="shared" si="86"/>
        <v>2</v>
      </c>
      <c r="H1774" s="160">
        <f t="shared" si="87"/>
        <v>18</v>
      </c>
      <c r="I1774" s="160">
        <f t="shared" si="88"/>
        <v>102</v>
      </c>
      <c r="J1774" s="160">
        <f t="shared" si="89"/>
        <v>1</v>
      </c>
    </row>
    <row r="1775" spans="2:10" x14ac:dyDescent="0.35">
      <c r="B1775" s="160">
        <f t="shared" si="81"/>
        <v>44</v>
      </c>
      <c r="C1775" s="160">
        <f t="shared" si="82"/>
        <v>28</v>
      </c>
      <c r="D1775" s="160">
        <f t="shared" si="83"/>
        <v>4</v>
      </c>
      <c r="E1775" s="160">
        <f t="shared" si="84"/>
        <v>15</v>
      </c>
      <c r="F1775" s="160">
        <f t="shared" si="85"/>
        <v>28</v>
      </c>
      <c r="G1775" s="160">
        <f t="shared" si="86"/>
        <v>4</v>
      </c>
      <c r="H1775" s="160">
        <f t="shared" si="87"/>
        <v>18</v>
      </c>
      <c r="I1775" s="160">
        <f t="shared" si="88"/>
        <v>102</v>
      </c>
      <c r="J1775" s="160">
        <f t="shared" si="89"/>
        <v>1</v>
      </c>
    </row>
    <row r="1776" spans="2:10" x14ac:dyDescent="0.35">
      <c r="B1776" s="160">
        <f t="shared" si="81"/>
        <v>44</v>
      </c>
      <c r="C1776" s="160">
        <f t="shared" si="82"/>
        <v>42</v>
      </c>
      <c r="D1776" s="160">
        <f t="shared" si="83"/>
        <v>2</v>
      </c>
      <c r="E1776" s="160">
        <f t="shared" si="84"/>
        <v>15</v>
      </c>
      <c r="F1776" s="160">
        <f t="shared" si="85"/>
        <v>25</v>
      </c>
      <c r="G1776" s="160">
        <f t="shared" si="86"/>
        <v>2</v>
      </c>
      <c r="H1776" s="160">
        <f t="shared" si="87"/>
        <v>24</v>
      </c>
      <c r="I1776" s="160">
        <f t="shared" si="88"/>
        <v>8</v>
      </c>
      <c r="J1776" s="160">
        <f t="shared" si="89"/>
        <v>1</v>
      </c>
    </row>
    <row r="1777" spans="2:10" x14ac:dyDescent="0.35">
      <c r="B1777" s="160">
        <f t="shared" si="81"/>
        <v>44</v>
      </c>
      <c r="C1777" s="160">
        <f t="shared" si="82"/>
        <v>42</v>
      </c>
      <c r="D1777" s="160">
        <f t="shared" si="83"/>
        <v>2</v>
      </c>
      <c r="E1777" s="160">
        <f t="shared" si="84"/>
        <v>15</v>
      </c>
      <c r="F1777" s="160">
        <f t="shared" si="85"/>
        <v>25</v>
      </c>
      <c r="G1777" s="160">
        <f t="shared" si="86"/>
        <v>5</v>
      </c>
      <c r="H1777" s="160">
        <f t="shared" si="87"/>
        <v>2</v>
      </c>
      <c r="I1777" s="160">
        <f t="shared" si="88"/>
        <v>36</v>
      </c>
      <c r="J1777" s="160">
        <f t="shared" si="89"/>
        <v>1</v>
      </c>
    </row>
    <row r="1778" spans="2:10" x14ac:dyDescent="0.35">
      <c r="B1778" s="160">
        <f t="shared" si="81"/>
        <v>44</v>
      </c>
      <c r="C1778" s="160">
        <f t="shared" si="82"/>
        <v>42</v>
      </c>
      <c r="D1778" s="160">
        <f t="shared" si="83"/>
        <v>2</v>
      </c>
      <c r="E1778" s="160">
        <f t="shared" si="84"/>
        <v>15</v>
      </c>
      <c r="F1778" s="160">
        <f t="shared" si="85"/>
        <v>26</v>
      </c>
      <c r="G1778" s="160">
        <f t="shared" si="86"/>
        <v>3</v>
      </c>
      <c r="H1778" s="160">
        <f t="shared" si="87"/>
        <v>8</v>
      </c>
      <c r="I1778" s="160">
        <f t="shared" si="88"/>
        <v>30</v>
      </c>
      <c r="J1778" s="160">
        <f t="shared" si="89"/>
        <v>1</v>
      </c>
    </row>
    <row r="1779" spans="2:10" x14ac:dyDescent="0.35">
      <c r="B1779" s="160">
        <f t="shared" si="81"/>
        <v>44</v>
      </c>
      <c r="C1779" s="160">
        <f t="shared" si="82"/>
        <v>42</v>
      </c>
      <c r="D1779" s="160">
        <f t="shared" si="83"/>
        <v>2</v>
      </c>
      <c r="E1779" s="160">
        <f t="shared" si="84"/>
        <v>15</v>
      </c>
      <c r="F1779" s="160">
        <f t="shared" si="85"/>
        <v>26</v>
      </c>
      <c r="G1779" s="160">
        <f t="shared" si="86"/>
        <v>4</v>
      </c>
      <c r="H1779" s="160">
        <f t="shared" si="87"/>
        <v>11</v>
      </c>
      <c r="I1779" s="160">
        <f t="shared" si="88"/>
        <v>41</v>
      </c>
      <c r="J1779" s="160">
        <f t="shared" si="89"/>
        <v>1</v>
      </c>
    </row>
    <row r="1780" spans="2:10" x14ac:dyDescent="0.35">
      <c r="B1780" s="160">
        <f t="shared" si="81"/>
        <v>44</v>
      </c>
      <c r="C1780" s="160">
        <f t="shared" si="82"/>
        <v>42</v>
      </c>
      <c r="D1780" s="160">
        <f t="shared" si="83"/>
        <v>2</v>
      </c>
      <c r="E1780" s="160">
        <f t="shared" si="84"/>
        <v>15</v>
      </c>
      <c r="F1780" s="160">
        <f t="shared" si="85"/>
        <v>27</v>
      </c>
      <c r="G1780" s="160">
        <f t="shared" si="86"/>
        <v>2</v>
      </c>
      <c r="H1780" s="160">
        <f t="shared" si="87"/>
        <v>2</v>
      </c>
      <c r="I1780" s="160">
        <f t="shared" si="88"/>
        <v>42</v>
      </c>
      <c r="J1780" s="160">
        <f t="shared" si="89"/>
        <v>1</v>
      </c>
    </row>
    <row r="1781" spans="2:10" x14ac:dyDescent="0.35">
      <c r="B1781" s="160">
        <f t="shared" si="81"/>
        <v>44</v>
      </c>
      <c r="C1781" s="160">
        <f t="shared" si="82"/>
        <v>42</v>
      </c>
      <c r="D1781" s="160">
        <f t="shared" si="83"/>
        <v>2</v>
      </c>
      <c r="E1781" s="160">
        <f t="shared" si="84"/>
        <v>15</v>
      </c>
      <c r="F1781" s="160">
        <f t="shared" si="85"/>
        <v>27</v>
      </c>
      <c r="G1781" s="160">
        <f t="shared" si="86"/>
        <v>5</v>
      </c>
      <c r="H1781" s="160">
        <f t="shared" si="87"/>
        <v>20</v>
      </c>
      <c r="I1781" s="160">
        <f t="shared" si="88"/>
        <v>41</v>
      </c>
      <c r="J1781" s="160">
        <f t="shared" si="89"/>
        <v>1</v>
      </c>
    </row>
    <row r="1782" spans="2:10" x14ac:dyDescent="0.35">
      <c r="B1782" s="160">
        <f t="shared" si="81"/>
        <v>44</v>
      </c>
      <c r="C1782" s="160">
        <f t="shared" si="82"/>
        <v>43</v>
      </c>
      <c r="D1782" s="160">
        <f t="shared" si="83"/>
        <v>1</v>
      </c>
      <c r="E1782" s="160">
        <f t="shared" si="84"/>
        <v>15</v>
      </c>
      <c r="F1782" s="160">
        <f t="shared" si="85"/>
        <v>3</v>
      </c>
      <c r="G1782" s="160">
        <f t="shared" si="86"/>
        <v>2</v>
      </c>
      <c r="H1782" s="160">
        <f t="shared" si="87"/>
        <v>19</v>
      </c>
      <c r="I1782" s="160">
        <f t="shared" si="88"/>
        <v>64</v>
      </c>
      <c r="J1782" s="160">
        <f t="shared" si="89"/>
        <v>2</v>
      </c>
    </row>
    <row r="1783" spans="2:10" x14ac:dyDescent="0.35">
      <c r="B1783" s="160">
        <f t="shared" si="81"/>
        <v>44</v>
      </c>
      <c r="C1783" s="160">
        <f t="shared" si="82"/>
        <v>43</v>
      </c>
      <c r="D1783" s="160">
        <f t="shared" si="83"/>
        <v>1</v>
      </c>
      <c r="E1783" s="160">
        <f t="shared" si="84"/>
        <v>15</v>
      </c>
      <c r="F1783" s="160">
        <f t="shared" si="85"/>
        <v>3</v>
      </c>
      <c r="G1783" s="160">
        <f t="shared" si="86"/>
        <v>5</v>
      </c>
      <c r="H1783" s="160">
        <f t="shared" si="87"/>
        <v>1</v>
      </c>
      <c r="I1783" s="160">
        <f t="shared" si="88"/>
        <v>2</v>
      </c>
      <c r="J1783" s="160">
        <f t="shared" si="89"/>
        <v>2</v>
      </c>
    </row>
    <row r="1784" spans="2:10" x14ac:dyDescent="0.35">
      <c r="B1784" s="160">
        <f t="shared" si="81"/>
        <v>44</v>
      </c>
      <c r="C1784" s="160">
        <f t="shared" si="82"/>
        <v>43</v>
      </c>
      <c r="D1784" s="160">
        <f t="shared" si="83"/>
        <v>1</v>
      </c>
      <c r="E1784" s="160">
        <f t="shared" si="84"/>
        <v>15</v>
      </c>
      <c r="F1784" s="160">
        <f t="shared" si="85"/>
        <v>4</v>
      </c>
      <c r="G1784" s="160">
        <f t="shared" si="86"/>
        <v>2</v>
      </c>
      <c r="H1784" s="160">
        <f t="shared" si="87"/>
        <v>1</v>
      </c>
      <c r="I1784" s="160">
        <f t="shared" si="88"/>
        <v>11</v>
      </c>
      <c r="J1784" s="160">
        <f t="shared" si="89"/>
        <v>2</v>
      </c>
    </row>
    <row r="1785" spans="2:10" x14ac:dyDescent="0.35">
      <c r="B1785" s="160">
        <f t="shared" si="81"/>
        <v>44</v>
      </c>
      <c r="C1785" s="160">
        <f t="shared" si="82"/>
        <v>43</v>
      </c>
      <c r="D1785" s="160">
        <f t="shared" si="83"/>
        <v>1</v>
      </c>
      <c r="E1785" s="160">
        <f t="shared" si="84"/>
        <v>15</v>
      </c>
      <c r="F1785" s="160">
        <f t="shared" si="85"/>
        <v>4</v>
      </c>
      <c r="G1785" s="160">
        <f t="shared" si="86"/>
        <v>5</v>
      </c>
      <c r="H1785" s="160">
        <f t="shared" si="87"/>
        <v>7</v>
      </c>
      <c r="I1785" s="160">
        <f t="shared" si="88"/>
        <v>4</v>
      </c>
      <c r="J1785" s="160">
        <f t="shared" si="89"/>
        <v>2</v>
      </c>
    </row>
    <row r="1786" spans="2:10" x14ac:dyDescent="0.35">
      <c r="B1786" s="160">
        <f t="shared" si="81"/>
        <v>44</v>
      </c>
      <c r="C1786" s="160">
        <f t="shared" si="82"/>
        <v>43</v>
      </c>
      <c r="D1786" s="160">
        <f t="shared" si="83"/>
        <v>1</v>
      </c>
      <c r="E1786" s="160">
        <f t="shared" si="84"/>
        <v>15</v>
      </c>
      <c r="F1786" s="160">
        <f t="shared" si="85"/>
        <v>5</v>
      </c>
      <c r="G1786" s="160">
        <f t="shared" si="86"/>
        <v>1</v>
      </c>
      <c r="H1786" s="160">
        <f t="shared" si="87"/>
        <v>19</v>
      </c>
      <c r="I1786" s="160">
        <f t="shared" si="88"/>
        <v>5</v>
      </c>
      <c r="J1786" s="160">
        <f t="shared" si="89"/>
        <v>1</v>
      </c>
    </row>
    <row r="1787" spans="2:10" x14ac:dyDescent="0.35">
      <c r="B1787" s="160">
        <f t="shared" si="81"/>
        <v>44</v>
      </c>
      <c r="C1787" s="160">
        <f t="shared" si="82"/>
        <v>43</v>
      </c>
      <c r="D1787" s="160">
        <f t="shared" si="83"/>
        <v>1</v>
      </c>
      <c r="E1787" s="160">
        <f t="shared" si="84"/>
        <v>15</v>
      </c>
      <c r="F1787" s="160">
        <f t="shared" si="85"/>
        <v>5</v>
      </c>
      <c r="G1787" s="160">
        <f t="shared" si="86"/>
        <v>5</v>
      </c>
      <c r="H1787" s="160">
        <f t="shared" si="87"/>
        <v>9</v>
      </c>
      <c r="I1787" s="160">
        <f t="shared" si="88"/>
        <v>21</v>
      </c>
      <c r="J1787" s="160">
        <f t="shared" si="89"/>
        <v>1</v>
      </c>
    </row>
    <row r="1788" spans="2:10" x14ac:dyDescent="0.35">
      <c r="B1788" s="160">
        <f t="shared" si="81"/>
        <v>44</v>
      </c>
      <c r="C1788" s="160">
        <f t="shared" si="82"/>
        <v>33</v>
      </c>
      <c r="D1788" s="160">
        <f t="shared" si="83"/>
        <v>1</v>
      </c>
      <c r="E1788" s="160">
        <f t="shared" si="84"/>
        <v>16</v>
      </c>
      <c r="F1788" s="160">
        <f t="shared" si="85"/>
        <v>48</v>
      </c>
      <c r="G1788" s="160">
        <f t="shared" si="86"/>
        <v>1</v>
      </c>
      <c r="H1788" s="160">
        <f t="shared" si="87"/>
        <v>24</v>
      </c>
      <c r="I1788" s="160">
        <f t="shared" si="88"/>
        <v>5</v>
      </c>
      <c r="J1788" s="160">
        <f t="shared" si="89"/>
        <v>1</v>
      </c>
    </row>
    <row r="1789" spans="2:10" x14ac:dyDescent="0.35">
      <c r="B1789" s="160">
        <f t="shared" si="81"/>
        <v>44</v>
      </c>
      <c r="C1789" s="160">
        <f t="shared" si="82"/>
        <v>33</v>
      </c>
      <c r="D1789" s="160">
        <f t="shared" si="83"/>
        <v>1</v>
      </c>
      <c r="E1789" s="160">
        <f t="shared" si="84"/>
        <v>16</v>
      </c>
      <c r="F1789" s="160">
        <f t="shared" si="85"/>
        <v>48</v>
      </c>
      <c r="G1789" s="160">
        <f t="shared" si="86"/>
        <v>3</v>
      </c>
      <c r="H1789" s="160">
        <f t="shared" si="87"/>
        <v>20</v>
      </c>
      <c r="I1789" s="160">
        <f t="shared" si="88"/>
        <v>5</v>
      </c>
      <c r="J1789" s="160">
        <f t="shared" si="89"/>
        <v>1</v>
      </c>
    </row>
    <row r="1790" spans="2:10" x14ac:dyDescent="0.35">
      <c r="B1790" s="160">
        <f t="shared" si="81"/>
        <v>44</v>
      </c>
      <c r="C1790" s="160">
        <f t="shared" si="82"/>
        <v>65</v>
      </c>
      <c r="D1790" s="160">
        <f t="shared" si="83"/>
        <v>1</v>
      </c>
      <c r="E1790" s="160">
        <f t="shared" si="84"/>
        <v>16</v>
      </c>
      <c r="F1790" s="160">
        <f t="shared" si="85"/>
        <v>42</v>
      </c>
      <c r="G1790" s="160">
        <f t="shared" si="86"/>
        <v>1</v>
      </c>
      <c r="H1790" s="160">
        <f t="shared" si="87"/>
        <v>11</v>
      </c>
      <c r="I1790" s="160">
        <f t="shared" si="88"/>
        <v>41</v>
      </c>
      <c r="J1790" s="160">
        <f t="shared" si="89"/>
        <v>1</v>
      </c>
    </row>
    <row r="1791" spans="2:10" x14ac:dyDescent="0.35">
      <c r="B1791" s="160">
        <f t="shared" si="81"/>
        <v>44</v>
      </c>
      <c r="C1791" s="160">
        <f t="shared" si="82"/>
        <v>65</v>
      </c>
      <c r="D1791" s="160">
        <f t="shared" si="83"/>
        <v>1</v>
      </c>
      <c r="E1791" s="160">
        <f t="shared" si="84"/>
        <v>16</v>
      </c>
      <c r="F1791" s="160">
        <f t="shared" si="85"/>
        <v>42</v>
      </c>
      <c r="G1791" s="160">
        <f t="shared" si="86"/>
        <v>2</v>
      </c>
      <c r="H1791" s="160">
        <f t="shared" si="87"/>
        <v>11</v>
      </c>
      <c r="I1791" s="160">
        <f t="shared" si="88"/>
        <v>34</v>
      </c>
      <c r="J1791" s="160">
        <f t="shared" si="89"/>
        <v>1</v>
      </c>
    </row>
    <row r="1792" spans="2:10" x14ac:dyDescent="0.35">
      <c r="B1792" s="160">
        <f t="shared" si="81"/>
        <v>44</v>
      </c>
      <c r="C1792" s="160">
        <f t="shared" si="82"/>
        <v>66</v>
      </c>
      <c r="D1792" s="160">
        <f t="shared" si="83"/>
        <v>2</v>
      </c>
      <c r="E1792" s="160">
        <f t="shared" si="84"/>
        <v>17</v>
      </c>
      <c r="F1792" s="160">
        <f t="shared" si="85"/>
        <v>49</v>
      </c>
      <c r="G1792" s="160">
        <f t="shared" si="86"/>
        <v>1</v>
      </c>
      <c r="H1792" s="160">
        <f t="shared" si="87"/>
        <v>20</v>
      </c>
      <c r="I1792" s="160">
        <f t="shared" si="88"/>
        <v>21</v>
      </c>
      <c r="J1792" s="160">
        <f t="shared" si="89"/>
        <v>2</v>
      </c>
    </row>
    <row r="1793" spans="2:10" x14ac:dyDescent="0.35">
      <c r="B1793" s="160">
        <f t="shared" si="81"/>
        <v>44</v>
      </c>
      <c r="C1793" s="160">
        <f t="shared" si="82"/>
        <v>66</v>
      </c>
      <c r="D1793" s="160">
        <f t="shared" si="83"/>
        <v>2</v>
      </c>
      <c r="E1793" s="160">
        <f t="shared" si="84"/>
        <v>17</v>
      </c>
      <c r="F1793" s="160">
        <f t="shared" si="85"/>
        <v>49</v>
      </c>
      <c r="G1793" s="160">
        <f t="shared" si="86"/>
        <v>4</v>
      </c>
      <c r="H1793" s="160">
        <f t="shared" si="87"/>
        <v>20</v>
      </c>
      <c r="I1793" s="160">
        <f t="shared" si="88"/>
        <v>21</v>
      </c>
      <c r="J1793" s="160">
        <f t="shared" si="89"/>
        <v>2</v>
      </c>
    </row>
    <row r="1794" spans="2:10" x14ac:dyDescent="0.35">
      <c r="B1794" s="160">
        <f t="shared" si="81"/>
        <v>44</v>
      </c>
      <c r="C1794" s="160">
        <f t="shared" si="82"/>
        <v>93</v>
      </c>
      <c r="D1794" s="160">
        <f t="shared" si="83"/>
        <v>2</v>
      </c>
      <c r="E1794" s="160">
        <f t="shared" si="84"/>
        <v>17</v>
      </c>
      <c r="F1794" s="160">
        <f t="shared" si="85"/>
        <v>48</v>
      </c>
      <c r="G1794" s="160">
        <f t="shared" si="86"/>
        <v>1</v>
      </c>
      <c r="H1794" s="160">
        <f t="shared" si="87"/>
        <v>2</v>
      </c>
      <c r="I1794" s="160">
        <f t="shared" si="88"/>
        <v>5</v>
      </c>
      <c r="J1794" s="160">
        <f t="shared" si="89"/>
        <v>1</v>
      </c>
    </row>
    <row r="1795" spans="2:10" x14ac:dyDescent="0.35">
      <c r="B1795" s="160">
        <f t="shared" si="81"/>
        <v>44</v>
      </c>
      <c r="C1795" s="160">
        <f t="shared" si="82"/>
        <v>93</v>
      </c>
      <c r="D1795" s="160">
        <f t="shared" si="83"/>
        <v>2</v>
      </c>
      <c r="E1795" s="160">
        <f t="shared" si="84"/>
        <v>17</v>
      </c>
      <c r="F1795" s="160">
        <f t="shared" si="85"/>
        <v>48</v>
      </c>
      <c r="G1795" s="160">
        <f t="shared" si="86"/>
        <v>4</v>
      </c>
      <c r="H1795" s="160">
        <f t="shared" si="87"/>
        <v>2</v>
      </c>
      <c r="I1795" s="160">
        <f t="shared" si="88"/>
        <v>5</v>
      </c>
      <c r="J1795" s="160">
        <f t="shared" si="89"/>
        <v>1</v>
      </c>
    </row>
    <row r="1796" spans="2:10" x14ac:dyDescent="0.35">
      <c r="B1796" s="160">
        <f t="shared" si="81"/>
        <v>45</v>
      </c>
      <c r="C1796" s="160">
        <f t="shared" si="82"/>
        <v>32</v>
      </c>
      <c r="D1796" s="160">
        <f t="shared" si="83"/>
        <v>4</v>
      </c>
      <c r="E1796" s="160">
        <f t="shared" si="84"/>
        <v>8</v>
      </c>
      <c r="F1796" s="160">
        <f t="shared" si="85"/>
        <v>27</v>
      </c>
      <c r="G1796" s="160">
        <f t="shared" si="86"/>
        <v>1</v>
      </c>
      <c r="H1796" s="160">
        <f t="shared" si="87"/>
        <v>11</v>
      </c>
      <c r="I1796" s="160">
        <f t="shared" si="88"/>
        <v>3</v>
      </c>
      <c r="J1796" s="160">
        <f t="shared" si="89"/>
        <v>1</v>
      </c>
    </row>
    <row r="1797" spans="2:10" x14ac:dyDescent="0.35">
      <c r="B1797" s="160">
        <f t="shared" si="81"/>
        <v>45</v>
      </c>
      <c r="C1797" s="160">
        <f t="shared" si="82"/>
        <v>32</v>
      </c>
      <c r="D1797" s="160">
        <f t="shared" si="83"/>
        <v>4</v>
      </c>
      <c r="E1797" s="160">
        <f t="shared" si="84"/>
        <v>8</v>
      </c>
      <c r="F1797" s="160">
        <f t="shared" si="85"/>
        <v>27</v>
      </c>
      <c r="G1797" s="160">
        <f t="shared" si="86"/>
        <v>3</v>
      </c>
      <c r="H1797" s="160">
        <f t="shared" si="87"/>
        <v>11</v>
      </c>
      <c r="I1797" s="160">
        <f t="shared" si="88"/>
        <v>3</v>
      </c>
      <c r="J1797" s="160">
        <f t="shared" si="89"/>
        <v>1</v>
      </c>
    </row>
    <row r="1798" spans="2:10" x14ac:dyDescent="0.35">
      <c r="B1798" s="160">
        <f t="shared" si="81"/>
        <v>45</v>
      </c>
      <c r="C1798" s="160">
        <f t="shared" si="82"/>
        <v>32</v>
      </c>
      <c r="D1798" s="160">
        <f t="shared" si="83"/>
        <v>4</v>
      </c>
      <c r="E1798" s="160">
        <f t="shared" si="84"/>
        <v>8</v>
      </c>
      <c r="F1798" s="160">
        <f t="shared" si="85"/>
        <v>28</v>
      </c>
      <c r="G1798" s="160">
        <f t="shared" si="86"/>
        <v>3</v>
      </c>
      <c r="H1798" s="160">
        <f t="shared" si="87"/>
        <v>24</v>
      </c>
      <c r="I1798" s="160">
        <f t="shared" si="88"/>
        <v>3</v>
      </c>
      <c r="J1798" s="160">
        <f t="shared" si="89"/>
        <v>1</v>
      </c>
    </row>
    <row r="1799" spans="2:10" x14ac:dyDescent="0.35">
      <c r="B1799" s="160">
        <f t="shared" si="81"/>
        <v>45</v>
      </c>
      <c r="C1799" s="160">
        <f t="shared" si="82"/>
        <v>32</v>
      </c>
      <c r="D1799" s="160">
        <f t="shared" si="83"/>
        <v>4</v>
      </c>
      <c r="E1799" s="160">
        <f t="shared" si="84"/>
        <v>8</v>
      </c>
      <c r="F1799" s="160">
        <f t="shared" si="85"/>
        <v>28</v>
      </c>
      <c r="G1799" s="160">
        <f t="shared" si="86"/>
        <v>5</v>
      </c>
      <c r="H1799" s="160">
        <f t="shared" si="87"/>
        <v>20</v>
      </c>
      <c r="I1799" s="160">
        <f t="shared" si="88"/>
        <v>3</v>
      </c>
      <c r="J1799" s="160">
        <f t="shared" si="89"/>
        <v>1</v>
      </c>
    </row>
    <row r="1800" spans="2:10" x14ac:dyDescent="0.35">
      <c r="B1800" s="160">
        <f t="shared" si="81"/>
        <v>45</v>
      </c>
      <c r="C1800" s="160">
        <f t="shared" si="82"/>
        <v>94</v>
      </c>
      <c r="D1800" s="160">
        <f t="shared" si="83"/>
        <v>4</v>
      </c>
      <c r="E1800" s="160">
        <f t="shared" si="84"/>
        <v>8</v>
      </c>
      <c r="F1800" s="160">
        <f t="shared" si="85"/>
        <v>1</v>
      </c>
      <c r="G1800" s="160">
        <f t="shared" si="86"/>
        <v>2</v>
      </c>
      <c r="H1800" s="160">
        <f t="shared" si="87"/>
        <v>2</v>
      </c>
      <c r="I1800" s="160">
        <f t="shared" si="88"/>
        <v>4</v>
      </c>
      <c r="J1800" s="160">
        <f t="shared" si="89"/>
        <v>1</v>
      </c>
    </row>
    <row r="1801" spans="2:10" x14ac:dyDescent="0.35">
      <c r="B1801" s="160">
        <f t="shared" si="81"/>
        <v>45</v>
      </c>
      <c r="C1801" s="160">
        <f t="shared" si="82"/>
        <v>94</v>
      </c>
      <c r="D1801" s="160">
        <f t="shared" si="83"/>
        <v>4</v>
      </c>
      <c r="E1801" s="160">
        <f t="shared" si="84"/>
        <v>8</v>
      </c>
      <c r="F1801" s="160">
        <f t="shared" si="85"/>
        <v>1</v>
      </c>
      <c r="G1801" s="160">
        <f t="shared" si="86"/>
        <v>4</v>
      </c>
      <c r="H1801" s="160">
        <f t="shared" si="87"/>
        <v>2</v>
      </c>
      <c r="I1801" s="160">
        <f t="shared" si="88"/>
        <v>4</v>
      </c>
      <c r="J1801" s="160">
        <f t="shared" si="89"/>
        <v>1</v>
      </c>
    </row>
    <row r="1802" spans="2:10" x14ac:dyDescent="0.35">
      <c r="B1802" s="160">
        <f t="shared" si="81"/>
        <v>45</v>
      </c>
      <c r="C1802" s="160">
        <f t="shared" si="82"/>
        <v>94</v>
      </c>
      <c r="D1802" s="160">
        <f t="shared" si="83"/>
        <v>4</v>
      </c>
      <c r="E1802" s="160">
        <f t="shared" si="84"/>
        <v>8</v>
      </c>
      <c r="F1802" s="160">
        <f t="shared" si="85"/>
        <v>2</v>
      </c>
      <c r="G1802" s="160">
        <f t="shared" si="86"/>
        <v>2</v>
      </c>
      <c r="H1802" s="160">
        <f t="shared" si="87"/>
        <v>11</v>
      </c>
      <c r="I1802" s="160">
        <f t="shared" si="88"/>
        <v>4</v>
      </c>
      <c r="J1802" s="160">
        <f t="shared" si="89"/>
        <v>1</v>
      </c>
    </row>
    <row r="1803" spans="2:10" x14ac:dyDescent="0.35">
      <c r="B1803" s="160">
        <f t="shared" si="81"/>
        <v>45</v>
      </c>
      <c r="C1803" s="160">
        <f t="shared" si="82"/>
        <v>94</v>
      </c>
      <c r="D1803" s="160">
        <f t="shared" si="83"/>
        <v>4</v>
      </c>
      <c r="E1803" s="160">
        <f t="shared" si="84"/>
        <v>8</v>
      </c>
      <c r="F1803" s="160">
        <f t="shared" si="85"/>
        <v>2</v>
      </c>
      <c r="G1803" s="160">
        <f t="shared" si="86"/>
        <v>4</v>
      </c>
      <c r="H1803" s="160">
        <f t="shared" si="87"/>
        <v>11</v>
      </c>
      <c r="I1803" s="160">
        <f t="shared" si="88"/>
        <v>4</v>
      </c>
      <c r="J1803" s="160">
        <f t="shared" si="89"/>
        <v>1</v>
      </c>
    </row>
    <row r="1804" spans="2:10" x14ac:dyDescent="0.35">
      <c r="B1804" s="160">
        <f t="shared" si="81"/>
        <v>45</v>
      </c>
      <c r="C1804" s="160">
        <f t="shared" si="82"/>
        <v>94</v>
      </c>
      <c r="D1804" s="160">
        <f t="shared" si="83"/>
        <v>4</v>
      </c>
      <c r="E1804" s="160">
        <f t="shared" si="84"/>
        <v>8</v>
      </c>
      <c r="F1804" s="160">
        <f t="shared" si="85"/>
        <v>3</v>
      </c>
      <c r="G1804" s="160">
        <f t="shared" si="86"/>
        <v>1</v>
      </c>
      <c r="H1804" s="160">
        <f t="shared" si="87"/>
        <v>2</v>
      </c>
      <c r="I1804" s="160">
        <f t="shared" si="88"/>
        <v>1</v>
      </c>
      <c r="J1804" s="160">
        <f t="shared" si="89"/>
        <v>1</v>
      </c>
    </row>
    <row r="1805" spans="2:10" x14ac:dyDescent="0.35">
      <c r="B1805" s="160">
        <f t="shared" si="81"/>
        <v>45</v>
      </c>
      <c r="C1805" s="160">
        <f t="shared" si="82"/>
        <v>94</v>
      </c>
      <c r="D1805" s="160">
        <f t="shared" si="83"/>
        <v>4</v>
      </c>
      <c r="E1805" s="160">
        <f t="shared" si="84"/>
        <v>8</v>
      </c>
      <c r="F1805" s="160">
        <f t="shared" si="85"/>
        <v>3</v>
      </c>
      <c r="G1805" s="160">
        <f t="shared" si="86"/>
        <v>5</v>
      </c>
      <c r="H1805" s="160">
        <f t="shared" si="87"/>
        <v>2</v>
      </c>
      <c r="I1805" s="160">
        <f t="shared" si="88"/>
        <v>1</v>
      </c>
      <c r="J1805" s="160">
        <f t="shared" si="89"/>
        <v>1</v>
      </c>
    </row>
    <row r="1806" spans="2:10" x14ac:dyDescent="0.35">
      <c r="B1806" s="160">
        <f t="shared" si="81"/>
        <v>46</v>
      </c>
      <c r="C1806" s="160">
        <f t="shared" si="82"/>
        <v>15</v>
      </c>
      <c r="D1806" s="160">
        <f t="shared" si="83"/>
        <v>3</v>
      </c>
      <c r="E1806" s="160">
        <f t="shared" si="84"/>
        <v>15</v>
      </c>
      <c r="F1806" s="160">
        <f t="shared" si="85"/>
        <v>25</v>
      </c>
      <c r="G1806" s="160">
        <f t="shared" si="86"/>
        <v>2</v>
      </c>
      <c r="H1806" s="160">
        <f t="shared" si="87"/>
        <v>19</v>
      </c>
      <c r="I1806" s="160">
        <f t="shared" si="88"/>
        <v>12</v>
      </c>
      <c r="J1806" s="160">
        <f t="shared" si="89"/>
        <v>2</v>
      </c>
    </row>
    <row r="1807" spans="2:10" x14ac:dyDescent="0.35">
      <c r="B1807" s="160">
        <f t="shared" si="81"/>
        <v>46</v>
      </c>
      <c r="C1807" s="160">
        <f t="shared" si="82"/>
        <v>15</v>
      </c>
      <c r="D1807" s="160">
        <f t="shared" si="83"/>
        <v>3</v>
      </c>
      <c r="E1807" s="160">
        <f t="shared" si="84"/>
        <v>15</v>
      </c>
      <c r="F1807" s="160">
        <f t="shared" si="85"/>
        <v>25</v>
      </c>
      <c r="G1807" s="160">
        <f t="shared" si="86"/>
        <v>4</v>
      </c>
      <c r="H1807" s="160">
        <f t="shared" si="87"/>
        <v>1</v>
      </c>
      <c r="I1807" s="160">
        <f t="shared" si="88"/>
        <v>12</v>
      </c>
      <c r="J1807" s="160">
        <f t="shared" si="89"/>
        <v>2</v>
      </c>
    </row>
    <row r="1808" spans="2:10" x14ac:dyDescent="0.35">
      <c r="B1808" s="160">
        <f t="shared" si="81"/>
        <v>46</v>
      </c>
      <c r="C1808" s="160">
        <f t="shared" si="82"/>
        <v>15</v>
      </c>
      <c r="D1808" s="160">
        <f t="shared" si="83"/>
        <v>3</v>
      </c>
      <c r="E1808" s="160">
        <f t="shared" si="84"/>
        <v>15</v>
      </c>
      <c r="F1808" s="160">
        <f t="shared" si="85"/>
        <v>26</v>
      </c>
      <c r="G1808" s="160">
        <f t="shared" si="86"/>
        <v>1</v>
      </c>
      <c r="H1808" s="160">
        <f t="shared" si="87"/>
        <v>19</v>
      </c>
      <c r="I1808" s="160">
        <f t="shared" si="88"/>
        <v>12</v>
      </c>
      <c r="J1808" s="160">
        <f t="shared" si="89"/>
        <v>2</v>
      </c>
    </row>
    <row r="1809" spans="2:10" x14ac:dyDescent="0.35">
      <c r="B1809" s="160">
        <f t="shared" si="81"/>
        <v>46</v>
      </c>
      <c r="C1809" s="160">
        <f t="shared" si="82"/>
        <v>15</v>
      </c>
      <c r="D1809" s="160">
        <f t="shared" si="83"/>
        <v>3</v>
      </c>
      <c r="E1809" s="160">
        <f t="shared" si="84"/>
        <v>15</v>
      </c>
      <c r="F1809" s="160">
        <f t="shared" si="85"/>
        <v>26</v>
      </c>
      <c r="G1809" s="160">
        <f t="shared" si="86"/>
        <v>5</v>
      </c>
      <c r="H1809" s="160">
        <f t="shared" si="87"/>
        <v>10</v>
      </c>
      <c r="I1809" s="160">
        <f t="shared" si="88"/>
        <v>36</v>
      </c>
      <c r="J1809" s="160">
        <f t="shared" si="89"/>
        <v>2</v>
      </c>
    </row>
    <row r="1810" spans="2:10" x14ac:dyDescent="0.35">
      <c r="B1810" s="160">
        <f t="shared" si="81"/>
        <v>47</v>
      </c>
      <c r="C1810" s="160">
        <f t="shared" si="82"/>
        <v>47</v>
      </c>
      <c r="D1810" s="160">
        <f t="shared" si="83"/>
        <v>1</v>
      </c>
      <c r="E1810" s="160">
        <f t="shared" si="84"/>
        <v>10</v>
      </c>
      <c r="F1810" s="160">
        <f t="shared" si="85"/>
        <v>43</v>
      </c>
      <c r="G1810" s="160">
        <f t="shared" si="86"/>
        <v>1</v>
      </c>
      <c r="H1810" s="160">
        <f t="shared" si="87"/>
        <v>19</v>
      </c>
      <c r="I1810" s="160">
        <f t="shared" si="88"/>
        <v>18</v>
      </c>
      <c r="J1810" s="160">
        <f t="shared" si="89"/>
        <v>2</v>
      </c>
    </row>
    <row r="1811" spans="2:10" x14ac:dyDescent="0.35">
      <c r="B1811" s="160">
        <f t="shared" si="81"/>
        <v>47</v>
      </c>
      <c r="C1811" s="160">
        <f t="shared" si="82"/>
        <v>47</v>
      </c>
      <c r="D1811" s="160">
        <f t="shared" si="83"/>
        <v>1</v>
      </c>
      <c r="E1811" s="160">
        <f t="shared" si="84"/>
        <v>10</v>
      </c>
      <c r="F1811" s="160">
        <f t="shared" si="85"/>
        <v>43</v>
      </c>
      <c r="G1811" s="160">
        <f t="shared" si="86"/>
        <v>4</v>
      </c>
      <c r="H1811" s="160">
        <f t="shared" si="87"/>
        <v>19</v>
      </c>
      <c r="I1811" s="160">
        <f t="shared" si="88"/>
        <v>18</v>
      </c>
      <c r="J1811" s="160">
        <f t="shared" si="89"/>
        <v>2</v>
      </c>
    </row>
    <row r="1812" spans="2:10" x14ac:dyDescent="0.35">
      <c r="B1812" s="160">
        <f t="shared" si="81"/>
        <v>47</v>
      </c>
      <c r="C1812" s="160">
        <f t="shared" si="82"/>
        <v>31</v>
      </c>
      <c r="D1812" s="160">
        <f t="shared" si="83"/>
        <v>4</v>
      </c>
      <c r="E1812" s="160">
        <f t="shared" si="84"/>
        <v>10</v>
      </c>
      <c r="F1812" s="160">
        <f t="shared" si="85"/>
        <v>48</v>
      </c>
      <c r="G1812" s="160">
        <f t="shared" si="86"/>
        <v>1</v>
      </c>
      <c r="H1812" s="160">
        <f t="shared" si="87"/>
        <v>11</v>
      </c>
      <c r="I1812" s="160">
        <f t="shared" si="88"/>
        <v>45</v>
      </c>
      <c r="J1812" s="160">
        <f t="shared" si="89"/>
        <v>1</v>
      </c>
    </row>
    <row r="1813" spans="2:10" x14ac:dyDescent="0.35">
      <c r="B1813" s="160">
        <f t="shared" si="81"/>
        <v>47</v>
      </c>
      <c r="C1813" s="160">
        <f t="shared" si="82"/>
        <v>31</v>
      </c>
      <c r="D1813" s="160">
        <f t="shared" si="83"/>
        <v>4</v>
      </c>
      <c r="E1813" s="160">
        <f t="shared" si="84"/>
        <v>10</v>
      </c>
      <c r="F1813" s="160">
        <f t="shared" si="85"/>
        <v>48</v>
      </c>
      <c r="G1813" s="160">
        <f t="shared" si="86"/>
        <v>4</v>
      </c>
      <c r="H1813" s="160">
        <f t="shared" si="87"/>
        <v>2</v>
      </c>
      <c r="I1813" s="160">
        <f t="shared" si="88"/>
        <v>24</v>
      </c>
      <c r="J1813" s="160">
        <f t="shared" si="89"/>
        <v>1</v>
      </c>
    </row>
    <row r="1814" spans="2:10" x14ac:dyDescent="0.35">
      <c r="B1814" s="160">
        <f t="shared" si="81"/>
        <v>47</v>
      </c>
      <c r="C1814" s="160">
        <f t="shared" si="82"/>
        <v>31</v>
      </c>
      <c r="D1814" s="160">
        <f t="shared" si="83"/>
        <v>4</v>
      </c>
      <c r="E1814" s="160">
        <f t="shared" si="84"/>
        <v>10</v>
      </c>
      <c r="F1814" s="160">
        <f t="shared" si="85"/>
        <v>49</v>
      </c>
      <c r="G1814" s="160">
        <f t="shared" si="86"/>
        <v>2</v>
      </c>
      <c r="H1814" s="160">
        <f t="shared" si="87"/>
        <v>11</v>
      </c>
      <c r="I1814" s="160">
        <f t="shared" si="88"/>
        <v>9</v>
      </c>
      <c r="J1814" s="160">
        <f t="shared" si="89"/>
        <v>1</v>
      </c>
    </row>
    <row r="1815" spans="2:10" x14ac:dyDescent="0.35">
      <c r="B1815" s="160">
        <f t="shared" si="81"/>
        <v>47</v>
      </c>
      <c r="C1815" s="160">
        <f t="shared" si="82"/>
        <v>31</v>
      </c>
      <c r="D1815" s="160">
        <f t="shared" si="83"/>
        <v>4</v>
      </c>
      <c r="E1815" s="160">
        <f t="shared" si="84"/>
        <v>10</v>
      </c>
      <c r="F1815" s="160">
        <f t="shared" si="85"/>
        <v>49</v>
      </c>
      <c r="G1815" s="160">
        <f t="shared" si="86"/>
        <v>5</v>
      </c>
      <c r="H1815" s="160">
        <f t="shared" si="87"/>
        <v>8</v>
      </c>
      <c r="I1815" s="160">
        <f t="shared" si="88"/>
        <v>60</v>
      </c>
      <c r="J1815" s="160">
        <f t="shared" si="89"/>
        <v>1</v>
      </c>
    </row>
    <row r="1816" spans="2:10" x14ac:dyDescent="0.35">
      <c r="B1816" s="160">
        <f t="shared" si="81"/>
        <v>47</v>
      </c>
      <c r="C1816" s="160">
        <f t="shared" si="82"/>
        <v>95</v>
      </c>
      <c r="D1816" s="160">
        <f t="shared" si="83"/>
        <v>4</v>
      </c>
      <c r="E1816" s="160">
        <f t="shared" si="84"/>
        <v>10</v>
      </c>
      <c r="F1816" s="160">
        <f t="shared" si="85"/>
        <v>1</v>
      </c>
      <c r="G1816" s="160">
        <f t="shared" si="86"/>
        <v>1</v>
      </c>
      <c r="H1816" s="160">
        <f t="shared" si="87"/>
        <v>22</v>
      </c>
      <c r="I1816" s="160">
        <f t="shared" si="88"/>
        <v>36</v>
      </c>
      <c r="J1816" s="160">
        <f t="shared" si="89"/>
        <v>1</v>
      </c>
    </row>
    <row r="1817" spans="2:10" x14ac:dyDescent="0.35">
      <c r="B1817" s="160">
        <f t="shared" ref="B1817:B1880" si="90">INDEX($A$2:$A$85,MATCH(I702,$B$2:$B$85,0))</f>
        <v>47</v>
      </c>
      <c r="C1817" s="160">
        <f t="shared" ref="C1817:C1880" si="91">INDEX($D$2:$D$117,MATCH(J702,$E$2:$E$117,0))</f>
        <v>95</v>
      </c>
      <c r="D1817" s="160">
        <f t="shared" ref="D1817:D1880" si="92">INDEX($P$2:$P$5,MATCH(K702,$Q$2:$Q$5,0))</f>
        <v>4</v>
      </c>
      <c r="E1817" s="160">
        <f t="shared" ref="E1817:E1880" si="93">INDEX($G$2:$G$19,MATCH(L702,$H$2:$H$19,0))</f>
        <v>10</v>
      </c>
      <c r="F1817" s="160">
        <f t="shared" ref="F1817:F1880" si="94">INDEX($J$2:$J$55,MATCH(M702,$K$2:$K$55,0))</f>
        <v>1</v>
      </c>
      <c r="G1817" s="160">
        <f t="shared" ref="G1817:G1880" si="95">INDEX($M$2:$M$6,MATCH(N702,$N$2:$N$6,0))</f>
        <v>4</v>
      </c>
      <c r="H1817" s="160">
        <f t="shared" ref="H1817:H1880" si="96">INDEX($S$2:$S$26,MATCH(O702,$T$2:$T$26,0))</f>
        <v>11</v>
      </c>
      <c r="I1817" s="160">
        <f t="shared" ref="I1817:I1880" si="97">INDEX($V$2:$V$108,MATCH(P702,$W$2:$W$108,0))</f>
        <v>24</v>
      </c>
      <c r="J1817" s="160">
        <f t="shared" ref="J1817:J1880" si="98">INDEX($Y$2:$Y$4,MATCH(Q702,$Z$2:$Z$4,0))</f>
        <v>1</v>
      </c>
    </row>
    <row r="1818" spans="2:10" x14ac:dyDescent="0.35">
      <c r="B1818" s="160">
        <f t="shared" si="90"/>
        <v>47</v>
      </c>
      <c r="C1818" s="160">
        <f t="shared" si="91"/>
        <v>48</v>
      </c>
      <c r="D1818" s="160">
        <f t="shared" si="92"/>
        <v>4</v>
      </c>
      <c r="E1818" s="160">
        <f t="shared" si="93"/>
        <v>18</v>
      </c>
      <c r="F1818" s="160">
        <f t="shared" si="94"/>
        <v>1</v>
      </c>
      <c r="G1818" s="160">
        <f t="shared" si="95"/>
        <v>2</v>
      </c>
      <c r="H1818" s="160">
        <f t="shared" si="96"/>
        <v>11</v>
      </c>
      <c r="I1818" s="160">
        <f t="shared" si="97"/>
        <v>12</v>
      </c>
      <c r="J1818" s="160">
        <f t="shared" si="98"/>
        <v>2</v>
      </c>
    </row>
    <row r="1819" spans="2:10" x14ac:dyDescent="0.35">
      <c r="B1819" s="160">
        <f t="shared" si="90"/>
        <v>47</v>
      </c>
      <c r="C1819" s="160">
        <f t="shared" si="91"/>
        <v>48</v>
      </c>
      <c r="D1819" s="160">
        <f t="shared" si="92"/>
        <v>4</v>
      </c>
      <c r="E1819" s="160">
        <f t="shared" si="93"/>
        <v>18</v>
      </c>
      <c r="F1819" s="160">
        <f t="shared" si="94"/>
        <v>42</v>
      </c>
      <c r="G1819" s="160">
        <f t="shared" si="95"/>
        <v>5</v>
      </c>
      <c r="H1819" s="160">
        <f t="shared" si="96"/>
        <v>2</v>
      </c>
      <c r="I1819" s="160">
        <f t="shared" si="97"/>
        <v>12</v>
      </c>
      <c r="J1819" s="160">
        <f t="shared" si="98"/>
        <v>2</v>
      </c>
    </row>
    <row r="1820" spans="2:10" x14ac:dyDescent="0.35">
      <c r="B1820" s="160">
        <f t="shared" si="90"/>
        <v>48</v>
      </c>
      <c r="C1820" s="160">
        <f t="shared" si="91"/>
        <v>24</v>
      </c>
      <c r="D1820" s="160">
        <f t="shared" si="92"/>
        <v>2</v>
      </c>
      <c r="E1820" s="160">
        <f t="shared" si="93"/>
        <v>11</v>
      </c>
      <c r="F1820" s="160">
        <f t="shared" si="94"/>
        <v>50</v>
      </c>
      <c r="G1820" s="160">
        <f t="shared" si="95"/>
        <v>2</v>
      </c>
      <c r="H1820" s="160">
        <f t="shared" si="96"/>
        <v>25</v>
      </c>
      <c r="I1820" s="160">
        <f t="shared" si="97"/>
        <v>7</v>
      </c>
      <c r="J1820" s="160">
        <f t="shared" si="98"/>
        <v>2</v>
      </c>
    </row>
    <row r="1821" spans="2:10" x14ac:dyDescent="0.35">
      <c r="B1821" s="160">
        <f t="shared" si="90"/>
        <v>48</v>
      </c>
      <c r="C1821" s="160">
        <f t="shared" si="91"/>
        <v>24</v>
      </c>
      <c r="D1821" s="160">
        <f t="shared" si="92"/>
        <v>2</v>
      </c>
      <c r="E1821" s="160">
        <f t="shared" si="93"/>
        <v>11</v>
      </c>
      <c r="F1821" s="160">
        <f t="shared" si="94"/>
        <v>50</v>
      </c>
      <c r="G1821" s="160">
        <f t="shared" si="95"/>
        <v>4</v>
      </c>
      <c r="H1821" s="160">
        <f t="shared" si="96"/>
        <v>25</v>
      </c>
      <c r="I1821" s="160">
        <f t="shared" si="97"/>
        <v>7</v>
      </c>
      <c r="J1821" s="160">
        <f t="shared" si="98"/>
        <v>2</v>
      </c>
    </row>
    <row r="1822" spans="2:10" x14ac:dyDescent="0.35">
      <c r="B1822" s="160">
        <f t="shared" si="90"/>
        <v>48</v>
      </c>
      <c r="C1822" s="160">
        <f t="shared" si="91"/>
        <v>24</v>
      </c>
      <c r="D1822" s="160">
        <f t="shared" si="92"/>
        <v>2</v>
      </c>
      <c r="E1822" s="160">
        <f t="shared" si="93"/>
        <v>11</v>
      </c>
      <c r="F1822" s="160">
        <f t="shared" si="94"/>
        <v>52</v>
      </c>
      <c r="G1822" s="160">
        <f t="shared" si="95"/>
        <v>1</v>
      </c>
      <c r="H1822" s="160">
        <f t="shared" si="96"/>
        <v>25</v>
      </c>
      <c r="I1822" s="160">
        <f t="shared" si="97"/>
        <v>7</v>
      </c>
      <c r="J1822" s="160">
        <f t="shared" si="98"/>
        <v>2</v>
      </c>
    </row>
    <row r="1823" spans="2:10" x14ac:dyDescent="0.35">
      <c r="B1823" s="160">
        <f t="shared" si="90"/>
        <v>48</v>
      </c>
      <c r="C1823" s="160">
        <f t="shared" si="91"/>
        <v>24</v>
      </c>
      <c r="D1823" s="160">
        <f t="shared" si="92"/>
        <v>2</v>
      </c>
      <c r="E1823" s="160">
        <f t="shared" si="93"/>
        <v>11</v>
      </c>
      <c r="F1823" s="160">
        <f t="shared" si="94"/>
        <v>52</v>
      </c>
      <c r="G1823" s="160">
        <f t="shared" si="95"/>
        <v>4</v>
      </c>
      <c r="H1823" s="160">
        <f t="shared" si="96"/>
        <v>25</v>
      </c>
      <c r="I1823" s="160">
        <f t="shared" si="97"/>
        <v>7</v>
      </c>
      <c r="J1823" s="160">
        <f t="shared" si="98"/>
        <v>2</v>
      </c>
    </row>
    <row r="1824" spans="2:10" x14ac:dyDescent="0.35">
      <c r="B1824" s="160">
        <f t="shared" si="90"/>
        <v>48</v>
      </c>
      <c r="C1824" s="160">
        <f t="shared" si="91"/>
        <v>24</v>
      </c>
      <c r="D1824" s="160">
        <f t="shared" si="92"/>
        <v>2</v>
      </c>
      <c r="E1824" s="160">
        <f t="shared" si="93"/>
        <v>1</v>
      </c>
      <c r="F1824" s="160">
        <f t="shared" si="94"/>
        <v>48</v>
      </c>
      <c r="G1824" s="160">
        <f t="shared" si="95"/>
        <v>3</v>
      </c>
      <c r="H1824" s="160">
        <f t="shared" si="96"/>
        <v>25</v>
      </c>
      <c r="I1824" s="160">
        <f t="shared" si="97"/>
        <v>7</v>
      </c>
      <c r="J1824" s="160">
        <f t="shared" si="98"/>
        <v>2</v>
      </c>
    </row>
    <row r="1825" spans="2:10" x14ac:dyDescent="0.35">
      <c r="B1825" s="160">
        <f t="shared" si="90"/>
        <v>48</v>
      </c>
      <c r="C1825" s="160">
        <f t="shared" si="91"/>
        <v>24</v>
      </c>
      <c r="D1825" s="160">
        <f t="shared" si="92"/>
        <v>2</v>
      </c>
      <c r="E1825" s="160">
        <f t="shared" si="93"/>
        <v>1</v>
      </c>
      <c r="F1825" s="160">
        <f t="shared" si="94"/>
        <v>48</v>
      </c>
      <c r="G1825" s="160">
        <f t="shared" si="95"/>
        <v>5</v>
      </c>
      <c r="H1825" s="160">
        <f t="shared" si="96"/>
        <v>23</v>
      </c>
      <c r="I1825" s="160">
        <f t="shared" si="97"/>
        <v>7</v>
      </c>
      <c r="J1825" s="160">
        <f t="shared" si="98"/>
        <v>2</v>
      </c>
    </row>
    <row r="1826" spans="2:10" x14ac:dyDescent="0.35">
      <c r="B1826" s="160">
        <f t="shared" si="90"/>
        <v>48</v>
      </c>
      <c r="C1826" s="160">
        <f t="shared" si="91"/>
        <v>43</v>
      </c>
      <c r="D1826" s="160">
        <f t="shared" si="92"/>
        <v>1</v>
      </c>
      <c r="E1826" s="160">
        <f t="shared" si="93"/>
        <v>15</v>
      </c>
      <c r="F1826" s="160">
        <f t="shared" si="94"/>
        <v>1</v>
      </c>
      <c r="G1826" s="160">
        <f t="shared" si="95"/>
        <v>1</v>
      </c>
      <c r="H1826" s="160">
        <f t="shared" si="96"/>
        <v>19</v>
      </c>
      <c r="I1826" s="160">
        <f t="shared" si="97"/>
        <v>48</v>
      </c>
      <c r="J1826" s="160">
        <f t="shared" si="98"/>
        <v>1</v>
      </c>
    </row>
    <row r="1827" spans="2:10" x14ac:dyDescent="0.35">
      <c r="B1827" s="160">
        <f t="shared" si="90"/>
        <v>48</v>
      </c>
      <c r="C1827" s="160">
        <f t="shared" si="91"/>
        <v>43</v>
      </c>
      <c r="D1827" s="160">
        <f t="shared" si="92"/>
        <v>1</v>
      </c>
      <c r="E1827" s="160">
        <f t="shared" si="93"/>
        <v>15</v>
      </c>
      <c r="F1827" s="160">
        <f t="shared" si="94"/>
        <v>1</v>
      </c>
      <c r="G1827" s="160">
        <f t="shared" si="95"/>
        <v>4</v>
      </c>
      <c r="H1827" s="160">
        <f t="shared" si="96"/>
        <v>17</v>
      </c>
      <c r="I1827" s="160">
        <f t="shared" si="97"/>
        <v>98</v>
      </c>
      <c r="J1827" s="160">
        <f t="shared" si="98"/>
        <v>1</v>
      </c>
    </row>
    <row r="1828" spans="2:10" x14ac:dyDescent="0.35">
      <c r="B1828" s="160">
        <f t="shared" si="90"/>
        <v>48</v>
      </c>
      <c r="C1828" s="160">
        <f t="shared" si="91"/>
        <v>43</v>
      </c>
      <c r="D1828" s="160">
        <f t="shared" si="92"/>
        <v>1</v>
      </c>
      <c r="E1828" s="160">
        <f t="shared" si="93"/>
        <v>15</v>
      </c>
      <c r="F1828" s="160">
        <f t="shared" si="94"/>
        <v>2</v>
      </c>
      <c r="G1828" s="160">
        <f t="shared" si="95"/>
        <v>2</v>
      </c>
      <c r="H1828" s="160">
        <f t="shared" si="96"/>
        <v>19</v>
      </c>
      <c r="I1828" s="160">
        <f t="shared" si="97"/>
        <v>36</v>
      </c>
      <c r="J1828" s="160">
        <f t="shared" si="98"/>
        <v>2</v>
      </c>
    </row>
    <row r="1829" spans="2:10" x14ac:dyDescent="0.35">
      <c r="B1829" s="160">
        <f t="shared" si="90"/>
        <v>48</v>
      </c>
      <c r="C1829" s="160">
        <f t="shared" si="91"/>
        <v>43</v>
      </c>
      <c r="D1829" s="160">
        <f t="shared" si="92"/>
        <v>1</v>
      </c>
      <c r="E1829" s="160">
        <f t="shared" si="93"/>
        <v>15</v>
      </c>
      <c r="F1829" s="160">
        <f t="shared" si="94"/>
        <v>2</v>
      </c>
      <c r="G1829" s="160">
        <f t="shared" si="95"/>
        <v>4</v>
      </c>
      <c r="H1829" s="160">
        <f t="shared" si="96"/>
        <v>23</v>
      </c>
      <c r="I1829" s="160">
        <f t="shared" si="97"/>
        <v>51</v>
      </c>
      <c r="J1829" s="160">
        <f t="shared" si="98"/>
        <v>2</v>
      </c>
    </row>
    <row r="1830" spans="2:10" x14ac:dyDescent="0.35">
      <c r="B1830" s="160">
        <f t="shared" si="90"/>
        <v>48</v>
      </c>
      <c r="C1830" s="160">
        <f t="shared" si="91"/>
        <v>26</v>
      </c>
      <c r="D1830" s="160">
        <f t="shared" si="92"/>
        <v>4</v>
      </c>
      <c r="E1830" s="160">
        <f t="shared" si="93"/>
        <v>8</v>
      </c>
      <c r="F1830" s="160">
        <f t="shared" si="94"/>
        <v>42</v>
      </c>
      <c r="G1830" s="160">
        <f t="shared" si="95"/>
        <v>3</v>
      </c>
      <c r="H1830" s="160">
        <f t="shared" si="96"/>
        <v>20</v>
      </c>
      <c r="I1830" s="160">
        <f t="shared" si="97"/>
        <v>24</v>
      </c>
      <c r="J1830" s="160">
        <f t="shared" si="98"/>
        <v>1</v>
      </c>
    </row>
    <row r="1831" spans="2:10" x14ac:dyDescent="0.35">
      <c r="B1831" s="160">
        <f t="shared" si="90"/>
        <v>48</v>
      </c>
      <c r="C1831" s="160">
        <f t="shared" si="91"/>
        <v>26</v>
      </c>
      <c r="D1831" s="160">
        <f t="shared" si="92"/>
        <v>4</v>
      </c>
      <c r="E1831" s="160">
        <f t="shared" si="93"/>
        <v>8</v>
      </c>
      <c r="F1831" s="160">
        <f t="shared" si="94"/>
        <v>42</v>
      </c>
      <c r="G1831" s="160">
        <f t="shared" si="95"/>
        <v>5</v>
      </c>
      <c r="H1831" s="160">
        <f t="shared" si="96"/>
        <v>20</v>
      </c>
      <c r="I1831" s="160">
        <f t="shared" si="97"/>
        <v>24</v>
      </c>
      <c r="J1831" s="160">
        <f t="shared" si="98"/>
        <v>1</v>
      </c>
    </row>
    <row r="1832" spans="2:10" x14ac:dyDescent="0.35">
      <c r="B1832" s="160">
        <f t="shared" si="90"/>
        <v>48</v>
      </c>
      <c r="C1832" s="160">
        <f t="shared" si="91"/>
        <v>46</v>
      </c>
      <c r="D1832" s="160">
        <f t="shared" si="92"/>
        <v>4</v>
      </c>
      <c r="E1832" s="160">
        <f t="shared" si="93"/>
        <v>15</v>
      </c>
      <c r="F1832" s="160">
        <f t="shared" si="94"/>
        <v>18</v>
      </c>
      <c r="G1832" s="160">
        <f t="shared" si="95"/>
        <v>5</v>
      </c>
      <c r="H1832" s="160">
        <f t="shared" si="96"/>
        <v>25</v>
      </c>
      <c r="I1832" s="160">
        <f t="shared" si="97"/>
        <v>38</v>
      </c>
      <c r="J1832" s="160">
        <f t="shared" si="98"/>
        <v>3</v>
      </c>
    </row>
    <row r="1833" spans="2:10" x14ac:dyDescent="0.35">
      <c r="B1833" s="160">
        <f t="shared" si="90"/>
        <v>49</v>
      </c>
      <c r="C1833" s="160">
        <f t="shared" si="91"/>
        <v>17</v>
      </c>
      <c r="D1833" s="160">
        <f t="shared" si="92"/>
        <v>2</v>
      </c>
      <c r="E1833" s="160">
        <f t="shared" si="93"/>
        <v>4</v>
      </c>
      <c r="F1833" s="160">
        <f t="shared" si="94"/>
        <v>48</v>
      </c>
      <c r="G1833" s="160">
        <f t="shared" si="95"/>
        <v>2</v>
      </c>
      <c r="H1833" s="160">
        <f t="shared" si="96"/>
        <v>2</v>
      </c>
      <c r="I1833" s="160">
        <f t="shared" si="97"/>
        <v>52</v>
      </c>
      <c r="J1833" s="160">
        <f t="shared" si="98"/>
        <v>2</v>
      </c>
    </row>
    <row r="1834" spans="2:10" x14ac:dyDescent="0.35">
      <c r="B1834" s="160">
        <f t="shared" si="90"/>
        <v>49</v>
      </c>
      <c r="C1834" s="160">
        <f t="shared" si="91"/>
        <v>17</v>
      </c>
      <c r="D1834" s="160">
        <f t="shared" si="92"/>
        <v>2</v>
      </c>
      <c r="E1834" s="160">
        <f t="shared" si="93"/>
        <v>4</v>
      </c>
      <c r="F1834" s="160">
        <f t="shared" si="94"/>
        <v>48</v>
      </c>
      <c r="G1834" s="160">
        <f t="shared" si="95"/>
        <v>5</v>
      </c>
      <c r="H1834" s="160">
        <f t="shared" si="96"/>
        <v>2</v>
      </c>
      <c r="I1834" s="160">
        <f t="shared" si="97"/>
        <v>27</v>
      </c>
      <c r="J1834" s="160">
        <f t="shared" si="98"/>
        <v>2</v>
      </c>
    </row>
    <row r="1835" spans="2:10" x14ac:dyDescent="0.35">
      <c r="B1835" s="160">
        <f t="shared" si="90"/>
        <v>49</v>
      </c>
      <c r="C1835" s="160">
        <f t="shared" si="91"/>
        <v>17</v>
      </c>
      <c r="D1835" s="160">
        <f t="shared" si="92"/>
        <v>2</v>
      </c>
      <c r="E1835" s="160">
        <f t="shared" si="93"/>
        <v>15</v>
      </c>
      <c r="F1835" s="160">
        <f t="shared" si="94"/>
        <v>48</v>
      </c>
      <c r="G1835" s="160">
        <f t="shared" si="95"/>
        <v>1</v>
      </c>
      <c r="H1835" s="160">
        <f t="shared" si="96"/>
        <v>20</v>
      </c>
      <c r="I1835" s="160">
        <f t="shared" si="97"/>
        <v>28</v>
      </c>
      <c r="J1835" s="160">
        <f t="shared" si="98"/>
        <v>2</v>
      </c>
    </row>
    <row r="1836" spans="2:10" x14ac:dyDescent="0.35">
      <c r="B1836" s="160">
        <f t="shared" si="90"/>
        <v>49</v>
      </c>
      <c r="C1836" s="160">
        <f t="shared" si="91"/>
        <v>17</v>
      </c>
      <c r="D1836" s="160">
        <f t="shared" si="92"/>
        <v>2</v>
      </c>
      <c r="E1836" s="160">
        <f t="shared" si="93"/>
        <v>15</v>
      </c>
      <c r="F1836" s="160">
        <f t="shared" si="94"/>
        <v>48</v>
      </c>
      <c r="G1836" s="160">
        <f t="shared" si="95"/>
        <v>4</v>
      </c>
      <c r="H1836" s="160">
        <f t="shared" si="96"/>
        <v>2</v>
      </c>
      <c r="I1836" s="160">
        <f t="shared" si="97"/>
        <v>62</v>
      </c>
      <c r="J1836" s="160">
        <f t="shared" si="98"/>
        <v>2</v>
      </c>
    </row>
    <row r="1837" spans="2:10" x14ac:dyDescent="0.35">
      <c r="B1837" s="160">
        <f t="shared" si="90"/>
        <v>49</v>
      </c>
      <c r="C1837" s="160">
        <f t="shared" si="91"/>
        <v>17</v>
      </c>
      <c r="D1837" s="160">
        <f t="shared" si="92"/>
        <v>2</v>
      </c>
      <c r="E1837" s="160">
        <f t="shared" si="93"/>
        <v>15</v>
      </c>
      <c r="F1837" s="160">
        <f t="shared" si="94"/>
        <v>49</v>
      </c>
      <c r="G1837" s="160">
        <f t="shared" si="95"/>
        <v>2</v>
      </c>
      <c r="H1837" s="160">
        <f t="shared" si="96"/>
        <v>11</v>
      </c>
      <c r="I1837" s="160">
        <f t="shared" si="97"/>
        <v>35</v>
      </c>
      <c r="J1837" s="160">
        <f t="shared" si="98"/>
        <v>2</v>
      </c>
    </row>
    <row r="1838" spans="2:10" x14ac:dyDescent="0.35">
      <c r="B1838" s="160">
        <f t="shared" si="90"/>
        <v>49</v>
      </c>
      <c r="C1838" s="160">
        <f t="shared" si="91"/>
        <v>17</v>
      </c>
      <c r="D1838" s="160">
        <f t="shared" si="92"/>
        <v>2</v>
      </c>
      <c r="E1838" s="160">
        <f t="shared" si="93"/>
        <v>15</v>
      </c>
      <c r="F1838" s="160">
        <f t="shared" si="94"/>
        <v>49</v>
      </c>
      <c r="G1838" s="160">
        <f t="shared" si="95"/>
        <v>4</v>
      </c>
      <c r="H1838" s="160">
        <f t="shared" si="96"/>
        <v>11</v>
      </c>
      <c r="I1838" s="160">
        <f t="shared" si="97"/>
        <v>31</v>
      </c>
      <c r="J1838" s="160">
        <f t="shared" si="98"/>
        <v>2</v>
      </c>
    </row>
    <row r="1839" spans="2:10" x14ac:dyDescent="0.35">
      <c r="B1839" s="160">
        <f t="shared" si="90"/>
        <v>49</v>
      </c>
      <c r="C1839" s="160">
        <f t="shared" si="91"/>
        <v>17</v>
      </c>
      <c r="D1839" s="160">
        <f t="shared" si="92"/>
        <v>2</v>
      </c>
      <c r="E1839" s="160">
        <f t="shared" si="93"/>
        <v>15</v>
      </c>
      <c r="F1839" s="160">
        <f t="shared" si="94"/>
        <v>50</v>
      </c>
      <c r="G1839" s="160">
        <f t="shared" si="95"/>
        <v>2</v>
      </c>
      <c r="H1839" s="160">
        <f t="shared" si="96"/>
        <v>20</v>
      </c>
      <c r="I1839" s="160">
        <f t="shared" si="97"/>
        <v>8</v>
      </c>
      <c r="J1839" s="160">
        <f t="shared" si="98"/>
        <v>2</v>
      </c>
    </row>
    <row r="1840" spans="2:10" x14ac:dyDescent="0.35">
      <c r="B1840" s="160">
        <f t="shared" si="90"/>
        <v>49</v>
      </c>
      <c r="C1840" s="160">
        <f t="shared" si="91"/>
        <v>17</v>
      </c>
      <c r="D1840" s="160">
        <f t="shared" si="92"/>
        <v>2</v>
      </c>
      <c r="E1840" s="160">
        <f t="shared" si="93"/>
        <v>15</v>
      </c>
      <c r="F1840" s="160">
        <f t="shared" si="94"/>
        <v>50</v>
      </c>
      <c r="G1840" s="160">
        <f t="shared" si="95"/>
        <v>5</v>
      </c>
      <c r="H1840" s="160">
        <f t="shared" si="96"/>
        <v>20</v>
      </c>
      <c r="I1840" s="160">
        <f t="shared" si="97"/>
        <v>52</v>
      </c>
      <c r="J1840" s="160">
        <f t="shared" si="98"/>
        <v>2</v>
      </c>
    </row>
    <row r="1841" spans="2:10" x14ac:dyDescent="0.35">
      <c r="B1841" s="160">
        <f t="shared" si="90"/>
        <v>49</v>
      </c>
      <c r="C1841" s="160">
        <f t="shared" si="91"/>
        <v>48</v>
      </c>
      <c r="D1841" s="160">
        <f t="shared" si="92"/>
        <v>4</v>
      </c>
      <c r="E1841" s="160">
        <f t="shared" si="93"/>
        <v>15</v>
      </c>
      <c r="F1841" s="160">
        <f t="shared" si="94"/>
        <v>29</v>
      </c>
      <c r="G1841" s="160">
        <f t="shared" si="95"/>
        <v>1</v>
      </c>
      <c r="H1841" s="160">
        <f t="shared" si="96"/>
        <v>11</v>
      </c>
      <c r="I1841" s="160">
        <f t="shared" si="97"/>
        <v>21</v>
      </c>
      <c r="J1841" s="160">
        <f t="shared" si="98"/>
        <v>2</v>
      </c>
    </row>
    <row r="1842" spans="2:10" x14ac:dyDescent="0.35">
      <c r="B1842" s="160">
        <f t="shared" si="90"/>
        <v>49</v>
      </c>
      <c r="C1842" s="160">
        <f t="shared" si="91"/>
        <v>48</v>
      </c>
      <c r="D1842" s="160">
        <f t="shared" si="92"/>
        <v>4</v>
      </c>
      <c r="E1842" s="160">
        <f t="shared" si="93"/>
        <v>15</v>
      </c>
      <c r="F1842" s="160">
        <f t="shared" si="94"/>
        <v>29</v>
      </c>
      <c r="G1842" s="160">
        <f t="shared" si="95"/>
        <v>4</v>
      </c>
      <c r="H1842" s="160">
        <f t="shared" si="96"/>
        <v>20</v>
      </c>
      <c r="I1842" s="160">
        <f t="shared" si="97"/>
        <v>9</v>
      </c>
      <c r="J1842" s="160">
        <f t="shared" si="98"/>
        <v>2</v>
      </c>
    </row>
    <row r="1843" spans="2:10" x14ac:dyDescent="0.35">
      <c r="B1843" s="160">
        <f t="shared" si="90"/>
        <v>49</v>
      </c>
      <c r="C1843" s="160">
        <f t="shared" si="91"/>
        <v>74</v>
      </c>
      <c r="D1843" s="160">
        <f t="shared" si="92"/>
        <v>3</v>
      </c>
      <c r="E1843" s="160">
        <f t="shared" si="93"/>
        <v>4</v>
      </c>
      <c r="F1843" s="160">
        <f t="shared" si="94"/>
        <v>1</v>
      </c>
      <c r="G1843" s="160">
        <f t="shared" si="95"/>
        <v>1</v>
      </c>
      <c r="H1843" s="160">
        <f t="shared" si="96"/>
        <v>19</v>
      </c>
      <c r="I1843" s="160">
        <f t="shared" si="97"/>
        <v>51</v>
      </c>
      <c r="J1843" s="160">
        <f t="shared" si="98"/>
        <v>1</v>
      </c>
    </row>
    <row r="1844" spans="2:10" x14ac:dyDescent="0.35">
      <c r="B1844" s="160">
        <f t="shared" si="90"/>
        <v>49</v>
      </c>
      <c r="C1844" s="160">
        <f t="shared" si="91"/>
        <v>74</v>
      </c>
      <c r="D1844" s="160">
        <f t="shared" si="92"/>
        <v>3</v>
      </c>
      <c r="E1844" s="160">
        <f t="shared" si="93"/>
        <v>4</v>
      </c>
      <c r="F1844" s="160">
        <f t="shared" si="94"/>
        <v>1</v>
      </c>
      <c r="G1844" s="160">
        <f t="shared" si="95"/>
        <v>4</v>
      </c>
      <c r="H1844" s="160">
        <f t="shared" si="96"/>
        <v>10</v>
      </c>
      <c r="I1844" s="160">
        <f t="shared" si="97"/>
        <v>52</v>
      </c>
      <c r="J1844" s="160">
        <f t="shared" si="98"/>
        <v>1</v>
      </c>
    </row>
    <row r="1845" spans="2:10" x14ac:dyDescent="0.35">
      <c r="B1845" s="160">
        <f t="shared" si="90"/>
        <v>49</v>
      </c>
      <c r="C1845" s="160">
        <f t="shared" si="91"/>
        <v>24</v>
      </c>
      <c r="D1845" s="160">
        <f t="shared" si="92"/>
        <v>2</v>
      </c>
      <c r="E1845" s="160">
        <f t="shared" si="93"/>
        <v>6</v>
      </c>
      <c r="F1845" s="160">
        <f t="shared" si="94"/>
        <v>48</v>
      </c>
      <c r="G1845" s="160">
        <f t="shared" si="95"/>
        <v>3</v>
      </c>
      <c r="H1845" s="160">
        <f t="shared" si="96"/>
        <v>23</v>
      </c>
      <c r="I1845" s="160">
        <f t="shared" si="97"/>
        <v>7</v>
      </c>
      <c r="J1845" s="160">
        <f t="shared" si="98"/>
        <v>1</v>
      </c>
    </row>
    <row r="1846" spans="2:10" x14ac:dyDescent="0.35">
      <c r="B1846" s="160">
        <f t="shared" si="90"/>
        <v>49</v>
      </c>
      <c r="C1846" s="160">
        <f t="shared" si="91"/>
        <v>24</v>
      </c>
      <c r="D1846" s="160">
        <f t="shared" si="92"/>
        <v>2</v>
      </c>
      <c r="E1846" s="160">
        <f t="shared" si="93"/>
        <v>6</v>
      </c>
      <c r="F1846" s="160">
        <f t="shared" si="94"/>
        <v>48</v>
      </c>
      <c r="G1846" s="160">
        <f t="shared" si="95"/>
        <v>5</v>
      </c>
      <c r="H1846" s="160">
        <f t="shared" si="96"/>
        <v>25</v>
      </c>
      <c r="I1846" s="160">
        <f t="shared" si="97"/>
        <v>7</v>
      </c>
      <c r="J1846" s="160">
        <f t="shared" si="98"/>
        <v>1</v>
      </c>
    </row>
    <row r="1847" spans="2:10" x14ac:dyDescent="0.35">
      <c r="B1847" s="160">
        <f t="shared" si="90"/>
        <v>49</v>
      </c>
      <c r="C1847" s="160">
        <f t="shared" si="91"/>
        <v>22</v>
      </c>
      <c r="D1847" s="160">
        <f t="shared" si="92"/>
        <v>4</v>
      </c>
      <c r="E1847" s="160">
        <f t="shared" si="93"/>
        <v>15</v>
      </c>
      <c r="F1847" s="160">
        <f t="shared" si="94"/>
        <v>7</v>
      </c>
      <c r="G1847" s="160">
        <f t="shared" si="95"/>
        <v>1</v>
      </c>
      <c r="H1847" s="160">
        <f t="shared" si="96"/>
        <v>24</v>
      </c>
      <c r="I1847" s="160">
        <f t="shared" si="97"/>
        <v>49</v>
      </c>
      <c r="J1847" s="160">
        <f t="shared" si="98"/>
        <v>3</v>
      </c>
    </row>
    <row r="1848" spans="2:10" x14ac:dyDescent="0.35">
      <c r="B1848" s="160">
        <f t="shared" si="90"/>
        <v>50</v>
      </c>
      <c r="C1848" s="160">
        <f t="shared" si="91"/>
        <v>96</v>
      </c>
      <c r="D1848" s="160">
        <f t="shared" si="92"/>
        <v>4</v>
      </c>
      <c r="E1848" s="160">
        <f t="shared" si="93"/>
        <v>15</v>
      </c>
      <c r="F1848" s="160">
        <f t="shared" si="94"/>
        <v>42</v>
      </c>
      <c r="G1848" s="160">
        <f t="shared" si="95"/>
        <v>1</v>
      </c>
      <c r="H1848" s="160">
        <f t="shared" si="96"/>
        <v>2</v>
      </c>
      <c r="I1848" s="160">
        <f t="shared" si="97"/>
        <v>47</v>
      </c>
      <c r="J1848" s="160">
        <f t="shared" si="98"/>
        <v>2</v>
      </c>
    </row>
    <row r="1849" spans="2:10" x14ac:dyDescent="0.35">
      <c r="B1849" s="160">
        <f t="shared" si="90"/>
        <v>50</v>
      </c>
      <c r="C1849" s="160">
        <f t="shared" si="91"/>
        <v>96</v>
      </c>
      <c r="D1849" s="160">
        <f t="shared" si="92"/>
        <v>4</v>
      </c>
      <c r="E1849" s="160">
        <f t="shared" si="93"/>
        <v>15</v>
      </c>
      <c r="F1849" s="160">
        <f t="shared" si="94"/>
        <v>42</v>
      </c>
      <c r="G1849" s="160">
        <f t="shared" si="95"/>
        <v>4</v>
      </c>
      <c r="H1849" s="160">
        <f t="shared" si="96"/>
        <v>20</v>
      </c>
      <c r="I1849" s="160">
        <f t="shared" si="97"/>
        <v>31</v>
      </c>
      <c r="J1849" s="160">
        <f t="shared" si="98"/>
        <v>2</v>
      </c>
    </row>
    <row r="1850" spans="2:10" x14ac:dyDescent="0.35">
      <c r="B1850" s="160">
        <f t="shared" si="90"/>
        <v>50</v>
      </c>
      <c r="C1850" s="160">
        <f t="shared" si="91"/>
        <v>96</v>
      </c>
      <c r="D1850" s="160">
        <f t="shared" si="92"/>
        <v>4</v>
      </c>
      <c r="E1850" s="160">
        <f t="shared" si="93"/>
        <v>15</v>
      </c>
      <c r="F1850" s="160">
        <f t="shared" si="94"/>
        <v>43</v>
      </c>
      <c r="G1850" s="160">
        <f t="shared" si="95"/>
        <v>1</v>
      </c>
      <c r="H1850" s="160">
        <f t="shared" si="96"/>
        <v>20</v>
      </c>
      <c r="I1850" s="160">
        <f t="shared" si="97"/>
        <v>34</v>
      </c>
      <c r="J1850" s="160">
        <f t="shared" si="98"/>
        <v>2</v>
      </c>
    </row>
    <row r="1851" spans="2:10" x14ac:dyDescent="0.35">
      <c r="B1851" s="160">
        <f t="shared" si="90"/>
        <v>50</v>
      </c>
      <c r="C1851" s="160">
        <f t="shared" si="91"/>
        <v>96</v>
      </c>
      <c r="D1851" s="160">
        <f t="shared" si="92"/>
        <v>4</v>
      </c>
      <c r="E1851" s="160">
        <f t="shared" si="93"/>
        <v>15</v>
      </c>
      <c r="F1851" s="160">
        <f t="shared" si="94"/>
        <v>43</v>
      </c>
      <c r="G1851" s="160">
        <f t="shared" si="95"/>
        <v>5</v>
      </c>
      <c r="H1851" s="160">
        <f t="shared" si="96"/>
        <v>2</v>
      </c>
      <c r="I1851" s="160">
        <f t="shared" si="97"/>
        <v>31</v>
      </c>
      <c r="J1851" s="160">
        <f t="shared" si="98"/>
        <v>2</v>
      </c>
    </row>
    <row r="1852" spans="2:10" x14ac:dyDescent="0.35">
      <c r="B1852" s="160">
        <f t="shared" si="90"/>
        <v>50</v>
      </c>
      <c r="C1852" s="160">
        <f t="shared" si="91"/>
        <v>10</v>
      </c>
      <c r="D1852" s="160">
        <f t="shared" si="92"/>
        <v>2</v>
      </c>
      <c r="E1852" s="160">
        <f t="shared" si="93"/>
        <v>16</v>
      </c>
      <c r="F1852" s="160">
        <f t="shared" si="94"/>
        <v>48</v>
      </c>
      <c r="G1852" s="160">
        <f t="shared" si="95"/>
        <v>1</v>
      </c>
      <c r="H1852" s="160">
        <f t="shared" si="96"/>
        <v>11</v>
      </c>
      <c r="I1852" s="160">
        <f t="shared" si="97"/>
        <v>37</v>
      </c>
      <c r="J1852" s="160">
        <f t="shared" si="98"/>
        <v>2</v>
      </c>
    </row>
    <row r="1853" spans="2:10" x14ac:dyDescent="0.35">
      <c r="B1853" s="160">
        <f t="shared" si="90"/>
        <v>50</v>
      </c>
      <c r="C1853" s="160">
        <f t="shared" si="91"/>
        <v>10</v>
      </c>
      <c r="D1853" s="160">
        <f t="shared" si="92"/>
        <v>2</v>
      </c>
      <c r="E1853" s="160">
        <f t="shared" si="93"/>
        <v>16</v>
      </c>
      <c r="F1853" s="160">
        <f t="shared" si="94"/>
        <v>48</v>
      </c>
      <c r="G1853" s="160">
        <f t="shared" si="95"/>
        <v>2</v>
      </c>
      <c r="H1853" s="160">
        <f t="shared" si="96"/>
        <v>11</v>
      </c>
      <c r="I1853" s="160">
        <f t="shared" si="97"/>
        <v>37</v>
      </c>
      <c r="J1853" s="160">
        <f t="shared" si="98"/>
        <v>2</v>
      </c>
    </row>
    <row r="1854" spans="2:10" x14ac:dyDescent="0.35">
      <c r="B1854" s="160">
        <f t="shared" si="90"/>
        <v>50</v>
      </c>
      <c r="C1854" s="160">
        <f t="shared" si="91"/>
        <v>67</v>
      </c>
      <c r="D1854" s="160">
        <f t="shared" si="92"/>
        <v>2</v>
      </c>
      <c r="E1854" s="160">
        <f t="shared" si="93"/>
        <v>17</v>
      </c>
      <c r="F1854" s="160">
        <f t="shared" si="94"/>
        <v>42</v>
      </c>
      <c r="G1854" s="160">
        <f t="shared" si="95"/>
        <v>1</v>
      </c>
      <c r="H1854" s="160">
        <f t="shared" si="96"/>
        <v>15</v>
      </c>
      <c r="I1854" s="160">
        <f t="shared" si="97"/>
        <v>22</v>
      </c>
      <c r="J1854" s="160">
        <f t="shared" si="98"/>
        <v>1</v>
      </c>
    </row>
    <row r="1855" spans="2:10" x14ac:dyDescent="0.35">
      <c r="B1855" s="160">
        <f t="shared" si="90"/>
        <v>50</v>
      </c>
      <c r="C1855" s="160">
        <f t="shared" si="91"/>
        <v>67</v>
      </c>
      <c r="D1855" s="160">
        <f t="shared" si="92"/>
        <v>2</v>
      </c>
      <c r="E1855" s="160">
        <f t="shared" si="93"/>
        <v>17</v>
      </c>
      <c r="F1855" s="160">
        <f t="shared" si="94"/>
        <v>42</v>
      </c>
      <c r="G1855" s="160">
        <f t="shared" si="95"/>
        <v>4</v>
      </c>
      <c r="H1855" s="160">
        <f t="shared" si="96"/>
        <v>15</v>
      </c>
      <c r="I1855" s="160">
        <f t="shared" si="97"/>
        <v>22</v>
      </c>
      <c r="J1855" s="160">
        <f t="shared" si="98"/>
        <v>1</v>
      </c>
    </row>
    <row r="1856" spans="2:10" x14ac:dyDescent="0.35">
      <c r="B1856" s="160">
        <f t="shared" si="90"/>
        <v>50</v>
      </c>
      <c r="C1856" s="160">
        <f t="shared" si="91"/>
        <v>29</v>
      </c>
      <c r="D1856" s="160">
        <f t="shared" si="92"/>
        <v>2</v>
      </c>
      <c r="E1856" s="160">
        <f t="shared" si="93"/>
        <v>17</v>
      </c>
      <c r="F1856" s="160">
        <f t="shared" si="94"/>
        <v>43</v>
      </c>
      <c r="G1856" s="160">
        <f t="shared" si="95"/>
        <v>2</v>
      </c>
      <c r="H1856" s="160">
        <f t="shared" si="96"/>
        <v>2</v>
      </c>
      <c r="I1856" s="160">
        <f t="shared" si="97"/>
        <v>34</v>
      </c>
      <c r="J1856" s="160">
        <f t="shared" si="98"/>
        <v>2</v>
      </c>
    </row>
    <row r="1857" spans="2:10" x14ac:dyDescent="0.35">
      <c r="B1857" s="160">
        <f t="shared" si="90"/>
        <v>50</v>
      </c>
      <c r="C1857" s="160">
        <f t="shared" si="91"/>
        <v>29</v>
      </c>
      <c r="D1857" s="160">
        <f t="shared" si="92"/>
        <v>2</v>
      </c>
      <c r="E1857" s="160">
        <f t="shared" si="93"/>
        <v>17</v>
      </c>
      <c r="F1857" s="160">
        <f t="shared" si="94"/>
        <v>43</v>
      </c>
      <c r="G1857" s="160">
        <f t="shared" si="95"/>
        <v>4</v>
      </c>
      <c r="H1857" s="160">
        <f t="shared" si="96"/>
        <v>2</v>
      </c>
      <c r="I1857" s="160">
        <f t="shared" si="97"/>
        <v>34</v>
      </c>
      <c r="J1857" s="160">
        <f t="shared" si="98"/>
        <v>2</v>
      </c>
    </row>
    <row r="1858" spans="2:10" x14ac:dyDescent="0.35">
      <c r="B1858" s="160">
        <f t="shared" si="90"/>
        <v>50</v>
      </c>
      <c r="C1858" s="160">
        <f t="shared" si="91"/>
        <v>46</v>
      </c>
      <c r="D1858" s="160">
        <f t="shared" si="92"/>
        <v>4</v>
      </c>
      <c r="E1858" s="160">
        <f t="shared" si="93"/>
        <v>15</v>
      </c>
      <c r="F1858" s="160">
        <f t="shared" si="94"/>
        <v>19</v>
      </c>
      <c r="G1858" s="160">
        <f t="shared" si="95"/>
        <v>5</v>
      </c>
      <c r="H1858" s="160">
        <f t="shared" si="96"/>
        <v>25</v>
      </c>
      <c r="I1858" s="160">
        <f t="shared" si="97"/>
        <v>46</v>
      </c>
      <c r="J1858" s="160">
        <f t="shared" si="98"/>
        <v>3</v>
      </c>
    </row>
    <row r="1859" spans="2:10" x14ac:dyDescent="0.35">
      <c r="B1859" s="160">
        <f t="shared" si="90"/>
        <v>51</v>
      </c>
      <c r="C1859" s="160">
        <f t="shared" si="91"/>
        <v>18</v>
      </c>
      <c r="D1859" s="160">
        <f t="shared" si="92"/>
        <v>4</v>
      </c>
      <c r="E1859" s="160">
        <f t="shared" si="93"/>
        <v>10</v>
      </c>
      <c r="F1859" s="160">
        <f t="shared" si="94"/>
        <v>42</v>
      </c>
      <c r="G1859" s="160">
        <f t="shared" si="95"/>
        <v>1</v>
      </c>
      <c r="H1859" s="160">
        <f t="shared" si="96"/>
        <v>20</v>
      </c>
      <c r="I1859" s="160">
        <f t="shared" si="97"/>
        <v>8</v>
      </c>
      <c r="J1859" s="160">
        <f t="shared" si="98"/>
        <v>2</v>
      </c>
    </row>
    <row r="1860" spans="2:10" x14ac:dyDescent="0.35">
      <c r="B1860" s="160">
        <f t="shared" si="90"/>
        <v>51</v>
      </c>
      <c r="C1860" s="160">
        <f t="shared" si="91"/>
        <v>18</v>
      </c>
      <c r="D1860" s="160">
        <f t="shared" si="92"/>
        <v>4</v>
      </c>
      <c r="E1860" s="160">
        <f t="shared" si="93"/>
        <v>10</v>
      </c>
      <c r="F1860" s="160">
        <f t="shared" si="94"/>
        <v>42</v>
      </c>
      <c r="G1860" s="160">
        <f t="shared" si="95"/>
        <v>5</v>
      </c>
      <c r="H1860" s="160">
        <f t="shared" si="96"/>
        <v>2</v>
      </c>
      <c r="I1860" s="160">
        <f t="shared" si="97"/>
        <v>6</v>
      </c>
      <c r="J1860" s="160">
        <f t="shared" si="98"/>
        <v>2</v>
      </c>
    </row>
    <row r="1861" spans="2:10" x14ac:dyDescent="0.35">
      <c r="B1861" s="160">
        <f t="shared" si="90"/>
        <v>51</v>
      </c>
      <c r="C1861" s="160">
        <f t="shared" si="91"/>
        <v>96</v>
      </c>
      <c r="D1861" s="160">
        <f t="shared" si="92"/>
        <v>4</v>
      </c>
      <c r="E1861" s="160">
        <f t="shared" si="93"/>
        <v>15</v>
      </c>
      <c r="F1861" s="160">
        <f t="shared" si="94"/>
        <v>44</v>
      </c>
      <c r="G1861" s="160">
        <f t="shared" si="95"/>
        <v>1</v>
      </c>
      <c r="H1861" s="160">
        <f t="shared" si="96"/>
        <v>11</v>
      </c>
      <c r="I1861" s="160">
        <f t="shared" si="97"/>
        <v>36</v>
      </c>
      <c r="J1861" s="160">
        <f t="shared" si="98"/>
        <v>2</v>
      </c>
    </row>
    <row r="1862" spans="2:10" x14ac:dyDescent="0.35">
      <c r="B1862" s="160">
        <f t="shared" si="90"/>
        <v>51</v>
      </c>
      <c r="C1862" s="160">
        <f t="shared" si="91"/>
        <v>96</v>
      </c>
      <c r="D1862" s="160">
        <f t="shared" si="92"/>
        <v>4</v>
      </c>
      <c r="E1862" s="160">
        <f t="shared" si="93"/>
        <v>15</v>
      </c>
      <c r="F1862" s="160">
        <f t="shared" si="94"/>
        <v>44</v>
      </c>
      <c r="G1862" s="160">
        <f t="shared" si="95"/>
        <v>5</v>
      </c>
      <c r="H1862" s="160">
        <f t="shared" si="96"/>
        <v>24</v>
      </c>
      <c r="I1862" s="160">
        <f t="shared" si="97"/>
        <v>5</v>
      </c>
      <c r="J1862" s="160">
        <f t="shared" si="98"/>
        <v>2</v>
      </c>
    </row>
    <row r="1863" spans="2:10" x14ac:dyDescent="0.35">
      <c r="B1863" s="160">
        <f t="shared" si="90"/>
        <v>51</v>
      </c>
      <c r="C1863" s="160">
        <f t="shared" si="91"/>
        <v>96</v>
      </c>
      <c r="D1863" s="160">
        <f t="shared" si="92"/>
        <v>4</v>
      </c>
      <c r="E1863" s="160">
        <f t="shared" si="93"/>
        <v>15</v>
      </c>
      <c r="F1863" s="160">
        <f t="shared" si="94"/>
        <v>45</v>
      </c>
      <c r="G1863" s="160">
        <f t="shared" si="95"/>
        <v>1</v>
      </c>
      <c r="H1863" s="160">
        <f t="shared" si="96"/>
        <v>2</v>
      </c>
      <c r="I1863" s="160">
        <f t="shared" si="97"/>
        <v>22</v>
      </c>
      <c r="J1863" s="160">
        <f t="shared" si="98"/>
        <v>2</v>
      </c>
    </row>
    <row r="1864" spans="2:10" x14ac:dyDescent="0.35">
      <c r="B1864" s="160">
        <f t="shared" si="90"/>
        <v>51</v>
      </c>
      <c r="C1864" s="160">
        <f t="shared" si="91"/>
        <v>96</v>
      </c>
      <c r="D1864" s="160">
        <f t="shared" si="92"/>
        <v>4</v>
      </c>
      <c r="E1864" s="160">
        <f t="shared" si="93"/>
        <v>15</v>
      </c>
      <c r="F1864" s="160">
        <f t="shared" si="94"/>
        <v>45</v>
      </c>
      <c r="G1864" s="160">
        <f t="shared" si="95"/>
        <v>4</v>
      </c>
      <c r="H1864" s="160">
        <f t="shared" si="96"/>
        <v>11</v>
      </c>
      <c r="I1864" s="160">
        <f t="shared" si="97"/>
        <v>99</v>
      </c>
      <c r="J1864" s="160">
        <f t="shared" si="98"/>
        <v>2</v>
      </c>
    </row>
    <row r="1865" spans="2:10" x14ac:dyDescent="0.35">
      <c r="B1865" s="160">
        <f t="shared" si="90"/>
        <v>51</v>
      </c>
      <c r="C1865" s="160">
        <f t="shared" si="91"/>
        <v>96</v>
      </c>
      <c r="D1865" s="160">
        <f t="shared" si="92"/>
        <v>4</v>
      </c>
      <c r="E1865" s="160">
        <f t="shared" si="93"/>
        <v>15</v>
      </c>
      <c r="F1865" s="160">
        <f t="shared" si="94"/>
        <v>46</v>
      </c>
      <c r="G1865" s="160">
        <f t="shared" si="95"/>
        <v>1</v>
      </c>
      <c r="H1865" s="160">
        <f t="shared" si="96"/>
        <v>2</v>
      </c>
      <c r="I1865" s="160">
        <f t="shared" si="97"/>
        <v>48</v>
      </c>
      <c r="J1865" s="160">
        <f t="shared" si="98"/>
        <v>1</v>
      </c>
    </row>
    <row r="1866" spans="2:10" x14ac:dyDescent="0.35">
      <c r="B1866" s="160">
        <f t="shared" si="90"/>
        <v>51</v>
      </c>
      <c r="C1866" s="160">
        <f t="shared" si="91"/>
        <v>96</v>
      </c>
      <c r="D1866" s="160">
        <f t="shared" si="92"/>
        <v>4</v>
      </c>
      <c r="E1866" s="160">
        <f t="shared" si="93"/>
        <v>15</v>
      </c>
      <c r="F1866" s="160">
        <f t="shared" si="94"/>
        <v>46</v>
      </c>
      <c r="G1866" s="160">
        <f t="shared" si="95"/>
        <v>5</v>
      </c>
      <c r="H1866" s="160">
        <f t="shared" si="96"/>
        <v>20</v>
      </c>
      <c r="I1866" s="160">
        <f t="shared" si="97"/>
        <v>9</v>
      </c>
      <c r="J1866" s="160">
        <f t="shared" si="98"/>
        <v>1</v>
      </c>
    </row>
    <row r="1867" spans="2:10" x14ac:dyDescent="0.35">
      <c r="B1867" s="160">
        <f t="shared" si="90"/>
        <v>51</v>
      </c>
      <c r="C1867" s="160">
        <f t="shared" si="91"/>
        <v>44</v>
      </c>
      <c r="D1867" s="160">
        <f t="shared" si="92"/>
        <v>4</v>
      </c>
      <c r="E1867" s="160">
        <f t="shared" si="93"/>
        <v>15</v>
      </c>
      <c r="F1867" s="160">
        <f t="shared" si="94"/>
        <v>29</v>
      </c>
      <c r="G1867" s="160">
        <f t="shared" si="95"/>
        <v>1</v>
      </c>
      <c r="H1867" s="160">
        <f t="shared" si="96"/>
        <v>11</v>
      </c>
      <c r="I1867" s="160">
        <f t="shared" si="97"/>
        <v>35</v>
      </c>
      <c r="J1867" s="160">
        <f t="shared" si="98"/>
        <v>1</v>
      </c>
    </row>
    <row r="1868" spans="2:10" x14ac:dyDescent="0.35">
      <c r="B1868" s="160">
        <f t="shared" si="90"/>
        <v>51</v>
      </c>
      <c r="C1868" s="160">
        <f t="shared" si="91"/>
        <v>44</v>
      </c>
      <c r="D1868" s="160">
        <f t="shared" si="92"/>
        <v>4</v>
      </c>
      <c r="E1868" s="160">
        <f t="shared" si="93"/>
        <v>15</v>
      </c>
      <c r="F1868" s="160">
        <f t="shared" si="94"/>
        <v>29</v>
      </c>
      <c r="G1868" s="160">
        <f t="shared" si="95"/>
        <v>4</v>
      </c>
      <c r="H1868" s="160">
        <f t="shared" si="96"/>
        <v>2</v>
      </c>
      <c r="I1868" s="160">
        <f t="shared" si="97"/>
        <v>52</v>
      </c>
      <c r="J1868" s="160">
        <f t="shared" si="98"/>
        <v>1</v>
      </c>
    </row>
    <row r="1869" spans="2:10" x14ac:dyDescent="0.35">
      <c r="B1869" s="160">
        <f t="shared" si="90"/>
        <v>52</v>
      </c>
      <c r="C1869" s="160">
        <f t="shared" si="91"/>
        <v>97</v>
      </c>
      <c r="D1869" s="160">
        <f t="shared" si="92"/>
        <v>4</v>
      </c>
      <c r="E1869" s="160">
        <f t="shared" si="93"/>
        <v>10</v>
      </c>
      <c r="F1869" s="160">
        <f t="shared" si="94"/>
        <v>25</v>
      </c>
      <c r="G1869" s="160">
        <f t="shared" si="95"/>
        <v>3</v>
      </c>
      <c r="H1869" s="160">
        <f t="shared" si="96"/>
        <v>20</v>
      </c>
      <c r="I1869" s="160">
        <f t="shared" si="97"/>
        <v>6</v>
      </c>
      <c r="J1869" s="160">
        <f t="shared" si="98"/>
        <v>2</v>
      </c>
    </row>
    <row r="1870" spans="2:10" x14ac:dyDescent="0.35">
      <c r="B1870" s="160">
        <f t="shared" si="90"/>
        <v>52</v>
      </c>
      <c r="C1870" s="160">
        <f t="shared" si="91"/>
        <v>97</v>
      </c>
      <c r="D1870" s="160">
        <f t="shared" si="92"/>
        <v>4</v>
      </c>
      <c r="E1870" s="160">
        <f t="shared" si="93"/>
        <v>10</v>
      </c>
      <c r="F1870" s="160">
        <f t="shared" si="94"/>
        <v>25</v>
      </c>
      <c r="G1870" s="160">
        <f t="shared" si="95"/>
        <v>4</v>
      </c>
      <c r="H1870" s="160">
        <f t="shared" si="96"/>
        <v>2</v>
      </c>
      <c r="I1870" s="160">
        <f t="shared" si="97"/>
        <v>2</v>
      </c>
      <c r="J1870" s="160">
        <f t="shared" si="98"/>
        <v>2</v>
      </c>
    </row>
    <row r="1871" spans="2:10" x14ac:dyDescent="0.35">
      <c r="B1871" s="160">
        <f t="shared" si="90"/>
        <v>52</v>
      </c>
      <c r="C1871" s="160">
        <f t="shared" si="91"/>
        <v>97</v>
      </c>
      <c r="D1871" s="160">
        <f t="shared" si="92"/>
        <v>4</v>
      </c>
      <c r="E1871" s="160">
        <f t="shared" si="93"/>
        <v>10</v>
      </c>
      <c r="F1871" s="160">
        <f t="shared" si="94"/>
        <v>26</v>
      </c>
      <c r="G1871" s="160">
        <f t="shared" si="95"/>
        <v>1</v>
      </c>
      <c r="H1871" s="160">
        <f t="shared" si="96"/>
        <v>20</v>
      </c>
      <c r="I1871" s="160">
        <f t="shared" si="97"/>
        <v>52</v>
      </c>
      <c r="J1871" s="160">
        <f t="shared" si="98"/>
        <v>2</v>
      </c>
    </row>
    <row r="1872" spans="2:10" x14ac:dyDescent="0.35">
      <c r="B1872" s="160">
        <f t="shared" si="90"/>
        <v>52</v>
      </c>
      <c r="C1872" s="160">
        <f t="shared" si="91"/>
        <v>97</v>
      </c>
      <c r="D1872" s="160">
        <f t="shared" si="92"/>
        <v>4</v>
      </c>
      <c r="E1872" s="160">
        <f t="shared" si="93"/>
        <v>10</v>
      </c>
      <c r="F1872" s="160">
        <f t="shared" si="94"/>
        <v>26</v>
      </c>
      <c r="G1872" s="160">
        <f t="shared" si="95"/>
        <v>4</v>
      </c>
      <c r="H1872" s="160">
        <f t="shared" si="96"/>
        <v>20</v>
      </c>
      <c r="I1872" s="160">
        <f t="shared" si="97"/>
        <v>2</v>
      </c>
      <c r="J1872" s="160">
        <f t="shared" si="98"/>
        <v>2</v>
      </c>
    </row>
    <row r="1873" spans="2:10" x14ac:dyDescent="0.35">
      <c r="B1873" s="160">
        <f t="shared" si="90"/>
        <v>52</v>
      </c>
      <c r="C1873" s="160">
        <f t="shared" si="91"/>
        <v>97</v>
      </c>
      <c r="D1873" s="160">
        <f t="shared" si="92"/>
        <v>4</v>
      </c>
      <c r="E1873" s="160">
        <f t="shared" si="93"/>
        <v>10</v>
      </c>
      <c r="F1873" s="160">
        <f t="shared" si="94"/>
        <v>27</v>
      </c>
      <c r="G1873" s="160">
        <f t="shared" si="95"/>
        <v>2</v>
      </c>
      <c r="H1873" s="160">
        <f t="shared" si="96"/>
        <v>20</v>
      </c>
      <c r="I1873" s="160">
        <f t="shared" si="97"/>
        <v>5</v>
      </c>
      <c r="J1873" s="160">
        <f t="shared" si="98"/>
        <v>1</v>
      </c>
    </row>
    <row r="1874" spans="2:10" x14ac:dyDescent="0.35">
      <c r="B1874" s="160">
        <f t="shared" si="90"/>
        <v>52</v>
      </c>
      <c r="C1874" s="160">
        <f t="shared" si="91"/>
        <v>97</v>
      </c>
      <c r="D1874" s="160">
        <f t="shared" si="92"/>
        <v>4</v>
      </c>
      <c r="E1874" s="160">
        <f t="shared" si="93"/>
        <v>10</v>
      </c>
      <c r="F1874" s="160">
        <f t="shared" si="94"/>
        <v>27</v>
      </c>
      <c r="G1874" s="160">
        <f t="shared" si="95"/>
        <v>5</v>
      </c>
      <c r="H1874" s="160">
        <f t="shared" si="96"/>
        <v>2</v>
      </c>
      <c r="I1874" s="160">
        <f t="shared" si="97"/>
        <v>27</v>
      </c>
      <c r="J1874" s="160">
        <f t="shared" si="98"/>
        <v>1</v>
      </c>
    </row>
    <row r="1875" spans="2:10" x14ac:dyDescent="0.35">
      <c r="B1875" s="160">
        <f t="shared" si="90"/>
        <v>52</v>
      </c>
      <c r="C1875" s="160">
        <f t="shared" si="91"/>
        <v>91</v>
      </c>
      <c r="D1875" s="160">
        <f t="shared" si="92"/>
        <v>4</v>
      </c>
      <c r="E1875" s="160">
        <f t="shared" si="93"/>
        <v>10</v>
      </c>
      <c r="F1875" s="160">
        <f t="shared" si="94"/>
        <v>1</v>
      </c>
      <c r="G1875" s="160">
        <f t="shared" si="95"/>
        <v>2</v>
      </c>
      <c r="H1875" s="160">
        <f t="shared" si="96"/>
        <v>11</v>
      </c>
      <c r="I1875" s="160">
        <f t="shared" si="97"/>
        <v>21</v>
      </c>
      <c r="J1875" s="160">
        <f t="shared" si="98"/>
        <v>1</v>
      </c>
    </row>
    <row r="1876" spans="2:10" x14ac:dyDescent="0.35">
      <c r="B1876" s="160">
        <f t="shared" si="90"/>
        <v>52</v>
      </c>
      <c r="C1876" s="160">
        <f t="shared" si="91"/>
        <v>91</v>
      </c>
      <c r="D1876" s="160">
        <f t="shared" si="92"/>
        <v>4</v>
      </c>
      <c r="E1876" s="160">
        <f t="shared" si="93"/>
        <v>10</v>
      </c>
      <c r="F1876" s="160">
        <f t="shared" si="94"/>
        <v>1</v>
      </c>
      <c r="G1876" s="160">
        <f t="shared" si="95"/>
        <v>5</v>
      </c>
      <c r="H1876" s="160">
        <f t="shared" si="96"/>
        <v>20</v>
      </c>
      <c r="I1876" s="160">
        <f t="shared" si="97"/>
        <v>37</v>
      </c>
      <c r="J1876" s="160">
        <f t="shared" si="98"/>
        <v>1</v>
      </c>
    </row>
    <row r="1877" spans="2:10" x14ac:dyDescent="0.35">
      <c r="B1877" s="160">
        <f t="shared" si="90"/>
        <v>52</v>
      </c>
      <c r="C1877" s="160">
        <f t="shared" si="91"/>
        <v>26</v>
      </c>
      <c r="D1877" s="160">
        <f t="shared" si="92"/>
        <v>2</v>
      </c>
      <c r="E1877" s="160">
        <f t="shared" si="93"/>
        <v>16</v>
      </c>
      <c r="F1877" s="160">
        <f t="shared" si="94"/>
        <v>42</v>
      </c>
      <c r="G1877" s="160">
        <f t="shared" si="95"/>
        <v>1</v>
      </c>
      <c r="H1877" s="160">
        <f t="shared" si="96"/>
        <v>11</v>
      </c>
      <c r="I1877" s="160">
        <f t="shared" si="97"/>
        <v>8</v>
      </c>
      <c r="J1877" s="160">
        <f t="shared" si="98"/>
        <v>2</v>
      </c>
    </row>
    <row r="1878" spans="2:10" x14ac:dyDescent="0.35">
      <c r="B1878" s="160">
        <f t="shared" si="90"/>
        <v>52</v>
      </c>
      <c r="C1878" s="160">
        <f t="shared" si="91"/>
        <v>26</v>
      </c>
      <c r="D1878" s="160">
        <f t="shared" si="92"/>
        <v>2</v>
      </c>
      <c r="E1878" s="160">
        <f t="shared" si="93"/>
        <v>16</v>
      </c>
      <c r="F1878" s="160">
        <f t="shared" si="94"/>
        <v>42</v>
      </c>
      <c r="G1878" s="160">
        <f t="shared" si="95"/>
        <v>2</v>
      </c>
      <c r="H1878" s="160">
        <f t="shared" si="96"/>
        <v>11</v>
      </c>
      <c r="I1878" s="160">
        <f t="shared" si="97"/>
        <v>8</v>
      </c>
      <c r="J1878" s="160">
        <f t="shared" si="98"/>
        <v>2</v>
      </c>
    </row>
    <row r="1879" spans="2:10" x14ac:dyDescent="0.35">
      <c r="B1879" s="160">
        <f t="shared" si="90"/>
        <v>52</v>
      </c>
      <c r="C1879" s="160">
        <f t="shared" si="91"/>
        <v>68</v>
      </c>
      <c r="D1879" s="160">
        <f t="shared" si="92"/>
        <v>2</v>
      </c>
      <c r="E1879" s="160">
        <f t="shared" si="93"/>
        <v>17</v>
      </c>
      <c r="F1879" s="160">
        <f t="shared" si="94"/>
        <v>47</v>
      </c>
      <c r="G1879" s="160">
        <f t="shared" si="95"/>
        <v>2</v>
      </c>
      <c r="H1879" s="160">
        <f t="shared" si="96"/>
        <v>20</v>
      </c>
      <c r="I1879" s="160">
        <f t="shared" si="97"/>
        <v>9</v>
      </c>
      <c r="J1879" s="160">
        <f t="shared" si="98"/>
        <v>2</v>
      </c>
    </row>
    <row r="1880" spans="2:10" x14ac:dyDescent="0.35">
      <c r="B1880" s="160">
        <f t="shared" si="90"/>
        <v>52</v>
      </c>
      <c r="C1880" s="160">
        <f t="shared" si="91"/>
        <v>68</v>
      </c>
      <c r="D1880" s="160">
        <f t="shared" si="92"/>
        <v>2</v>
      </c>
      <c r="E1880" s="160">
        <f t="shared" si="93"/>
        <v>17</v>
      </c>
      <c r="F1880" s="160">
        <f t="shared" si="94"/>
        <v>47</v>
      </c>
      <c r="G1880" s="160">
        <f t="shared" si="95"/>
        <v>5</v>
      </c>
      <c r="H1880" s="160">
        <f t="shared" si="96"/>
        <v>20</v>
      </c>
      <c r="I1880" s="160">
        <f t="shared" si="97"/>
        <v>9</v>
      </c>
      <c r="J1880" s="160">
        <f t="shared" si="98"/>
        <v>2</v>
      </c>
    </row>
    <row r="1881" spans="2:10" x14ac:dyDescent="0.35">
      <c r="B1881" s="160">
        <f t="shared" ref="B1881:B1944" si="99">INDEX($A$2:$A$85,MATCH(I766,$B$2:$B$85,0))</f>
        <v>52</v>
      </c>
      <c r="C1881" s="160">
        <f t="shared" ref="C1881:C1944" si="100">INDEX($D$2:$D$117,MATCH(J766,$E$2:$E$117,0))</f>
        <v>16</v>
      </c>
      <c r="D1881" s="160">
        <f t="shared" ref="D1881:D1944" si="101">INDEX($P$2:$P$5,MATCH(K766,$Q$2:$Q$5,0))</f>
        <v>3</v>
      </c>
      <c r="E1881" s="160">
        <f t="shared" ref="E1881:E1944" si="102">INDEX($G$2:$G$19,MATCH(L766,$H$2:$H$19,0))</f>
        <v>17</v>
      </c>
      <c r="F1881" s="160">
        <f t="shared" ref="F1881:F1944" si="103">INDEX($J$2:$J$55,MATCH(M766,$K$2:$K$55,0))</f>
        <v>43</v>
      </c>
      <c r="G1881" s="160">
        <f t="shared" ref="G1881:G1944" si="104">INDEX($M$2:$M$6,MATCH(N766,$N$2:$N$6,0))</f>
        <v>1</v>
      </c>
      <c r="H1881" s="160">
        <f t="shared" ref="H1881:H1944" si="105">INDEX($S$2:$S$26,MATCH(O766,$T$2:$T$26,0))</f>
        <v>3</v>
      </c>
      <c r="I1881" s="160">
        <f t="shared" ref="I1881:I1944" si="106">INDEX($V$2:$V$108,MATCH(P766,$W$2:$W$108,0))</f>
        <v>34</v>
      </c>
      <c r="J1881" s="160">
        <f t="shared" ref="J1881:J1944" si="107">INDEX($Y$2:$Y$4,MATCH(Q766,$Z$2:$Z$4,0))</f>
        <v>1</v>
      </c>
    </row>
    <row r="1882" spans="2:10" x14ac:dyDescent="0.35">
      <c r="B1882" s="160">
        <f t="shared" si="99"/>
        <v>52</v>
      </c>
      <c r="C1882" s="160">
        <f t="shared" si="100"/>
        <v>16</v>
      </c>
      <c r="D1882" s="160">
        <f t="shared" si="101"/>
        <v>3</v>
      </c>
      <c r="E1882" s="160">
        <f t="shared" si="102"/>
        <v>17</v>
      </c>
      <c r="F1882" s="160">
        <f t="shared" si="103"/>
        <v>43</v>
      </c>
      <c r="G1882" s="160">
        <f t="shared" si="104"/>
        <v>4</v>
      </c>
      <c r="H1882" s="160">
        <f t="shared" si="105"/>
        <v>3</v>
      </c>
      <c r="I1882" s="160">
        <f t="shared" si="106"/>
        <v>34</v>
      </c>
      <c r="J1882" s="160">
        <f t="shared" si="107"/>
        <v>1</v>
      </c>
    </row>
    <row r="1883" spans="2:10" x14ac:dyDescent="0.35">
      <c r="B1883" s="160">
        <f t="shared" si="99"/>
        <v>53</v>
      </c>
      <c r="C1883" s="160">
        <f t="shared" si="100"/>
        <v>78</v>
      </c>
      <c r="D1883" s="160">
        <f t="shared" si="101"/>
        <v>3</v>
      </c>
      <c r="E1883" s="160">
        <f t="shared" si="102"/>
        <v>15</v>
      </c>
      <c r="F1883" s="160">
        <f t="shared" si="103"/>
        <v>53</v>
      </c>
      <c r="G1883" s="160">
        <f t="shared" si="104"/>
        <v>2</v>
      </c>
      <c r="H1883" s="160">
        <f t="shared" si="105"/>
        <v>10</v>
      </c>
      <c r="I1883" s="160">
        <f t="shared" si="106"/>
        <v>38</v>
      </c>
      <c r="J1883" s="160">
        <f t="shared" si="107"/>
        <v>1</v>
      </c>
    </row>
    <row r="1884" spans="2:10" x14ac:dyDescent="0.35">
      <c r="B1884" s="160">
        <f t="shared" si="99"/>
        <v>53</v>
      </c>
      <c r="C1884" s="160">
        <f t="shared" si="100"/>
        <v>78</v>
      </c>
      <c r="D1884" s="160">
        <f t="shared" si="101"/>
        <v>3</v>
      </c>
      <c r="E1884" s="160">
        <f t="shared" si="102"/>
        <v>15</v>
      </c>
      <c r="F1884" s="160">
        <f t="shared" si="103"/>
        <v>53</v>
      </c>
      <c r="G1884" s="160">
        <f t="shared" si="104"/>
        <v>5</v>
      </c>
      <c r="H1884" s="160">
        <f t="shared" si="105"/>
        <v>10</v>
      </c>
      <c r="I1884" s="160">
        <f t="shared" si="106"/>
        <v>11</v>
      </c>
      <c r="J1884" s="160">
        <f t="shared" si="107"/>
        <v>1</v>
      </c>
    </row>
    <row r="1885" spans="2:10" x14ac:dyDescent="0.35">
      <c r="B1885" s="160">
        <f t="shared" si="99"/>
        <v>53</v>
      </c>
      <c r="C1885" s="160">
        <f t="shared" si="100"/>
        <v>69</v>
      </c>
      <c r="D1885" s="160">
        <f t="shared" si="101"/>
        <v>3</v>
      </c>
      <c r="E1885" s="160">
        <f t="shared" si="102"/>
        <v>15</v>
      </c>
      <c r="F1885" s="160">
        <f t="shared" si="103"/>
        <v>29</v>
      </c>
      <c r="G1885" s="160">
        <f t="shared" si="104"/>
        <v>1</v>
      </c>
      <c r="H1885" s="160">
        <f t="shared" si="105"/>
        <v>1</v>
      </c>
      <c r="I1885" s="160">
        <f t="shared" si="106"/>
        <v>51</v>
      </c>
      <c r="J1885" s="160">
        <f t="shared" si="107"/>
        <v>2</v>
      </c>
    </row>
    <row r="1886" spans="2:10" x14ac:dyDescent="0.35">
      <c r="B1886" s="160">
        <f t="shared" si="99"/>
        <v>53</v>
      </c>
      <c r="C1886" s="160">
        <f t="shared" si="100"/>
        <v>69</v>
      </c>
      <c r="D1886" s="160">
        <f t="shared" si="101"/>
        <v>3</v>
      </c>
      <c r="E1886" s="160">
        <f t="shared" si="102"/>
        <v>15</v>
      </c>
      <c r="F1886" s="160">
        <f t="shared" si="103"/>
        <v>29</v>
      </c>
      <c r="G1886" s="160">
        <f t="shared" si="104"/>
        <v>3</v>
      </c>
      <c r="H1886" s="160">
        <f t="shared" si="105"/>
        <v>1</v>
      </c>
      <c r="I1886" s="160">
        <f t="shared" si="106"/>
        <v>51</v>
      </c>
      <c r="J1886" s="160">
        <f t="shared" si="107"/>
        <v>2</v>
      </c>
    </row>
    <row r="1887" spans="2:10" x14ac:dyDescent="0.35">
      <c r="B1887" s="160">
        <f t="shared" si="99"/>
        <v>53</v>
      </c>
      <c r="C1887" s="160">
        <f t="shared" si="100"/>
        <v>24</v>
      </c>
      <c r="D1887" s="160">
        <f t="shared" si="101"/>
        <v>2</v>
      </c>
      <c r="E1887" s="160">
        <f t="shared" si="102"/>
        <v>18</v>
      </c>
      <c r="F1887" s="160">
        <f t="shared" si="103"/>
        <v>49</v>
      </c>
      <c r="G1887" s="160">
        <f t="shared" si="104"/>
        <v>2</v>
      </c>
      <c r="H1887" s="160">
        <f t="shared" si="105"/>
        <v>25</v>
      </c>
      <c r="I1887" s="160">
        <f t="shared" si="106"/>
        <v>7</v>
      </c>
      <c r="J1887" s="160">
        <f t="shared" si="107"/>
        <v>1</v>
      </c>
    </row>
    <row r="1888" spans="2:10" x14ac:dyDescent="0.35">
      <c r="B1888" s="160">
        <f t="shared" si="99"/>
        <v>53</v>
      </c>
      <c r="C1888" s="160">
        <f t="shared" si="100"/>
        <v>24</v>
      </c>
      <c r="D1888" s="160">
        <f t="shared" si="101"/>
        <v>2</v>
      </c>
      <c r="E1888" s="160">
        <f t="shared" si="102"/>
        <v>18</v>
      </c>
      <c r="F1888" s="160">
        <f t="shared" si="103"/>
        <v>49</v>
      </c>
      <c r="G1888" s="160">
        <f t="shared" si="104"/>
        <v>5</v>
      </c>
      <c r="H1888" s="160">
        <f t="shared" si="105"/>
        <v>25</v>
      </c>
      <c r="I1888" s="160">
        <f t="shared" si="106"/>
        <v>7</v>
      </c>
      <c r="J1888" s="160">
        <f t="shared" si="107"/>
        <v>1</v>
      </c>
    </row>
    <row r="1889" spans="2:10" x14ac:dyDescent="0.35">
      <c r="B1889" s="160">
        <f t="shared" si="99"/>
        <v>53</v>
      </c>
      <c r="C1889" s="160">
        <f t="shared" si="100"/>
        <v>25</v>
      </c>
      <c r="D1889" s="160">
        <f t="shared" si="101"/>
        <v>2</v>
      </c>
      <c r="E1889" s="160">
        <f t="shared" si="102"/>
        <v>18</v>
      </c>
      <c r="F1889" s="160">
        <f t="shared" si="103"/>
        <v>50</v>
      </c>
      <c r="G1889" s="160">
        <f t="shared" si="104"/>
        <v>1</v>
      </c>
      <c r="H1889" s="160">
        <f t="shared" si="105"/>
        <v>7</v>
      </c>
      <c r="I1889" s="160">
        <f t="shared" si="106"/>
        <v>20</v>
      </c>
      <c r="J1889" s="160">
        <f t="shared" si="107"/>
        <v>2</v>
      </c>
    </row>
    <row r="1890" spans="2:10" x14ac:dyDescent="0.35">
      <c r="B1890" s="160">
        <f t="shared" si="99"/>
        <v>53</v>
      </c>
      <c r="C1890" s="160">
        <f t="shared" si="100"/>
        <v>25</v>
      </c>
      <c r="D1890" s="160">
        <f t="shared" si="101"/>
        <v>2</v>
      </c>
      <c r="E1890" s="160">
        <f t="shared" si="102"/>
        <v>18</v>
      </c>
      <c r="F1890" s="160">
        <f t="shared" si="103"/>
        <v>50</v>
      </c>
      <c r="G1890" s="160">
        <f t="shared" si="104"/>
        <v>4</v>
      </c>
      <c r="H1890" s="160">
        <f t="shared" si="105"/>
        <v>14</v>
      </c>
      <c r="I1890" s="160">
        <f t="shared" si="106"/>
        <v>33</v>
      </c>
      <c r="J1890" s="160">
        <f t="shared" si="107"/>
        <v>2</v>
      </c>
    </row>
    <row r="1891" spans="2:10" x14ac:dyDescent="0.35">
      <c r="B1891" s="160">
        <f t="shared" si="99"/>
        <v>53</v>
      </c>
      <c r="C1891" s="160">
        <f t="shared" si="100"/>
        <v>24</v>
      </c>
      <c r="D1891" s="160">
        <f t="shared" si="101"/>
        <v>2</v>
      </c>
      <c r="E1891" s="160">
        <f t="shared" si="102"/>
        <v>2</v>
      </c>
      <c r="F1891" s="160">
        <f t="shared" si="103"/>
        <v>48</v>
      </c>
      <c r="G1891" s="160">
        <f t="shared" si="104"/>
        <v>4</v>
      </c>
      <c r="H1891" s="160">
        <f t="shared" si="105"/>
        <v>25</v>
      </c>
      <c r="I1891" s="160">
        <f t="shared" si="106"/>
        <v>7</v>
      </c>
      <c r="J1891" s="160">
        <f t="shared" si="107"/>
        <v>2</v>
      </c>
    </row>
    <row r="1892" spans="2:10" x14ac:dyDescent="0.35">
      <c r="B1892" s="160">
        <f t="shared" si="99"/>
        <v>53</v>
      </c>
      <c r="C1892" s="160">
        <f t="shared" si="100"/>
        <v>24</v>
      </c>
      <c r="D1892" s="160">
        <f t="shared" si="101"/>
        <v>2</v>
      </c>
      <c r="E1892" s="160">
        <f t="shared" si="102"/>
        <v>2</v>
      </c>
      <c r="F1892" s="160">
        <f t="shared" si="103"/>
        <v>48</v>
      </c>
      <c r="G1892" s="160">
        <f t="shared" si="104"/>
        <v>5</v>
      </c>
      <c r="H1892" s="160">
        <f t="shared" si="105"/>
        <v>25</v>
      </c>
      <c r="I1892" s="160">
        <f t="shared" si="106"/>
        <v>7</v>
      </c>
      <c r="J1892" s="160">
        <f t="shared" si="107"/>
        <v>2</v>
      </c>
    </row>
    <row r="1893" spans="2:10" x14ac:dyDescent="0.35">
      <c r="B1893" s="160">
        <f t="shared" si="99"/>
        <v>53</v>
      </c>
      <c r="C1893" s="160">
        <f t="shared" si="100"/>
        <v>25</v>
      </c>
      <c r="D1893" s="160">
        <f t="shared" si="101"/>
        <v>2</v>
      </c>
      <c r="E1893" s="160">
        <f t="shared" si="102"/>
        <v>11</v>
      </c>
      <c r="F1893" s="160">
        <f t="shared" si="103"/>
        <v>49</v>
      </c>
      <c r="G1893" s="160">
        <f t="shared" si="104"/>
        <v>1</v>
      </c>
      <c r="H1893" s="160">
        <f t="shared" si="105"/>
        <v>17</v>
      </c>
      <c r="I1893" s="160">
        <f t="shared" si="106"/>
        <v>76</v>
      </c>
      <c r="J1893" s="160">
        <f t="shared" si="107"/>
        <v>2</v>
      </c>
    </row>
    <row r="1894" spans="2:10" x14ac:dyDescent="0.35">
      <c r="B1894" s="160">
        <f t="shared" si="99"/>
        <v>53</v>
      </c>
      <c r="C1894" s="160">
        <f t="shared" si="100"/>
        <v>25</v>
      </c>
      <c r="D1894" s="160">
        <f t="shared" si="101"/>
        <v>2</v>
      </c>
      <c r="E1894" s="160">
        <f t="shared" si="102"/>
        <v>11</v>
      </c>
      <c r="F1894" s="160">
        <f t="shared" si="103"/>
        <v>49</v>
      </c>
      <c r="G1894" s="160">
        <f t="shared" si="104"/>
        <v>3</v>
      </c>
      <c r="H1894" s="160">
        <f t="shared" si="105"/>
        <v>21</v>
      </c>
      <c r="I1894" s="160">
        <f t="shared" si="106"/>
        <v>83</v>
      </c>
      <c r="J1894" s="160">
        <f t="shared" si="107"/>
        <v>2</v>
      </c>
    </row>
    <row r="1895" spans="2:10" x14ac:dyDescent="0.35">
      <c r="B1895" s="160">
        <f t="shared" si="99"/>
        <v>53</v>
      </c>
      <c r="C1895" s="160">
        <f t="shared" si="100"/>
        <v>24</v>
      </c>
      <c r="D1895" s="160">
        <f t="shared" si="101"/>
        <v>2</v>
      </c>
      <c r="E1895" s="160">
        <f t="shared" si="102"/>
        <v>11</v>
      </c>
      <c r="F1895" s="160">
        <f t="shared" si="103"/>
        <v>51</v>
      </c>
      <c r="G1895" s="160">
        <f t="shared" si="104"/>
        <v>2</v>
      </c>
      <c r="H1895" s="160">
        <f t="shared" si="105"/>
        <v>17</v>
      </c>
      <c r="I1895" s="160">
        <f t="shared" si="106"/>
        <v>13</v>
      </c>
      <c r="J1895" s="160">
        <f t="shared" si="107"/>
        <v>2</v>
      </c>
    </row>
    <row r="1896" spans="2:10" x14ac:dyDescent="0.35">
      <c r="B1896" s="160">
        <f t="shared" si="99"/>
        <v>53</v>
      </c>
      <c r="C1896" s="160">
        <f t="shared" si="100"/>
        <v>24</v>
      </c>
      <c r="D1896" s="160">
        <f t="shared" si="101"/>
        <v>2</v>
      </c>
      <c r="E1896" s="160">
        <f t="shared" si="102"/>
        <v>11</v>
      </c>
      <c r="F1896" s="160">
        <f t="shared" si="103"/>
        <v>51</v>
      </c>
      <c r="G1896" s="160">
        <f t="shared" si="104"/>
        <v>4</v>
      </c>
      <c r="H1896" s="160">
        <f t="shared" si="105"/>
        <v>25</v>
      </c>
      <c r="I1896" s="160">
        <f t="shared" si="106"/>
        <v>14</v>
      </c>
      <c r="J1896" s="160">
        <f t="shared" si="107"/>
        <v>2</v>
      </c>
    </row>
    <row r="1897" spans="2:10" x14ac:dyDescent="0.35">
      <c r="B1897" s="160">
        <f t="shared" si="99"/>
        <v>53</v>
      </c>
      <c r="C1897" s="160">
        <f t="shared" si="100"/>
        <v>22</v>
      </c>
      <c r="D1897" s="160">
        <f t="shared" si="101"/>
        <v>4</v>
      </c>
      <c r="E1897" s="160">
        <f t="shared" si="102"/>
        <v>15</v>
      </c>
      <c r="F1897" s="160">
        <f t="shared" si="103"/>
        <v>4</v>
      </c>
      <c r="G1897" s="160">
        <f t="shared" si="104"/>
        <v>2</v>
      </c>
      <c r="H1897" s="160">
        <f t="shared" si="105"/>
        <v>24</v>
      </c>
      <c r="I1897" s="160">
        <f t="shared" si="106"/>
        <v>44</v>
      </c>
      <c r="J1897" s="160">
        <f t="shared" si="107"/>
        <v>3</v>
      </c>
    </row>
    <row r="1898" spans="2:10" x14ac:dyDescent="0.35">
      <c r="B1898" s="160">
        <f t="shared" si="99"/>
        <v>54</v>
      </c>
      <c r="C1898" s="160">
        <f t="shared" si="100"/>
        <v>47</v>
      </c>
      <c r="D1898" s="160">
        <f t="shared" si="101"/>
        <v>1</v>
      </c>
      <c r="E1898" s="160">
        <f t="shared" si="102"/>
        <v>10</v>
      </c>
      <c r="F1898" s="160">
        <f t="shared" si="103"/>
        <v>44</v>
      </c>
      <c r="G1898" s="160">
        <f t="shared" si="104"/>
        <v>2</v>
      </c>
      <c r="H1898" s="160">
        <f t="shared" si="105"/>
        <v>1</v>
      </c>
      <c r="I1898" s="160">
        <f t="shared" si="106"/>
        <v>21</v>
      </c>
      <c r="J1898" s="160">
        <f t="shared" si="107"/>
        <v>1</v>
      </c>
    </row>
    <row r="1899" spans="2:10" x14ac:dyDescent="0.35">
      <c r="B1899" s="160">
        <f t="shared" si="99"/>
        <v>54</v>
      </c>
      <c r="C1899" s="160">
        <f t="shared" si="100"/>
        <v>47</v>
      </c>
      <c r="D1899" s="160">
        <f t="shared" si="101"/>
        <v>1</v>
      </c>
      <c r="E1899" s="160">
        <f t="shared" si="102"/>
        <v>10</v>
      </c>
      <c r="F1899" s="160">
        <f t="shared" si="103"/>
        <v>44</v>
      </c>
      <c r="G1899" s="160">
        <f t="shared" si="104"/>
        <v>5</v>
      </c>
      <c r="H1899" s="160">
        <f t="shared" si="105"/>
        <v>9</v>
      </c>
      <c r="I1899" s="160">
        <f t="shared" si="106"/>
        <v>54</v>
      </c>
      <c r="J1899" s="160">
        <f t="shared" si="107"/>
        <v>1</v>
      </c>
    </row>
    <row r="1900" spans="2:10" x14ac:dyDescent="0.35">
      <c r="B1900" s="160">
        <f t="shared" si="99"/>
        <v>54</v>
      </c>
      <c r="C1900" s="160">
        <f t="shared" si="100"/>
        <v>49</v>
      </c>
      <c r="D1900" s="160">
        <f t="shared" si="101"/>
        <v>4</v>
      </c>
      <c r="E1900" s="160">
        <f t="shared" si="102"/>
        <v>10</v>
      </c>
      <c r="F1900" s="160">
        <f t="shared" si="103"/>
        <v>25</v>
      </c>
      <c r="G1900" s="160">
        <f t="shared" si="104"/>
        <v>1</v>
      </c>
      <c r="H1900" s="160">
        <f t="shared" si="105"/>
        <v>2</v>
      </c>
      <c r="I1900" s="160">
        <f t="shared" si="106"/>
        <v>45</v>
      </c>
      <c r="J1900" s="160">
        <f t="shared" si="107"/>
        <v>1</v>
      </c>
    </row>
    <row r="1901" spans="2:10" x14ac:dyDescent="0.35">
      <c r="B1901" s="160">
        <f t="shared" si="99"/>
        <v>54</v>
      </c>
      <c r="C1901" s="160">
        <f t="shared" si="100"/>
        <v>49</v>
      </c>
      <c r="D1901" s="160">
        <f t="shared" si="101"/>
        <v>4</v>
      </c>
      <c r="E1901" s="160">
        <f t="shared" si="102"/>
        <v>10</v>
      </c>
      <c r="F1901" s="160">
        <f t="shared" si="103"/>
        <v>25</v>
      </c>
      <c r="G1901" s="160">
        <f t="shared" si="104"/>
        <v>4</v>
      </c>
      <c r="H1901" s="160">
        <f t="shared" si="105"/>
        <v>20</v>
      </c>
      <c r="I1901" s="160">
        <f t="shared" si="106"/>
        <v>24</v>
      </c>
      <c r="J1901" s="160">
        <f t="shared" si="107"/>
        <v>1</v>
      </c>
    </row>
    <row r="1902" spans="2:10" x14ac:dyDescent="0.35">
      <c r="B1902" s="160">
        <f t="shared" si="99"/>
        <v>54</v>
      </c>
      <c r="C1902" s="160">
        <f t="shared" si="100"/>
        <v>49</v>
      </c>
      <c r="D1902" s="160">
        <f t="shared" si="101"/>
        <v>4</v>
      </c>
      <c r="E1902" s="160">
        <f t="shared" si="102"/>
        <v>10</v>
      </c>
      <c r="F1902" s="160">
        <f t="shared" si="103"/>
        <v>26</v>
      </c>
      <c r="G1902" s="160">
        <f t="shared" si="104"/>
        <v>2</v>
      </c>
      <c r="H1902" s="160">
        <f t="shared" si="105"/>
        <v>11</v>
      </c>
      <c r="I1902" s="160">
        <f t="shared" si="106"/>
        <v>30</v>
      </c>
      <c r="J1902" s="160">
        <f t="shared" si="107"/>
        <v>1</v>
      </c>
    </row>
    <row r="1903" spans="2:10" x14ac:dyDescent="0.35">
      <c r="B1903" s="160">
        <f t="shared" si="99"/>
        <v>54</v>
      </c>
      <c r="C1903" s="160">
        <f t="shared" si="100"/>
        <v>49</v>
      </c>
      <c r="D1903" s="160">
        <f t="shared" si="101"/>
        <v>4</v>
      </c>
      <c r="E1903" s="160">
        <f t="shared" si="102"/>
        <v>10</v>
      </c>
      <c r="F1903" s="160">
        <f t="shared" si="103"/>
        <v>26</v>
      </c>
      <c r="G1903" s="160">
        <f t="shared" si="104"/>
        <v>5</v>
      </c>
      <c r="H1903" s="160">
        <f t="shared" si="105"/>
        <v>2</v>
      </c>
      <c r="I1903" s="160">
        <f t="shared" si="106"/>
        <v>45</v>
      </c>
      <c r="J1903" s="160">
        <f t="shared" si="107"/>
        <v>1</v>
      </c>
    </row>
    <row r="1904" spans="2:10" x14ac:dyDescent="0.35">
      <c r="B1904" s="160">
        <f t="shared" si="99"/>
        <v>54</v>
      </c>
      <c r="C1904" s="160">
        <f t="shared" si="100"/>
        <v>113</v>
      </c>
      <c r="D1904" s="160">
        <f t="shared" si="101"/>
        <v>4</v>
      </c>
      <c r="E1904" s="160">
        <f t="shared" si="102"/>
        <v>10</v>
      </c>
      <c r="F1904" s="160">
        <f t="shared" si="103"/>
        <v>1</v>
      </c>
      <c r="G1904" s="160">
        <f t="shared" si="104"/>
        <v>1</v>
      </c>
      <c r="H1904" s="160">
        <f t="shared" si="105"/>
        <v>2</v>
      </c>
      <c r="I1904" s="160">
        <f t="shared" si="106"/>
        <v>38</v>
      </c>
      <c r="J1904" s="160">
        <f t="shared" si="107"/>
        <v>2</v>
      </c>
    </row>
    <row r="1905" spans="2:10" x14ac:dyDescent="0.35">
      <c r="B1905" s="160">
        <f t="shared" si="99"/>
        <v>54</v>
      </c>
      <c r="C1905" s="160">
        <f t="shared" si="100"/>
        <v>113</v>
      </c>
      <c r="D1905" s="160">
        <f t="shared" si="101"/>
        <v>4</v>
      </c>
      <c r="E1905" s="160">
        <f t="shared" si="102"/>
        <v>10</v>
      </c>
      <c r="F1905" s="160">
        <f t="shared" si="103"/>
        <v>1</v>
      </c>
      <c r="G1905" s="160">
        <f t="shared" si="104"/>
        <v>4</v>
      </c>
      <c r="H1905" s="160">
        <f t="shared" si="105"/>
        <v>2</v>
      </c>
      <c r="I1905" s="160">
        <f t="shared" si="106"/>
        <v>38</v>
      </c>
      <c r="J1905" s="160">
        <f t="shared" si="107"/>
        <v>2</v>
      </c>
    </row>
    <row r="1906" spans="2:10" x14ac:dyDescent="0.35">
      <c r="B1906" s="160">
        <f t="shared" si="99"/>
        <v>54</v>
      </c>
      <c r="C1906" s="160">
        <f t="shared" si="100"/>
        <v>26</v>
      </c>
      <c r="D1906" s="160">
        <f t="shared" si="101"/>
        <v>2</v>
      </c>
      <c r="E1906" s="160">
        <f t="shared" si="102"/>
        <v>16</v>
      </c>
      <c r="F1906" s="160">
        <f t="shared" si="103"/>
        <v>1</v>
      </c>
      <c r="G1906" s="160">
        <f t="shared" si="104"/>
        <v>1</v>
      </c>
      <c r="H1906" s="160">
        <f t="shared" si="105"/>
        <v>11</v>
      </c>
      <c r="I1906" s="160">
        <f t="shared" si="106"/>
        <v>8</v>
      </c>
      <c r="J1906" s="160">
        <f t="shared" si="107"/>
        <v>2</v>
      </c>
    </row>
    <row r="1907" spans="2:10" x14ac:dyDescent="0.35">
      <c r="B1907" s="160">
        <f t="shared" si="99"/>
        <v>54</v>
      </c>
      <c r="C1907" s="160">
        <f t="shared" si="100"/>
        <v>26</v>
      </c>
      <c r="D1907" s="160">
        <f t="shared" si="101"/>
        <v>2</v>
      </c>
      <c r="E1907" s="160">
        <f t="shared" si="102"/>
        <v>16</v>
      </c>
      <c r="F1907" s="160">
        <f t="shared" si="103"/>
        <v>1</v>
      </c>
      <c r="G1907" s="160">
        <f t="shared" si="104"/>
        <v>2</v>
      </c>
      <c r="H1907" s="160">
        <f t="shared" si="105"/>
        <v>11</v>
      </c>
      <c r="I1907" s="160">
        <f t="shared" si="106"/>
        <v>8</v>
      </c>
      <c r="J1907" s="160">
        <f t="shared" si="107"/>
        <v>2</v>
      </c>
    </row>
    <row r="1908" spans="2:10" x14ac:dyDescent="0.35">
      <c r="B1908" s="160">
        <f t="shared" si="99"/>
        <v>54</v>
      </c>
      <c r="C1908" s="160">
        <f t="shared" si="100"/>
        <v>2</v>
      </c>
      <c r="D1908" s="160">
        <f t="shared" si="101"/>
        <v>2</v>
      </c>
      <c r="E1908" s="160">
        <f t="shared" si="102"/>
        <v>17</v>
      </c>
      <c r="F1908" s="160">
        <f t="shared" si="103"/>
        <v>47</v>
      </c>
      <c r="G1908" s="160">
        <f t="shared" si="104"/>
        <v>1</v>
      </c>
      <c r="H1908" s="160">
        <f t="shared" si="105"/>
        <v>15</v>
      </c>
      <c r="I1908" s="160">
        <f t="shared" si="106"/>
        <v>9</v>
      </c>
      <c r="J1908" s="160">
        <f t="shared" si="107"/>
        <v>1</v>
      </c>
    </row>
    <row r="1909" spans="2:10" x14ac:dyDescent="0.35">
      <c r="B1909" s="160">
        <f t="shared" si="99"/>
        <v>54</v>
      </c>
      <c r="C1909" s="160">
        <f t="shared" si="100"/>
        <v>2</v>
      </c>
      <c r="D1909" s="160">
        <f t="shared" si="101"/>
        <v>2</v>
      </c>
      <c r="E1909" s="160">
        <f t="shared" si="102"/>
        <v>17</v>
      </c>
      <c r="F1909" s="160">
        <f t="shared" si="103"/>
        <v>47</v>
      </c>
      <c r="G1909" s="160">
        <f t="shared" si="104"/>
        <v>4</v>
      </c>
      <c r="H1909" s="160">
        <f t="shared" si="105"/>
        <v>15</v>
      </c>
      <c r="I1909" s="160">
        <f t="shared" si="106"/>
        <v>9</v>
      </c>
      <c r="J1909" s="160">
        <f t="shared" si="107"/>
        <v>1</v>
      </c>
    </row>
    <row r="1910" spans="2:10" x14ac:dyDescent="0.35">
      <c r="B1910" s="160">
        <f t="shared" si="99"/>
        <v>55</v>
      </c>
      <c r="C1910" s="160">
        <f t="shared" si="100"/>
        <v>25</v>
      </c>
      <c r="D1910" s="160">
        <f t="shared" si="101"/>
        <v>2</v>
      </c>
      <c r="E1910" s="160">
        <f t="shared" si="102"/>
        <v>1</v>
      </c>
      <c r="F1910" s="160">
        <f t="shared" si="103"/>
        <v>48</v>
      </c>
      <c r="G1910" s="160">
        <f t="shared" si="104"/>
        <v>3</v>
      </c>
      <c r="H1910" s="160">
        <f t="shared" si="105"/>
        <v>17</v>
      </c>
      <c r="I1910" s="160">
        <f t="shared" si="106"/>
        <v>79</v>
      </c>
      <c r="J1910" s="160">
        <f t="shared" si="107"/>
        <v>2</v>
      </c>
    </row>
    <row r="1911" spans="2:10" x14ac:dyDescent="0.35">
      <c r="B1911" s="160">
        <f t="shared" si="99"/>
        <v>55</v>
      </c>
      <c r="C1911" s="160">
        <f t="shared" si="100"/>
        <v>25</v>
      </c>
      <c r="D1911" s="160">
        <f t="shared" si="101"/>
        <v>2</v>
      </c>
      <c r="E1911" s="160">
        <f t="shared" si="102"/>
        <v>1</v>
      </c>
      <c r="F1911" s="160">
        <f t="shared" si="103"/>
        <v>48</v>
      </c>
      <c r="G1911" s="160">
        <f t="shared" si="104"/>
        <v>5</v>
      </c>
      <c r="H1911" s="160">
        <f t="shared" si="105"/>
        <v>19</v>
      </c>
      <c r="I1911" s="160">
        <f t="shared" si="106"/>
        <v>75</v>
      </c>
      <c r="J1911" s="160">
        <f t="shared" si="107"/>
        <v>2</v>
      </c>
    </row>
    <row r="1912" spans="2:10" x14ac:dyDescent="0.35">
      <c r="B1912" s="160">
        <f t="shared" si="99"/>
        <v>55</v>
      </c>
      <c r="C1912" s="160">
        <f t="shared" si="100"/>
        <v>25</v>
      </c>
      <c r="D1912" s="160">
        <f t="shared" si="101"/>
        <v>2</v>
      </c>
      <c r="E1912" s="160">
        <f t="shared" si="102"/>
        <v>1</v>
      </c>
      <c r="F1912" s="160">
        <f t="shared" si="103"/>
        <v>49</v>
      </c>
      <c r="G1912" s="160">
        <f t="shared" si="104"/>
        <v>3</v>
      </c>
      <c r="H1912" s="160">
        <f t="shared" si="105"/>
        <v>17</v>
      </c>
      <c r="I1912" s="160">
        <f t="shared" si="106"/>
        <v>82</v>
      </c>
      <c r="J1912" s="160">
        <f t="shared" si="107"/>
        <v>2</v>
      </c>
    </row>
    <row r="1913" spans="2:10" x14ac:dyDescent="0.35">
      <c r="B1913" s="160">
        <f t="shared" si="99"/>
        <v>55</v>
      </c>
      <c r="C1913" s="160">
        <f t="shared" si="100"/>
        <v>25</v>
      </c>
      <c r="D1913" s="160">
        <f t="shared" si="101"/>
        <v>2</v>
      </c>
      <c r="E1913" s="160">
        <f t="shared" si="102"/>
        <v>1</v>
      </c>
      <c r="F1913" s="160">
        <f t="shared" si="103"/>
        <v>49</v>
      </c>
      <c r="G1913" s="160">
        <f t="shared" si="104"/>
        <v>5</v>
      </c>
      <c r="H1913" s="160">
        <f t="shared" si="105"/>
        <v>19</v>
      </c>
      <c r="I1913" s="160">
        <f t="shared" si="106"/>
        <v>76</v>
      </c>
      <c r="J1913" s="160">
        <f t="shared" si="107"/>
        <v>2</v>
      </c>
    </row>
    <row r="1914" spans="2:10" x14ac:dyDescent="0.35">
      <c r="B1914" s="160">
        <f t="shared" si="99"/>
        <v>55</v>
      </c>
      <c r="C1914" s="160">
        <f t="shared" si="100"/>
        <v>24</v>
      </c>
      <c r="D1914" s="160">
        <f t="shared" si="101"/>
        <v>2</v>
      </c>
      <c r="E1914" s="160">
        <f t="shared" si="102"/>
        <v>1</v>
      </c>
      <c r="F1914" s="160">
        <f t="shared" si="103"/>
        <v>50</v>
      </c>
      <c r="G1914" s="160">
        <f t="shared" si="104"/>
        <v>2</v>
      </c>
      <c r="H1914" s="160">
        <f t="shared" si="105"/>
        <v>25</v>
      </c>
      <c r="I1914" s="160">
        <f t="shared" si="106"/>
        <v>7</v>
      </c>
      <c r="J1914" s="160">
        <f t="shared" si="107"/>
        <v>2</v>
      </c>
    </row>
    <row r="1915" spans="2:10" x14ac:dyDescent="0.35">
      <c r="B1915" s="160">
        <f t="shared" si="99"/>
        <v>55</v>
      </c>
      <c r="C1915" s="160">
        <f t="shared" si="100"/>
        <v>24</v>
      </c>
      <c r="D1915" s="160">
        <f t="shared" si="101"/>
        <v>2</v>
      </c>
      <c r="E1915" s="160">
        <f t="shared" si="102"/>
        <v>1</v>
      </c>
      <c r="F1915" s="160">
        <f t="shared" si="103"/>
        <v>50</v>
      </c>
      <c r="G1915" s="160">
        <f t="shared" si="104"/>
        <v>4</v>
      </c>
      <c r="H1915" s="160">
        <f t="shared" si="105"/>
        <v>17</v>
      </c>
      <c r="I1915" s="160">
        <f t="shared" si="106"/>
        <v>7</v>
      </c>
      <c r="J1915" s="160">
        <f t="shared" si="107"/>
        <v>2</v>
      </c>
    </row>
    <row r="1916" spans="2:10" x14ac:dyDescent="0.35">
      <c r="B1916" s="160">
        <f t="shared" si="99"/>
        <v>55</v>
      </c>
      <c r="C1916" s="160">
        <f t="shared" si="100"/>
        <v>25</v>
      </c>
      <c r="D1916" s="160">
        <f t="shared" si="101"/>
        <v>2</v>
      </c>
      <c r="E1916" s="160">
        <f t="shared" si="102"/>
        <v>1</v>
      </c>
      <c r="F1916" s="160">
        <f t="shared" si="103"/>
        <v>51</v>
      </c>
      <c r="G1916" s="160">
        <f t="shared" si="104"/>
        <v>2</v>
      </c>
      <c r="H1916" s="160">
        <f t="shared" si="105"/>
        <v>14</v>
      </c>
      <c r="I1916" s="160">
        <f t="shared" si="106"/>
        <v>79</v>
      </c>
      <c r="J1916" s="160">
        <f t="shared" si="107"/>
        <v>2</v>
      </c>
    </row>
    <row r="1917" spans="2:10" x14ac:dyDescent="0.35">
      <c r="B1917" s="160">
        <f t="shared" si="99"/>
        <v>55</v>
      </c>
      <c r="C1917" s="160">
        <f t="shared" si="100"/>
        <v>25</v>
      </c>
      <c r="D1917" s="160">
        <f t="shared" si="101"/>
        <v>2</v>
      </c>
      <c r="E1917" s="160">
        <f t="shared" si="102"/>
        <v>1</v>
      </c>
      <c r="F1917" s="160">
        <f t="shared" si="103"/>
        <v>51</v>
      </c>
      <c r="G1917" s="160">
        <f t="shared" si="104"/>
        <v>3</v>
      </c>
      <c r="H1917" s="160">
        <f t="shared" si="105"/>
        <v>23</v>
      </c>
      <c r="I1917" s="160">
        <f t="shared" si="106"/>
        <v>78</v>
      </c>
      <c r="J1917" s="160">
        <f t="shared" si="107"/>
        <v>2</v>
      </c>
    </row>
    <row r="1918" spans="2:10" x14ac:dyDescent="0.35">
      <c r="B1918" s="160">
        <f t="shared" si="99"/>
        <v>55</v>
      </c>
      <c r="C1918" s="160">
        <f t="shared" si="100"/>
        <v>24</v>
      </c>
      <c r="D1918" s="160">
        <f t="shared" si="101"/>
        <v>2</v>
      </c>
      <c r="E1918" s="160">
        <f t="shared" si="102"/>
        <v>14</v>
      </c>
      <c r="F1918" s="160">
        <f t="shared" si="103"/>
        <v>48</v>
      </c>
      <c r="G1918" s="160">
        <f t="shared" si="104"/>
        <v>3</v>
      </c>
      <c r="H1918" s="160">
        <f t="shared" si="105"/>
        <v>21</v>
      </c>
      <c r="I1918" s="160">
        <f t="shared" si="106"/>
        <v>7</v>
      </c>
      <c r="J1918" s="160">
        <f t="shared" si="107"/>
        <v>2</v>
      </c>
    </row>
    <row r="1919" spans="2:10" x14ac:dyDescent="0.35">
      <c r="B1919" s="160">
        <f t="shared" si="99"/>
        <v>55</v>
      </c>
      <c r="C1919" s="160">
        <f t="shared" si="100"/>
        <v>24</v>
      </c>
      <c r="D1919" s="160">
        <f t="shared" si="101"/>
        <v>2</v>
      </c>
      <c r="E1919" s="160">
        <f t="shared" si="102"/>
        <v>14</v>
      </c>
      <c r="F1919" s="160">
        <f t="shared" si="103"/>
        <v>48</v>
      </c>
      <c r="G1919" s="160">
        <f t="shared" si="104"/>
        <v>5</v>
      </c>
      <c r="H1919" s="160">
        <f t="shared" si="105"/>
        <v>23</v>
      </c>
      <c r="I1919" s="160">
        <f t="shared" si="106"/>
        <v>7</v>
      </c>
      <c r="J1919" s="160">
        <f t="shared" si="107"/>
        <v>2</v>
      </c>
    </row>
    <row r="1920" spans="2:10" x14ac:dyDescent="0.35">
      <c r="B1920" s="160">
        <f t="shared" si="99"/>
        <v>55</v>
      </c>
      <c r="C1920" s="160">
        <f t="shared" si="100"/>
        <v>25</v>
      </c>
      <c r="D1920" s="160">
        <f t="shared" si="101"/>
        <v>2</v>
      </c>
      <c r="E1920" s="160">
        <f t="shared" si="102"/>
        <v>8</v>
      </c>
      <c r="F1920" s="160">
        <f t="shared" si="103"/>
        <v>49</v>
      </c>
      <c r="G1920" s="160">
        <f t="shared" si="104"/>
        <v>3</v>
      </c>
      <c r="H1920" s="160">
        <f t="shared" si="105"/>
        <v>23</v>
      </c>
      <c r="I1920" s="160">
        <f t="shared" si="106"/>
        <v>48</v>
      </c>
      <c r="J1920" s="160">
        <f t="shared" si="107"/>
        <v>1</v>
      </c>
    </row>
    <row r="1921" spans="2:10" x14ac:dyDescent="0.35">
      <c r="B1921" s="160">
        <f t="shared" si="99"/>
        <v>55</v>
      </c>
      <c r="C1921" s="160">
        <f t="shared" si="100"/>
        <v>25</v>
      </c>
      <c r="D1921" s="160">
        <f t="shared" si="101"/>
        <v>2</v>
      </c>
      <c r="E1921" s="160">
        <f t="shared" si="102"/>
        <v>8</v>
      </c>
      <c r="F1921" s="160">
        <f t="shared" si="103"/>
        <v>49</v>
      </c>
      <c r="G1921" s="160">
        <f t="shared" si="104"/>
        <v>5</v>
      </c>
      <c r="H1921" s="160">
        <f t="shared" si="105"/>
        <v>23</v>
      </c>
      <c r="I1921" s="160">
        <f t="shared" si="106"/>
        <v>33</v>
      </c>
      <c r="J1921" s="160">
        <f t="shared" si="107"/>
        <v>1</v>
      </c>
    </row>
    <row r="1922" spans="2:10" x14ac:dyDescent="0.35">
      <c r="B1922" s="160">
        <f t="shared" si="99"/>
        <v>55</v>
      </c>
      <c r="C1922" s="160">
        <f t="shared" si="100"/>
        <v>24</v>
      </c>
      <c r="D1922" s="160">
        <f t="shared" si="101"/>
        <v>2</v>
      </c>
      <c r="E1922" s="160">
        <f t="shared" si="102"/>
        <v>8</v>
      </c>
      <c r="F1922" s="160">
        <f t="shared" si="103"/>
        <v>48</v>
      </c>
      <c r="G1922" s="160">
        <f t="shared" si="104"/>
        <v>4</v>
      </c>
      <c r="H1922" s="160">
        <f t="shared" si="105"/>
        <v>23</v>
      </c>
      <c r="I1922" s="160">
        <f t="shared" si="106"/>
        <v>7</v>
      </c>
      <c r="J1922" s="160">
        <f t="shared" si="107"/>
        <v>1</v>
      </c>
    </row>
    <row r="1923" spans="2:10" x14ac:dyDescent="0.35">
      <c r="B1923" s="160">
        <f t="shared" si="99"/>
        <v>55</v>
      </c>
      <c r="C1923" s="160">
        <f t="shared" si="100"/>
        <v>24</v>
      </c>
      <c r="D1923" s="160">
        <f t="shared" si="101"/>
        <v>2</v>
      </c>
      <c r="E1923" s="160">
        <f t="shared" si="102"/>
        <v>8</v>
      </c>
      <c r="F1923" s="160">
        <f t="shared" si="103"/>
        <v>48</v>
      </c>
      <c r="G1923" s="160">
        <f t="shared" si="104"/>
        <v>1</v>
      </c>
      <c r="H1923" s="160">
        <f t="shared" si="105"/>
        <v>23</v>
      </c>
      <c r="I1923" s="160">
        <f t="shared" si="106"/>
        <v>7</v>
      </c>
      <c r="J1923" s="160">
        <f t="shared" si="107"/>
        <v>1</v>
      </c>
    </row>
    <row r="1924" spans="2:10" x14ac:dyDescent="0.35">
      <c r="B1924" s="160">
        <f t="shared" si="99"/>
        <v>56</v>
      </c>
      <c r="C1924" s="160">
        <f t="shared" si="100"/>
        <v>20</v>
      </c>
      <c r="D1924" s="160">
        <f t="shared" si="101"/>
        <v>3</v>
      </c>
      <c r="E1924" s="160">
        <f t="shared" si="102"/>
        <v>15</v>
      </c>
      <c r="F1924" s="160">
        <f t="shared" si="103"/>
        <v>48</v>
      </c>
      <c r="G1924" s="160">
        <f t="shared" si="104"/>
        <v>2</v>
      </c>
      <c r="H1924" s="160">
        <f t="shared" si="105"/>
        <v>10</v>
      </c>
      <c r="I1924" s="160">
        <f t="shared" si="106"/>
        <v>31</v>
      </c>
      <c r="J1924" s="160">
        <f t="shared" si="107"/>
        <v>1</v>
      </c>
    </row>
    <row r="1925" spans="2:10" x14ac:dyDescent="0.35">
      <c r="B1925" s="160">
        <f t="shared" si="99"/>
        <v>56</v>
      </c>
      <c r="C1925" s="160">
        <f t="shared" si="100"/>
        <v>20</v>
      </c>
      <c r="D1925" s="160">
        <f t="shared" si="101"/>
        <v>3</v>
      </c>
      <c r="E1925" s="160">
        <f t="shared" si="102"/>
        <v>15</v>
      </c>
      <c r="F1925" s="160">
        <f t="shared" si="103"/>
        <v>48</v>
      </c>
      <c r="G1925" s="160">
        <f t="shared" si="104"/>
        <v>4</v>
      </c>
      <c r="H1925" s="160">
        <f t="shared" si="105"/>
        <v>1</v>
      </c>
      <c r="I1925" s="160">
        <f t="shared" si="106"/>
        <v>38</v>
      </c>
      <c r="J1925" s="160">
        <f t="shared" si="107"/>
        <v>1</v>
      </c>
    </row>
    <row r="1926" spans="2:10" x14ac:dyDescent="0.35">
      <c r="B1926" s="160">
        <f t="shared" si="99"/>
        <v>56</v>
      </c>
      <c r="C1926" s="160">
        <f t="shared" si="100"/>
        <v>20</v>
      </c>
      <c r="D1926" s="160">
        <f t="shared" si="101"/>
        <v>3</v>
      </c>
      <c r="E1926" s="160">
        <f t="shared" si="102"/>
        <v>15</v>
      </c>
      <c r="F1926" s="160">
        <f t="shared" si="103"/>
        <v>52</v>
      </c>
      <c r="G1926" s="160">
        <f t="shared" si="104"/>
        <v>2</v>
      </c>
      <c r="H1926" s="160">
        <f t="shared" si="105"/>
        <v>17</v>
      </c>
      <c r="I1926" s="160">
        <f t="shared" si="106"/>
        <v>11</v>
      </c>
      <c r="J1926" s="160">
        <f t="shared" si="107"/>
        <v>1</v>
      </c>
    </row>
    <row r="1927" spans="2:10" x14ac:dyDescent="0.35">
      <c r="B1927" s="160">
        <f t="shared" si="99"/>
        <v>56</v>
      </c>
      <c r="C1927" s="160">
        <f t="shared" si="100"/>
        <v>20</v>
      </c>
      <c r="D1927" s="160">
        <f t="shared" si="101"/>
        <v>3</v>
      </c>
      <c r="E1927" s="160">
        <f t="shared" si="102"/>
        <v>15</v>
      </c>
      <c r="F1927" s="160">
        <f t="shared" si="103"/>
        <v>52</v>
      </c>
      <c r="G1927" s="160">
        <f t="shared" si="104"/>
        <v>4</v>
      </c>
      <c r="H1927" s="160">
        <f t="shared" si="105"/>
        <v>10</v>
      </c>
      <c r="I1927" s="160">
        <f t="shared" si="106"/>
        <v>37</v>
      </c>
      <c r="J1927" s="160">
        <f t="shared" si="107"/>
        <v>1</v>
      </c>
    </row>
    <row r="1928" spans="2:10" x14ac:dyDescent="0.35">
      <c r="B1928" s="160">
        <f t="shared" si="99"/>
        <v>56</v>
      </c>
      <c r="C1928" s="160">
        <f t="shared" si="100"/>
        <v>53</v>
      </c>
      <c r="D1928" s="160">
        <f t="shared" si="101"/>
        <v>3</v>
      </c>
      <c r="E1928" s="160">
        <f t="shared" si="102"/>
        <v>4</v>
      </c>
      <c r="F1928" s="160">
        <f t="shared" si="103"/>
        <v>42</v>
      </c>
      <c r="G1928" s="160">
        <f t="shared" si="104"/>
        <v>1</v>
      </c>
      <c r="H1928" s="160">
        <f t="shared" si="105"/>
        <v>20</v>
      </c>
      <c r="I1928" s="160">
        <f t="shared" si="106"/>
        <v>24</v>
      </c>
      <c r="J1928" s="160">
        <f t="shared" si="107"/>
        <v>1</v>
      </c>
    </row>
    <row r="1929" spans="2:10" x14ac:dyDescent="0.35">
      <c r="B1929" s="160">
        <f t="shared" si="99"/>
        <v>56</v>
      </c>
      <c r="C1929" s="160">
        <f t="shared" si="100"/>
        <v>53</v>
      </c>
      <c r="D1929" s="160">
        <f t="shared" si="101"/>
        <v>3</v>
      </c>
      <c r="E1929" s="160">
        <f t="shared" si="102"/>
        <v>4</v>
      </c>
      <c r="F1929" s="160">
        <f t="shared" si="103"/>
        <v>42</v>
      </c>
      <c r="G1929" s="160">
        <f t="shared" si="104"/>
        <v>5</v>
      </c>
      <c r="H1929" s="160">
        <f t="shared" si="105"/>
        <v>2</v>
      </c>
      <c r="I1929" s="160">
        <f t="shared" si="106"/>
        <v>47</v>
      </c>
      <c r="J1929" s="160">
        <f t="shared" si="107"/>
        <v>1</v>
      </c>
    </row>
    <row r="1930" spans="2:10" x14ac:dyDescent="0.35">
      <c r="B1930" s="160">
        <f t="shared" si="99"/>
        <v>56</v>
      </c>
      <c r="C1930" s="160">
        <f t="shared" si="100"/>
        <v>53</v>
      </c>
      <c r="D1930" s="160">
        <f t="shared" si="101"/>
        <v>3</v>
      </c>
      <c r="E1930" s="160">
        <f t="shared" si="102"/>
        <v>15</v>
      </c>
      <c r="F1930" s="160">
        <f t="shared" si="103"/>
        <v>42</v>
      </c>
      <c r="G1930" s="160">
        <f t="shared" si="104"/>
        <v>1</v>
      </c>
      <c r="H1930" s="160">
        <f t="shared" si="105"/>
        <v>11</v>
      </c>
      <c r="I1930" s="160">
        <f t="shared" si="106"/>
        <v>48</v>
      </c>
      <c r="J1930" s="160">
        <f t="shared" si="107"/>
        <v>1</v>
      </c>
    </row>
    <row r="1931" spans="2:10" x14ac:dyDescent="0.35">
      <c r="B1931" s="160">
        <f t="shared" si="99"/>
        <v>56</v>
      </c>
      <c r="C1931" s="160">
        <f t="shared" si="100"/>
        <v>53</v>
      </c>
      <c r="D1931" s="160">
        <f t="shared" si="101"/>
        <v>3</v>
      </c>
      <c r="E1931" s="160">
        <f t="shared" si="102"/>
        <v>15</v>
      </c>
      <c r="F1931" s="160">
        <f t="shared" si="103"/>
        <v>42</v>
      </c>
      <c r="G1931" s="160">
        <f t="shared" si="104"/>
        <v>5</v>
      </c>
      <c r="H1931" s="160">
        <f t="shared" si="105"/>
        <v>20</v>
      </c>
      <c r="I1931" s="160">
        <f t="shared" si="106"/>
        <v>28</v>
      </c>
      <c r="J1931" s="160">
        <f t="shared" si="107"/>
        <v>1</v>
      </c>
    </row>
    <row r="1932" spans="2:10" x14ac:dyDescent="0.35">
      <c r="B1932" s="160">
        <f t="shared" si="99"/>
        <v>56</v>
      </c>
      <c r="C1932" s="160">
        <f t="shared" si="100"/>
        <v>89</v>
      </c>
      <c r="D1932" s="160">
        <f t="shared" si="101"/>
        <v>3</v>
      </c>
      <c r="E1932" s="160">
        <f t="shared" si="102"/>
        <v>4</v>
      </c>
      <c r="F1932" s="160">
        <f t="shared" si="103"/>
        <v>42</v>
      </c>
      <c r="G1932" s="160">
        <f t="shared" si="104"/>
        <v>1</v>
      </c>
      <c r="H1932" s="160">
        <f t="shared" si="105"/>
        <v>1</v>
      </c>
      <c r="I1932" s="160">
        <f t="shared" si="106"/>
        <v>47</v>
      </c>
      <c r="J1932" s="160">
        <f t="shared" si="107"/>
        <v>1</v>
      </c>
    </row>
    <row r="1933" spans="2:10" x14ac:dyDescent="0.35">
      <c r="B1933" s="160">
        <f t="shared" si="99"/>
        <v>56</v>
      </c>
      <c r="C1933" s="160">
        <f t="shared" si="100"/>
        <v>89</v>
      </c>
      <c r="D1933" s="160">
        <f t="shared" si="101"/>
        <v>3</v>
      </c>
      <c r="E1933" s="160">
        <f t="shared" si="102"/>
        <v>4</v>
      </c>
      <c r="F1933" s="160">
        <f t="shared" si="103"/>
        <v>42</v>
      </c>
      <c r="G1933" s="160">
        <f t="shared" si="104"/>
        <v>4</v>
      </c>
      <c r="H1933" s="160">
        <f t="shared" si="105"/>
        <v>19</v>
      </c>
      <c r="I1933" s="160">
        <f t="shared" si="106"/>
        <v>52</v>
      </c>
      <c r="J1933" s="160">
        <f t="shared" si="107"/>
        <v>1</v>
      </c>
    </row>
    <row r="1934" spans="2:10" x14ac:dyDescent="0.35">
      <c r="B1934" s="160">
        <f t="shared" si="99"/>
        <v>56</v>
      </c>
      <c r="C1934" s="160">
        <f t="shared" si="100"/>
        <v>22</v>
      </c>
      <c r="D1934" s="160">
        <f t="shared" si="101"/>
        <v>4</v>
      </c>
      <c r="E1934" s="160">
        <f t="shared" si="102"/>
        <v>15</v>
      </c>
      <c r="F1934" s="160">
        <f t="shared" si="103"/>
        <v>5</v>
      </c>
      <c r="G1934" s="160">
        <f t="shared" si="104"/>
        <v>2</v>
      </c>
      <c r="H1934" s="160">
        <f t="shared" si="105"/>
        <v>24</v>
      </c>
      <c r="I1934" s="160">
        <f t="shared" si="106"/>
        <v>39</v>
      </c>
      <c r="J1934" s="160">
        <f t="shared" si="107"/>
        <v>3</v>
      </c>
    </row>
    <row r="1935" spans="2:10" x14ac:dyDescent="0.35">
      <c r="B1935" s="160">
        <f t="shared" si="99"/>
        <v>57</v>
      </c>
      <c r="C1935" s="160">
        <f t="shared" si="100"/>
        <v>24</v>
      </c>
      <c r="D1935" s="160">
        <f t="shared" si="101"/>
        <v>2</v>
      </c>
      <c r="E1935" s="160">
        <f t="shared" si="102"/>
        <v>15</v>
      </c>
      <c r="F1935" s="160">
        <f t="shared" si="103"/>
        <v>48</v>
      </c>
      <c r="G1935" s="160">
        <f t="shared" si="104"/>
        <v>3</v>
      </c>
      <c r="H1935" s="160">
        <f t="shared" si="105"/>
        <v>23</v>
      </c>
      <c r="I1935" s="160">
        <f t="shared" si="106"/>
        <v>7</v>
      </c>
      <c r="J1935" s="160">
        <f t="shared" si="107"/>
        <v>2</v>
      </c>
    </row>
    <row r="1936" spans="2:10" x14ac:dyDescent="0.35">
      <c r="B1936" s="160">
        <f t="shared" si="99"/>
        <v>57</v>
      </c>
      <c r="C1936" s="160">
        <f t="shared" si="100"/>
        <v>24</v>
      </c>
      <c r="D1936" s="160">
        <f t="shared" si="101"/>
        <v>2</v>
      </c>
      <c r="E1936" s="160">
        <f t="shared" si="102"/>
        <v>15</v>
      </c>
      <c r="F1936" s="160">
        <f t="shared" si="103"/>
        <v>48</v>
      </c>
      <c r="G1936" s="160">
        <f t="shared" si="104"/>
        <v>5</v>
      </c>
      <c r="H1936" s="160">
        <f t="shared" si="105"/>
        <v>23</v>
      </c>
      <c r="I1936" s="160">
        <f t="shared" si="106"/>
        <v>7</v>
      </c>
      <c r="J1936" s="160">
        <f t="shared" si="107"/>
        <v>2</v>
      </c>
    </row>
    <row r="1937" spans="2:10" x14ac:dyDescent="0.35">
      <c r="B1937" s="160">
        <f t="shared" si="99"/>
        <v>57</v>
      </c>
      <c r="C1937" s="160">
        <f t="shared" si="100"/>
        <v>24</v>
      </c>
      <c r="D1937" s="160">
        <f t="shared" si="101"/>
        <v>2</v>
      </c>
      <c r="E1937" s="160">
        <f t="shared" si="102"/>
        <v>15</v>
      </c>
      <c r="F1937" s="160">
        <f t="shared" si="103"/>
        <v>49</v>
      </c>
      <c r="G1937" s="160">
        <f t="shared" si="104"/>
        <v>2</v>
      </c>
      <c r="H1937" s="160">
        <f t="shared" si="105"/>
        <v>23</v>
      </c>
      <c r="I1937" s="160">
        <f t="shared" si="106"/>
        <v>7</v>
      </c>
      <c r="J1937" s="160">
        <f t="shared" si="107"/>
        <v>2</v>
      </c>
    </row>
    <row r="1938" spans="2:10" x14ac:dyDescent="0.35">
      <c r="B1938" s="160">
        <f t="shared" si="99"/>
        <v>57</v>
      </c>
      <c r="C1938" s="160">
        <f t="shared" si="100"/>
        <v>24</v>
      </c>
      <c r="D1938" s="160">
        <f t="shared" si="101"/>
        <v>2</v>
      </c>
      <c r="E1938" s="160">
        <f t="shared" si="102"/>
        <v>15</v>
      </c>
      <c r="F1938" s="160">
        <f t="shared" si="103"/>
        <v>49</v>
      </c>
      <c r="G1938" s="160">
        <f t="shared" si="104"/>
        <v>4</v>
      </c>
      <c r="H1938" s="160">
        <f t="shared" si="105"/>
        <v>23</v>
      </c>
      <c r="I1938" s="160">
        <f t="shared" si="106"/>
        <v>7</v>
      </c>
      <c r="J1938" s="160">
        <f t="shared" si="107"/>
        <v>2</v>
      </c>
    </row>
    <row r="1939" spans="2:10" x14ac:dyDescent="0.35">
      <c r="B1939" s="160">
        <f t="shared" si="99"/>
        <v>57</v>
      </c>
      <c r="C1939" s="160">
        <f t="shared" si="100"/>
        <v>24</v>
      </c>
      <c r="D1939" s="160">
        <f t="shared" si="101"/>
        <v>2</v>
      </c>
      <c r="E1939" s="160">
        <f t="shared" si="102"/>
        <v>15</v>
      </c>
      <c r="F1939" s="160">
        <f t="shared" si="103"/>
        <v>50</v>
      </c>
      <c r="G1939" s="160">
        <f t="shared" si="104"/>
        <v>3</v>
      </c>
      <c r="H1939" s="160">
        <f t="shared" si="105"/>
        <v>1</v>
      </c>
      <c r="I1939" s="160">
        <f t="shared" si="106"/>
        <v>7</v>
      </c>
      <c r="J1939" s="160">
        <f t="shared" si="107"/>
        <v>2</v>
      </c>
    </row>
    <row r="1940" spans="2:10" x14ac:dyDescent="0.35">
      <c r="B1940" s="160">
        <f t="shared" si="99"/>
        <v>57</v>
      </c>
      <c r="C1940" s="160">
        <f t="shared" si="100"/>
        <v>24</v>
      </c>
      <c r="D1940" s="160">
        <f t="shared" si="101"/>
        <v>2</v>
      </c>
      <c r="E1940" s="160">
        <f t="shared" si="102"/>
        <v>15</v>
      </c>
      <c r="F1940" s="160">
        <f t="shared" si="103"/>
        <v>50</v>
      </c>
      <c r="G1940" s="160">
        <f t="shared" si="104"/>
        <v>5</v>
      </c>
      <c r="H1940" s="160">
        <f t="shared" si="105"/>
        <v>10</v>
      </c>
      <c r="I1940" s="160">
        <f t="shared" si="106"/>
        <v>7</v>
      </c>
      <c r="J1940" s="160">
        <f t="shared" si="107"/>
        <v>2</v>
      </c>
    </row>
    <row r="1941" spans="2:10" x14ac:dyDescent="0.35">
      <c r="B1941" s="160">
        <f t="shared" si="99"/>
        <v>57</v>
      </c>
      <c r="C1941" s="160">
        <f t="shared" si="100"/>
        <v>25</v>
      </c>
      <c r="D1941" s="160">
        <f t="shared" si="101"/>
        <v>2</v>
      </c>
      <c r="E1941" s="160">
        <f t="shared" si="102"/>
        <v>15</v>
      </c>
      <c r="F1941" s="160">
        <f t="shared" si="103"/>
        <v>51</v>
      </c>
      <c r="G1941" s="160">
        <f t="shared" si="104"/>
        <v>1</v>
      </c>
      <c r="H1941" s="160">
        <f t="shared" si="105"/>
        <v>23</v>
      </c>
      <c r="I1941" s="160">
        <f t="shared" si="106"/>
        <v>56</v>
      </c>
      <c r="J1941" s="160">
        <f t="shared" si="107"/>
        <v>2</v>
      </c>
    </row>
    <row r="1942" spans="2:10" x14ac:dyDescent="0.35">
      <c r="B1942" s="160">
        <f t="shared" si="99"/>
        <v>57</v>
      </c>
      <c r="C1942" s="160">
        <f t="shared" si="100"/>
        <v>25</v>
      </c>
      <c r="D1942" s="160">
        <f t="shared" si="101"/>
        <v>2</v>
      </c>
      <c r="E1942" s="160">
        <f t="shared" si="102"/>
        <v>15</v>
      </c>
      <c r="F1942" s="160">
        <f t="shared" si="103"/>
        <v>51</v>
      </c>
      <c r="G1942" s="160">
        <f t="shared" si="104"/>
        <v>3</v>
      </c>
      <c r="H1942" s="160">
        <f t="shared" si="105"/>
        <v>23</v>
      </c>
      <c r="I1942" s="160">
        <f t="shared" si="106"/>
        <v>41</v>
      </c>
      <c r="J1942" s="160">
        <f t="shared" si="107"/>
        <v>2</v>
      </c>
    </row>
    <row r="1943" spans="2:10" x14ac:dyDescent="0.35">
      <c r="B1943" s="160">
        <f t="shared" si="99"/>
        <v>57</v>
      </c>
      <c r="C1943" s="160">
        <f t="shared" si="100"/>
        <v>25</v>
      </c>
      <c r="D1943" s="160">
        <f t="shared" si="101"/>
        <v>2</v>
      </c>
      <c r="E1943" s="160">
        <f t="shared" si="102"/>
        <v>15</v>
      </c>
      <c r="F1943" s="160">
        <f t="shared" si="103"/>
        <v>52</v>
      </c>
      <c r="G1943" s="160">
        <f t="shared" si="104"/>
        <v>2</v>
      </c>
      <c r="H1943" s="160">
        <f t="shared" si="105"/>
        <v>19</v>
      </c>
      <c r="I1943" s="160">
        <f t="shared" si="106"/>
        <v>101</v>
      </c>
      <c r="J1943" s="160">
        <f t="shared" si="107"/>
        <v>2</v>
      </c>
    </row>
    <row r="1944" spans="2:10" x14ac:dyDescent="0.35">
      <c r="B1944" s="160">
        <f t="shared" si="99"/>
        <v>57</v>
      </c>
      <c r="C1944" s="160">
        <f t="shared" si="100"/>
        <v>25</v>
      </c>
      <c r="D1944" s="160">
        <f t="shared" si="101"/>
        <v>2</v>
      </c>
      <c r="E1944" s="160">
        <f t="shared" si="102"/>
        <v>15</v>
      </c>
      <c r="F1944" s="160">
        <f t="shared" si="103"/>
        <v>52</v>
      </c>
      <c r="G1944" s="160">
        <f t="shared" si="104"/>
        <v>5</v>
      </c>
      <c r="H1944" s="160">
        <f t="shared" si="105"/>
        <v>1</v>
      </c>
      <c r="I1944" s="160">
        <f t="shared" si="106"/>
        <v>23</v>
      </c>
      <c r="J1944" s="160">
        <f t="shared" si="107"/>
        <v>2</v>
      </c>
    </row>
    <row r="1945" spans="2:10" x14ac:dyDescent="0.35">
      <c r="B1945" s="160">
        <f t="shared" ref="B1945:B2008" si="108">INDEX($A$2:$A$85,MATCH(I830,$B$2:$B$85,0))</f>
        <v>57</v>
      </c>
      <c r="C1945" s="160">
        <f t="shared" ref="C1945:C2008" si="109">INDEX($D$2:$D$117,MATCH(J830,$E$2:$E$117,0))</f>
        <v>25</v>
      </c>
      <c r="D1945" s="160">
        <f t="shared" ref="D1945:D2008" si="110">INDEX($P$2:$P$5,MATCH(K830,$Q$2:$Q$5,0))</f>
        <v>2</v>
      </c>
      <c r="E1945" s="160">
        <f t="shared" ref="E1945:E2008" si="111">INDEX($G$2:$G$19,MATCH(L830,$H$2:$H$19,0))</f>
        <v>15</v>
      </c>
      <c r="F1945" s="160">
        <f t="shared" ref="F1945:F2008" si="112">INDEX($J$2:$J$55,MATCH(M830,$K$2:$K$55,0))</f>
        <v>53</v>
      </c>
      <c r="G1945" s="160">
        <f t="shared" ref="G1945:G2008" si="113">INDEX($M$2:$M$6,MATCH(N830,$N$2:$N$6,0))</f>
        <v>1</v>
      </c>
      <c r="H1945" s="160">
        <f t="shared" ref="H1945:H2008" si="114">INDEX($S$2:$S$26,MATCH(O830,$T$2:$T$26,0))</f>
        <v>1</v>
      </c>
      <c r="I1945" s="160">
        <f t="shared" ref="I1945:I2008" si="115">INDEX($V$2:$V$108,MATCH(P830,$W$2:$W$108,0))</f>
        <v>31</v>
      </c>
      <c r="J1945" s="160">
        <f t="shared" ref="J1945:J2008" si="116">INDEX($Y$2:$Y$4,MATCH(Q830,$Z$2:$Z$4,0))</f>
        <v>1</v>
      </c>
    </row>
    <row r="1946" spans="2:10" x14ac:dyDescent="0.35">
      <c r="B1946" s="160">
        <f t="shared" si="108"/>
        <v>57</v>
      </c>
      <c r="C1946" s="160">
        <f t="shared" si="109"/>
        <v>25</v>
      </c>
      <c r="D1946" s="160">
        <f t="shared" si="110"/>
        <v>2</v>
      </c>
      <c r="E1946" s="160">
        <f t="shared" si="111"/>
        <v>15</v>
      </c>
      <c r="F1946" s="160">
        <f t="shared" si="112"/>
        <v>53</v>
      </c>
      <c r="G1946" s="160">
        <f t="shared" si="113"/>
        <v>5</v>
      </c>
      <c r="H1946" s="160">
        <f t="shared" si="114"/>
        <v>19</v>
      </c>
      <c r="I1946" s="160">
        <f t="shared" si="115"/>
        <v>27</v>
      </c>
      <c r="J1946" s="160">
        <f t="shared" si="116"/>
        <v>1</v>
      </c>
    </row>
    <row r="1947" spans="2:10" x14ac:dyDescent="0.35">
      <c r="B1947" s="160">
        <f t="shared" si="108"/>
        <v>57</v>
      </c>
      <c r="C1947" s="160">
        <f t="shared" si="109"/>
        <v>17</v>
      </c>
      <c r="D1947" s="160">
        <f t="shared" si="110"/>
        <v>4</v>
      </c>
      <c r="E1947" s="160">
        <f t="shared" si="111"/>
        <v>15</v>
      </c>
      <c r="F1947" s="160">
        <f t="shared" si="112"/>
        <v>51</v>
      </c>
      <c r="G1947" s="160">
        <f t="shared" si="113"/>
        <v>1</v>
      </c>
      <c r="H1947" s="160">
        <f t="shared" si="114"/>
        <v>11</v>
      </c>
      <c r="I1947" s="160">
        <f t="shared" si="115"/>
        <v>56</v>
      </c>
      <c r="J1947" s="160">
        <f t="shared" si="116"/>
        <v>2</v>
      </c>
    </row>
    <row r="1948" spans="2:10" x14ac:dyDescent="0.35">
      <c r="B1948" s="160">
        <f t="shared" si="108"/>
        <v>57</v>
      </c>
      <c r="C1948" s="160">
        <f t="shared" si="109"/>
        <v>17</v>
      </c>
      <c r="D1948" s="160">
        <f t="shared" si="110"/>
        <v>4</v>
      </c>
      <c r="E1948" s="160">
        <f t="shared" si="111"/>
        <v>15</v>
      </c>
      <c r="F1948" s="160">
        <f t="shared" si="112"/>
        <v>51</v>
      </c>
      <c r="G1948" s="160">
        <f t="shared" si="113"/>
        <v>5</v>
      </c>
      <c r="H1948" s="160">
        <f t="shared" si="114"/>
        <v>20</v>
      </c>
      <c r="I1948" s="160">
        <f t="shared" si="115"/>
        <v>47</v>
      </c>
      <c r="J1948" s="160">
        <f t="shared" si="116"/>
        <v>2</v>
      </c>
    </row>
    <row r="1949" spans="2:10" x14ac:dyDescent="0.35">
      <c r="B1949" s="160">
        <f t="shared" si="108"/>
        <v>57</v>
      </c>
      <c r="C1949" s="160">
        <f t="shared" si="109"/>
        <v>46</v>
      </c>
      <c r="D1949" s="160">
        <f t="shared" si="110"/>
        <v>4</v>
      </c>
      <c r="E1949" s="160">
        <f t="shared" si="111"/>
        <v>15</v>
      </c>
      <c r="F1949" s="160">
        <f t="shared" si="112"/>
        <v>20</v>
      </c>
      <c r="G1949" s="160">
        <f t="shared" si="113"/>
        <v>5</v>
      </c>
      <c r="H1949" s="160">
        <f t="shared" si="114"/>
        <v>25</v>
      </c>
      <c r="I1949" s="160">
        <f t="shared" si="115"/>
        <v>45</v>
      </c>
      <c r="J1949" s="160">
        <f t="shared" si="116"/>
        <v>3</v>
      </c>
    </row>
    <row r="1950" spans="2:10" x14ac:dyDescent="0.35">
      <c r="B1950" s="160">
        <f t="shared" si="108"/>
        <v>58</v>
      </c>
      <c r="C1950" s="160">
        <f t="shared" si="109"/>
        <v>98</v>
      </c>
      <c r="D1950" s="160">
        <f t="shared" si="110"/>
        <v>4</v>
      </c>
      <c r="E1950" s="160">
        <f t="shared" si="111"/>
        <v>18</v>
      </c>
      <c r="F1950" s="160">
        <f t="shared" si="112"/>
        <v>26</v>
      </c>
      <c r="G1950" s="160">
        <f t="shared" si="113"/>
        <v>2</v>
      </c>
      <c r="H1950" s="160">
        <f t="shared" si="114"/>
        <v>18</v>
      </c>
      <c r="I1950" s="160">
        <f t="shared" si="115"/>
        <v>33</v>
      </c>
      <c r="J1950" s="160">
        <f t="shared" si="116"/>
        <v>1</v>
      </c>
    </row>
    <row r="1951" spans="2:10" x14ac:dyDescent="0.35">
      <c r="B1951" s="160">
        <f t="shared" si="108"/>
        <v>58</v>
      </c>
      <c r="C1951" s="160">
        <f t="shared" si="109"/>
        <v>98</v>
      </c>
      <c r="D1951" s="160">
        <f t="shared" si="110"/>
        <v>4</v>
      </c>
      <c r="E1951" s="160">
        <f t="shared" si="111"/>
        <v>15</v>
      </c>
      <c r="F1951" s="160">
        <f t="shared" si="112"/>
        <v>26</v>
      </c>
      <c r="G1951" s="160">
        <f t="shared" si="113"/>
        <v>4</v>
      </c>
      <c r="H1951" s="160">
        <f t="shared" si="114"/>
        <v>11</v>
      </c>
      <c r="I1951" s="160">
        <f t="shared" si="115"/>
        <v>20</v>
      </c>
      <c r="J1951" s="160">
        <f t="shared" si="116"/>
        <v>1</v>
      </c>
    </row>
    <row r="1952" spans="2:10" x14ac:dyDescent="0.35">
      <c r="B1952" s="160">
        <f t="shared" si="108"/>
        <v>58</v>
      </c>
      <c r="C1952" s="160">
        <f t="shared" si="109"/>
        <v>17</v>
      </c>
      <c r="D1952" s="160">
        <f t="shared" si="110"/>
        <v>4</v>
      </c>
      <c r="E1952" s="160">
        <f t="shared" si="111"/>
        <v>18</v>
      </c>
      <c r="F1952" s="160">
        <f t="shared" si="112"/>
        <v>49</v>
      </c>
      <c r="G1952" s="160">
        <f t="shared" si="113"/>
        <v>2</v>
      </c>
      <c r="H1952" s="160">
        <f t="shared" si="114"/>
        <v>20</v>
      </c>
      <c r="I1952" s="160">
        <f t="shared" si="115"/>
        <v>59</v>
      </c>
      <c r="J1952" s="160">
        <f t="shared" si="116"/>
        <v>2</v>
      </c>
    </row>
    <row r="1953" spans="2:10" x14ac:dyDescent="0.35">
      <c r="B1953" s="160">
        <f t="shared" si="108"/>
        <v>58</v>
      </c>
      <c r="C1953" s="160">
        <f t="shared" si="109"/>
        <v>17</v>
      </c>
      <c r="D1953" s="160">
        <f t="shared" si="110"/>
        <v>4</v>
      </c>
      <c r="E1953" s="160">
        <f t="shared" si="111"/>
        <v>15</v>
      </c>
      <c r="F1953" s="160">
        <f t="shared" si="112"/>
        <v>49</v>
      </c>
      <c r="G1953" s="160">
        <f t="shared" si="113"/>
        <v>5</v>
      </c>
      <c r="H1953" s="160">
        <f t="shared" si="114"/>
        <v>8</v>
      </c>
      <c r="I1953" s="160">
        <f t="shared" si="115"/>
        <v>24</v>
      </c>
      <c r="J1953" s="160">
        <f t="shared" si="116"/>
        <v>2</v>
      </c>
    </row>
    <row r="1954" spans="2:10" x14ac:dyDescent="0.35">
      <c r="B1954" s="160">
        <f t="shared" si="108"/>
        <v>58</v>
      </c>
      <c r="C1954" s="160">
        <f t="shared" si="109"/>
        <v>99</v>
      </c>
      <c r="D1954" s="160">
        <f t="shared" si="110"/>
        <v>4</v>
      </c>
      <c r="E1954" s="160">
        <f t="shared" si="111"/>
        <v>18</v>
      </c>
      <c r="F1954" s="160">
        <f t="shared" si="112"/>
        <v>25</v>
      </c>
      <c r="G1954" s="160">
        <f t="shared" si="113"/>
        <v>3</v>
      </c>
      <c r="H1954" s="160">
        <f t="shared" si="114"/>
        <v>2</v>
      </c>
      <c r="I1954" s="160">
        <f t="shared" si="115"/>
        <v>19</v>
      </c>
      <c r="J1954" s="160">
        <f t="shared" si="116"/>
        <v>2</v>
      </c>
    </row>
    <row r="1955" spans="2:10" x14ac:dyDescent="0.35">
      <c r="B1955" s="160">
        <f t="shared" si="108"/>
        <v>58</v>
      </c>
      <c r="C1955" s="160">
        <f t="shared" si="109"/>
        <v>99</v>
      </c>
      <c r="D1955" s="160">
        <f t="shared" si="110"/>
        <v>4</v>
      </c>
      <c r="E1955" s="160">
        <f t="shared" si="111"/>
        <v>15</v>
      </c>
      <c r="F1955" s="160">
        <f t="shared" si="112"/>
        <v>25</v>
      </c>
      <c r="G1955" s="160">
        <f t="shared" si="113"/>
        <v>5</v>
      </c>
      <c r="H1955" s="160">
        <f t="shared" si="114"/>
        <v>20</v>
      </c>
      <c r="I1955" s="160">
        <f t="shared" si="115"/>
        <v>19</v>
      </c>
      <c r="J1955" s="160">
        <f t="shared" si="116"/>
        <v>2</v>
      </c>
    </row>
    <row r="1956" spans="2:10" x14ac:dyDescent="0.35">
      <c r="B1956" s="160">
        <f t="shared" si="108"/>
        <v>58</v>
      </c>
      <c r="C1956" s="160">
        <f t="shared" si="109"/>
        <v>103</v>
      </c>
      <c r="D1956" s="160">
        <f t="shared" si="110"/>
        <v>4</v>
      </c>
      <c r="E1956" s="160">
        <f t="shared" si="111"/>
        <v>10</v>
      </c>
      <c r="F1956" s="160">
        <f t="shared" si="112"/>
        <v>2</v>
      </c>
      <c r="G1956" s="160">
        <f t="shared" si="113"/>
        <v>2</v>
      </c>
      <c r="H1956" s="160">
        <f t="shared" si="114"/>
        <v>2</v>
      </c>
      <c r="I1956" s="160">
        <f t="shared" si="115"/>
        <v>55</v>
      </c>
      <c r="J1956" s="160">
        <f t="shared" si="116"/>
        <v>2</v>
      </c>
    </row>
    <row r="1957" spans="2:10" x14ac:dyDescent="0.35">
      <c r="B1957" s="160">
        <f t="shared" si="108"/>
        <v>58</v>
      </c>
      <c r="C1957" s="160">
        <f t="shared" si="109"/>
        <v>103</v>
      </c>
      <c r="D1957" s="160">
        <f t="shared" si="110"/>
        <v>4</v>
      </c>
      <c r="E1957" s="160">
        <f t="shared" si="111"/>
        <v>10</v>
      </c>
      <c r="F1957" s="160">
        <f t="shared" si="112"/>
        <v>2</v>
      </c>
      <c r="G1957" s="160">
        <f t="shared" si="113"/>
        <v>4</v>
      </c>
      <c r="H1957" s="160">
        <f t="shared" si="114"/>
        <v>2</v>
      </c>
      <c r="I1957" s="160">
        <f t="shared" si="115"/>
        <v>55</v>
      </c>
      <c r="J1957" s="160">
        <f t="shared" si="116"/>
        <v>2</v>
      </c>
    </row>
    <row r="1958" spans="2:10" x14ac:dyDescent="0.35">
      <c r="B1958" s="160">
        <f t="shared" si="108"/>
        <v>59</v>
      </c>
      <c r="C1958" s="160">
        <f t="shared" si="109"/>
        <v>83</v>
      </c>
      <c r="D1958" s="160">
        <f t="shared" si="110"/>
        <v>2</v>
      </c>
      <c r="E1958" s="160">
        <f t="shared" si="111"/>
        <v>10</v>
      </c>
      <c r="F1958" s="160">
        <f t="shared" si="112"/>
        <v>42</v>
      </c>
      <c r="G1958" s="160">
        <f t="shared" si="113"/>
        <v>1</v>
      </c>
      <c r="H1958" s="160">
        <f t="shared" si="114"/>
        <v>11</v>
      </c>
      <c r="I1958" s="160">
        <f t="shared" si="115"/>
        <v>30</v>
      </c>
      <c r="J1958" s="160">
        <f t="shared" si="116"/>
        <v>1</v>
      </c>
    </row>
    <row r="1959" spans="2:10" x14ac:dyDescent="0.35">
      <c r="B1959" s="160">
        <f t="shared" si="108"/>
        <v>59</v>
      </c>
      <c r="C1959" s="160">
        <f t="shared" si="109"/>
        <v>83</v>
      </c>
      <c r="D1959" s="160">
        <f t="shared" si="110"/>
        <v>2</v>
      </c>
      <c r="E1959" s="160">
        <f t="shared" si="111"/>
        <v>10</v>
      </c>
      <c r="F1959" s="160">
        <f t="shared" si="112"/>
        <v>42</v>
      </c>
      <c r="G1959" s="160">
        <f t="shared" si="113"/>
        <v>3</v>
      </c>
      <c r="H1959" s="160">
        <f t="shared" si="114"/>
        <v>18</v>
      </c>
      <c r="I1959" s="160">
        <f t="shared" si="115"/>
        <v>35</v>
      </c>
      <c r="J1959" s="160">
        <f t="shared" si="116"/>
        <v>1</v>
      </c>
    </row>
    <row r="1960" spans="2:10" x14ac:dyDescent="0.35">
      <c r="B1960" s="160">
        <f t="shared" si="108"/>
        <v>59</v>
      </c>
      <c r="C1960" s="160">
        <f t="shared" si="109"/>
        <v>83</v>
      </c>
      <c r="D1960" s="160">
        <f t="shared" si="110"/>
        <v>2</v>
      </c>
      <c r="E1960" s="160">
        <f t="shared" si="111"/>
        <v>10</v>
      </c>
      <c r="F1960" s="160">
        <f t="shared" si="112"/>
        <v>43</v>
      </c>
      <c r="G1960" s="160">
        <f t="shared" si="113"/>
        <v>2</v>
      </c>
      <c r="H1960" s="160">
        <f t="shared" si="114"/>
        <v>11</v>
      </c>
      <c r="I1960" s="160">
        <f t="shared" si="115"/>
        <v>65</v>
      </c>
      <c r="J1960" s="160">
        <f t="shared" si="116"/>
        <v>1</v>
      </c>
    </row>
    <row r="1961" spans="2:10" x14ac:dyDescent="0.35">
      <c r="B1961" s="160">
        <f t="shared" si="108"/>
        <v>59</v>
      </c>
      <c r="C1961" s="160">
        <f t="shared" si="109"/>
        <v>83</v>
      </c>
      <c r="D1961" s="160">
        <f t="shared" si="110"/>
        <v>2</v>
      </c>
      <c r="E1961" s="160">
        <f t="shared" si="111"/>
        <v>10</v>
      </c>
      <c r="F1961" s="160">
        <f t="shared" si="112"/>
        <v>43</v>
      </c>
      <c r="G1961" s="160">
        <f t="shared" si="113"/>
        <v>3</v>
      </c>
      <c r="H1961" s="160">
        <f t="shared" si="114"/>
        <v>24</v>
      </c>
      <c r="I1961" s="160">
        <f t="shared" si="115"/>
        <v>31</v>
      </c>
      <c r="J1961" s="160">
        <f t="shared" si="116"/>
        <v>1</v>
      </c>
    </row>
    <row r="1962" spans="2:10" x14ac:dyDescent="0.35">
      <c r="B1962" s="160">
        <f t="shared" si="108"/>
        <v>59</v>
      </c>
      <c r="C1962" s="160">
        <f t="shared" si="109"/>
        <v>26</v>
      </c>
      <c r="D1962" s="160">
        <f t="shared" si="110"/>
        <v>2</v>
      </c>
      <c r="E1962" s="160">
        <f t="shared" si="111"/>
        <v>10</v>
      </c>
      <c r="F1962" s="160">
        <f t="shared" si="112"/>
        <v>43</v>
      </c>
      <c r="G1962" s="160">
        <f t="shared" si="113"/>
        <v>2</v>
      </c>
      <c r="H1962" s="160">
        <f t="shared" si="114"/>
        <v>20</v>
      </c>
      <c r="I1962" s="160">
        <f t="shared" si="115"/>
        <v>31</v>
      </c>
      <c r="J1962" s="160">
        <f t="shared" si="116"/>
        <v>1</v>
      </c>
    </row>
    <row r="1963" spans="2:10" x14ac:dyDescent="0.35">
      <c r="B1963" s="160">
        <f t="shared" si="108"/>
        <v>59</v>
      </c>
      <c r="C1963" s="160">
        <f t="shared" si="109"/>
        <v>26</v>
      </c>
      <c r="D1963" s="160">
        <f t="shared" si="110"/>
        <v>2</v>
      </c>
      <c r="E1963" s="160">
        <f t="shared" si="111"/>
        <v>10</v>
      </c>
      <c r="F1963" s="160">
        <f t="shared" si="112"/>
        <v>43</v>
      </c>
      <c r="G1963" s="160">
        <f t="shared" si="113"/>
        <v>5</v>
      </c>
      <c r="H1963" s="160">
        <f t="shared" si="114"/>
        <v>2</v>
      </c>
      <c r="I1963" s="160">
        <f t="shared" si="115"/>
        <v>31</v>
      </c>
      <c r="J1963" s="160">
        <f t="shared" si="116"/>
        <v>1</v>
      </c>
    </row>
    <row r="1964" spans="2:10" x14ac:dyDescent="0.35">
      <c r="B1964" s="160">
        <f t="shared" si="108"/>
        <v>59</v>
      </c>
      <c r="C1964" s="160">
        <f t="shared" si="109"/>
        <v>59</v>
      </c>
      <c r="D1964" s="160">
        <f t="shared" si="110"/>
        <v>2</v>
      </c>
      <c r="E1964" s="160">
        <f t="shared" si="111"/>
        <v>10</v>
      </c>
      <c r="F1964" s="160">
        <f t="shared" si="112"/>
        <v>26</v>
      </c>
      <c r="G1964" s="160">
        <f t="shared" si="113"/>
        <v>2</v>
      </c>
      <c r="H1964" s="160">
        <f t="shared" si="114"/>
        <v>11</v>
      </c>
      <c r="I1964" s="160">
        <f t="shared" si="115"/>
        <v>99</v>
      </c>
      <c r="J1964" s="160">
        <f t="shared" si="116"/>
        <v>2</v>
      </c>
    </row>
    <row r="1965" spans="2:10" x14ac:dyDescent="0.35">
      <c r="B1965" s="160">
        <f t="shared" si="108"/>
        <v>59</v>
      </c>
      <c r="C1965" s="160">
        <f t="shared" si="109"/>
        <v>59</v>
      </c>
      <c r="D1965" s="160">
        <f t="shared" si="110"/>
        <v>2</v>
      </c>
      <c r="E1965" s="160">
        <f t="shared" si="111"/>
        <v>10</v>
      </c>
      <c r="F1965" s="160">
        <f t="shared" si="112"/>
        <v>26</v>
      </c>
      <c r="G1965" s="160">
        <f t="shared" si="113"/>
        <v>4</v>
      </c>
      <c r="H1965" s="160">
        <f t="shared" si="114"/>
        <v>11</v>
      </c>
      <c r="I1965" s="160">
        <f t="shared" si="115"/>
        <v>57</v>
      </c>
      <c r="J1965" s="160">
        <f t="shared" si="116"/>
        <v>2</v>
      </c>
    </row>
    <row r="1966" spans="2:10" x14ac:dyDescent="0.35">
      <c r="B1966" s="160">
        <f t="shared" si="108"/>
        <v>59</v>
      </c>
      <c r="C1966" s="160">
        <f t="shared" si="109"/>
        <v>59</v>
      </c>
      <c r="D1966" s="160">
        <f t="shared" si="110"/>
        <v>2</v>
      </c>
      <c r="E1966" s="160">
        <f t="shared" si="111"/>
        <v>10</v>
      </c>
      <c r="F1966" s="160">
        <f t="shared" si="112"/>
        <v>27</v>
      </c>
      <c r="G1966" s="160">
        <f t="shared" si="113"/>
        <v>1</v>
      </c>
      <c r="H1966" s="160">
        <f t="shared" si="114"/>
        <v>20</v>
      </c>
      <c r="I1966" s="160">
        <f t="shared" si="115"/>
        <v>58</v>
      </c>
      <c r="J1966" s="160">
        <f t="shared" si="116"/>
        <v>1</v>
      </c>
    </row>
    <row r="1967" spans="2:10" x14ac:dyDescent="0.35">
      <c r="B1967" s="160">
        <f t="shared" si="108"/>
        <v>59</v>
      </c>
      <c r="C1967" s="160">
        <f t="shared" si="109"/>
        <v>59</v>
      </c>
      <c r="D1967" s="160">
        <f t="shared" si="110"/>
        <v>2</v>
      </c>
      <c r="E1967" s="160">
        <f t="shared" si="111"/>
        <v>10</v>
      </c>
      <c r="F1967" s="160">
        <f t="shared" si="112"/>
        <v>27</v>
      </c>
      <c r="G1967" s="160">
        <f t="shared" si="113"/>
        <v>4</v>
      </c>
      <c r="H1967" s="160">
        <f t="shared" si="114"/>
        <v>11</v>
      </c>
      <c r="I1967" s="160">
        <f t="shared" si="115"/>
        <v>57</v>
      </c>
      <c r="J1967" s="160">
        <f t="shared" si="116"/>
        <v>1</v>
      </c>
    </row>
    <row r="1968" spans="2:10" x14ac:dyDescent="0.35">
      <c r="B1968" s="160">
        <f t="shared" si="108"/>
        <v>59</v>
      </c>
      <c r="C1968" s="160">
        <f t="shared" si="109"/>
        <v>24</v>
      </c>
      <c r="D1968" s="160">
        <f t="shared" si="110"/>
        <v>2</v>
      </c>
      <c r="E1968" s="160">
        <f t="shared" si="111"/>
        <v>18</v>
      </c>
      <c r="F1968" s="160">
        <f t="shared" si="112"/>
        <v>48</v>
      </c>
      <c r="G1968" s="160">
        <f t="shared" si="113"/>
        <v>2</v>
      </c>
      <c r="H1968" s="160">
        <f t="shared" si="114"/>
        <v>23</v>
      </c>
      <c r="I1968" s="160">
        <f t="shared" si="115"/>
        <v>7</v>
      </c>
      <c r="J1968" s="160">
        <f t="shared" si="116"/>
        <v>1</v>
      </c>
    </row>
    <row r="1969" spans="2:10" x14ac:dyDescent="0.35">
      <c r="B1969" s="160">
        <f t="shared" si="108"/>
        <v>59</v>
      </c>
      <c r="C1969" s="160">
        <f t="shared" si="109"/>
        <v>24</v>
      </c>
      <c r="D1969" s="160">
        <f t="shared" si="110"/>
        <v>2</v>
      </c>
      <c r="E1969" s="160">
        <f t="shared" si="111"/>
        <v>18</v>
      </c>
      <c r="F1969" s="160">
        <f t="shared" si="112"/>
        <v>48</v>
      </c>
      <c r="G1969" s="160">
        <f t="shared" si="113"/>
        <v>4</v>
      </c>
      <c r="H1969" s="160">
        <f t="shared" si="114"/>
        <v>7</v>
      </c>
      <c r="I1969" s="160">
        <f t="shared" si="115"/>
        <v>7</v>
      </c>
      <c r="J1969" s="160">
        <f t="shared" si="116"/>
        <v>1</v>
      </c>
    </row>
    <row r="1970" spans="2:10" x14ac:dyDescent="0.35">
      <c r="B1970" s="160">
        <f t="shared" si="108"/>
        <v>59</v>
      </c>
      <c r="C1970" s="160">
        <f t="shared" si="109"/>
        <v>25</v>
      </c>
      <c r="D1970" s="160">
        <f t="shared" si="110"/>
        <v>2</v>
      </c>
      <c r="E1970" s="160">
        <f t="shared" si="111"/>
        <v>14</v>
      </c>
      <c r="F1970" s="160">
        <f t="shared" si="112"/>
        <v>48</v>
      </c>
      <c r="G1970" s="160">
        <f t="shared" si="113"/>
        <v>1</v>
      </c>
      <c r="H1970" s="160">
        <f t="shared" si="114"/>
        <v>25</v>
      </c>
      <c r="I1970" s="160">
        <f t="shared" si="115"/>
        <v>77</v>
      </c>
      <c r="J1970" s="160">
        <f t="shared" si="116"/>
        <v>2</v>
      </c>
    </row>
    <row r="1971" spans="2:10" x14ac:dyDescent="0.35">
      <c r="B1971" s="160">
        <f t="shared" si="108"/>
        <v>59</v>
      </c>
      <c r="C1971" s="160">
        <f t="shared" si="109"/>
        <v>25</v>
      </c>
      <c r="D1971" s="160">
        <f t="shared" si="110"/>
        <v>2</v>
      </c>
      <c r="E1971" s="160">
        <f t="shared" si="111"/>
        <v>14</v>
      </c>
      <c r="F1971" s="160">
        <f t="shared" si="112"/>
        <v>48</v>
      </c>
      <c r="G1971" s="160">
        <f t="shared" si="113"/>
        <v>4</v>
      </c>
      <c r="H1971" s="160">
        <f t="shared" si="114"/>
        <v>21</v>
      </c>
      <c r="I1971" s="160">
        <f t="shared" si="115"/>
        <v>75</v>
      </c>
      <c r="J1971" s="160">
        <f t="shared" si="116"/>
        <v>2</v>
      </c>
    </row>
    <row r="1972" spans="2:10" x14ac:dyDescent="0.35">
      <c r="B1972" s="160">
        <f t="shared" si="108"/>
        <v>59</v>
      </c>
      <c r="C1972" s="160">
        <f t="shared" si="109"/>
        <v>24</v>
      </c>
      <c r="D1972" s="160">
        <f t="shared" si="110"/>
        <v>2</v>
      </c>
      <c r="E1972" s="160">
        <f t="shared" si="111"/>
        <v>14</v>
      </c>
      <c r="F1972" s="160">
        <f t="shared" si="112"/>
        <v>49</v>
      </c>
      <c r="G1972" s="160">
        <f t="shared" si="113"/>
        <v>4</v>
      </c>
      <c r="H1972" s="160">
        <f t="shared" si="114"/>
        <v>25</v>
      </c>
      <c r="I1972" s="160">
        <f t="shared" si="115"/>
        <v>7</v>
      </c>
      <c r="J1972" s="160">
        <f t="shared" si="116"/>
        <v>2</v>
      </c>
    </row>
    <row r="1973" spans="2:10" x14ac:dyDescent="0.35">
      <c r="B1973" s="160">
        <f t="shared" si="108"/>
        <v>59</v>
      </c>
      <c r="C1973" s="160">
        <f t="shared" si="109"/>
        <v>24</v>
      </c>
      <c r="D1973" s="160">
        <f t="shared" si="110"/>
        <v>2</v>
      </c>
      <c r="E1973" s="160">
        <f t="shared" si="111"/>
        <v>14</v>
      </c>
      <c r="F1973" s="160">
        <f t="shared" si="112"/>
        <v>49</v>
      </c>
      <c r="G1973" s="160">
        <f t="shared" si="113"/>
        <v>5</v>
      </c>
      <c r="H1973" s="160">
        <f t="shared" si="114"/>
        <v>25</v>
      </c>
      <c r="I1973" s="160">
        <f t="shared" si="115"/>
        <v>7</v>
      </c>
      <c r="J1973" s="160">
        <f t="shared" si="116"/>
        <v>2</v>
      </c>
    </row>
    <row r="1974" spans="2:10" x14ac:dyDescent="0.35">
      <c r="B1974" s="160">
        <f t="shared" si="108"/>
        <v>60</v>
      </c>
      <c r="C1974" s="160">
        <f t="shared" si="109"/>
        <v>112</v>
      </c>
      <c r="D1974" s="160">
        <f t="shared" si="110"/>
        <v>4</v>
      </c>
      <c r="E1974" s="160">
        <f t="shared" si="111"/>
        <v>10</v>
      </c>
      <c r="F1974" s="160">
        <f t="shared" si="112"/>
        <v>44</v>
      </c>
      <c r="G1974" s="160">
        <f t="shared" si="113"/>
        <v>1</v>
      </c>
      <c r="H1974" s="160">
        <f t="shared" si="114"/>
        <v>20</v>
      </c>
      <c r="I1974" s="160">
        <f t="shared" si="115"/>
        <v>27</v>
      </c>
      <c r="J1974" s="160">
        <f t="shared" si="116"/>
        <v>2</v>
      </c>
    </row>
    <row r="1975" spans="2:10" x14ac:dyDescent="0.35">
      <c r="B1975" s="160">
        <f t="shared" si="108"/>
        <v>60</v>
      </c>
      <c r="C1975" s="160">
        <f t="shared" si="109"/>
        <v>112</v>
      </c>
      <c r="D1975" s="160">
        <f t="shared" si="110"/>
        <v>4</v>
      </c>
      <c r="E1975" s="160">
        <f t="shared" si="111"/>
        <v>10</v>
      </c>
      <c r="F1975" s="160">
        <f t="shared" si="112"/>
        <v>44</v>
      </c>
      <c r="G1975" s="160">
        <f t="shared" si="113"/>
        <v>5</v>
      </c>
      <c r="H1975" s="160">
        <f t="shared" si="114"/>
        <v>20</v>
      </c>
      <c r="I1975" s="160">
        <f t="shared" si="115"/>
        <v>20</v>
      </c>
      <c r="J1975" s="160">
        <f t="shared" si="116"/>
        <v>2</v>
      </c>
    </row>
    <row r="1976" spans="2:10" x14ac:dyDescent="0.35">
      <c r="B1976" s="160">
        <f t="shared" si="108"/>
        <v>60</v>
      </c>
      <c r="C1976" s="160">
        <f t="shared" si="109"/>
        <v>17</v>
      </c>
      <c r="D1976" s="160">
        <f t="shared" si="110"/>
        <v>4</v>
      </c>
      <c r="E1976" s="160">
        <f t="shared" si="111"/>
        <v>10</v>
      </c>
      <c r="F1976" s="160">
        <f t="shared" si="112"/>
        <v>48</v>
      </c>
      <c r="G1976" s="160">
        <f t="shared" si="113"/>
        <v>2</v>
      </c>
      <c r="H1976" s="160">
        <f t="shared" si="114"/>
        <v>20</v>
      </c>
      <c r="I1976" s="160">
        <f t="shared" si="115"/>
        <v>52</v>
      </c>
      <c r="J1976" s="160">
        <f t="shared" si="116"/>
        <v>2</v>
      </c>
    </row>
    <row r="1977" spans="2:10" x14ac:dyDescent="0.35">
      <c r="B1977" s="160">
        <f t="shared" si="108"/>
        <v>60</v>
      </c>
      <c r="C1977" s="160">
        <f t="shared" si="109"/>
        <v>17</v>
      </c>
      <c r="D1977" s="160">
        <f t="shared" si="110"/>
        <v>4</v>
      </c>
      <c r="E1977" s="160">
        <f t="shared" si="111"/>
        <v>10</v>
      </c>
      <c r="F1977" s="160">
        <f t="shared" si="112"/>
        <v>48</v>
      </c>
      <c r="G1977" s="160">
        <f t="shared" si="113"/>
        <v>4</v>
      </c>
      <c r="H1977" s="160">
        <f t="shared" si="114"/>
        <v>2</v>
      </c>
      <c r="I1977" s="160">
        <f t="shared" si="115"/>
        <v>99</v>
      </c>
      <c r="J1977" s="160">
        <f t="shared" si="116"/>
        <v>2</v>
      </c>
    </row>
    <row r="1978" spans="2:10" x14ac:dyDescent="0.35">
      <c r="B1978" s="160">
        <f t="shared" si="108"/>
        <v>60</v>
      </c>
      <c r="C1978" s="160">
        <f t="shared" si="109"/>
        <v>17</v>
      </c>
      <c r="D1978" s="160">
        <f t="shared" si="110"/>
        <v>4</v>
      </c>
      <c r="E1978" s="160">
        <f t="shared" si="111"/>
        <v>10</v>
      </c>
      <c r="F1978" s="160">
        <f t="shared" si="112"/>
        <v>49</v>
      </c>
      <c r="G1978" s="160">
        <f t="shared" si="113"/>
        <v>2</v>
      </c>
      <c r="H1978" s="160">
        <f t="shared" si="114"/>
        <v>11</v>
      </c>
      <c r="I1978" s="160">
        <f t="shared" si="115"/>
        <v>36</v>
      </c>
      <c r="J1978" s="160">
        <f t="shared" si="116"/>
        <v>2</v>
      </c>
    </row>
    <row r="1979" spans="2:10" x14ac:dyDescent="0.35">
      <c r="B1979" s="160">
        <f t="shared" si="108"/>
        <v>60</v>
      </c>
      <c r="C1979" s="160">
        <f t="shared" si="109"/>
        <v>17</v>
      </c>
      <c r="D1979" s="160">
        <f t="shared" si="110"/>
        <v>4</v>
      </c>
      <c r="E1979" s="160">
        <f t="shared" si="111"/>
        <v>10</v>
      </c>
      <c r="F1979" s="160">
        <f t="shared" si="112"/>
        <v>49</v>
      </c>
      <c r="G1979" s="160">
        <f t="shared" si="113"/>
        <v>4</v>
      </c>
      <c r="H1979" s="160">
        <f t="shared" si="114"/>
        <v>20</v>
      </c>
      <c r="I1979" s="160">
        <f t="shared" si="115"/>
        <v>27</v>
      </c>
      <c r="J1979" s="160">
        <f t="shared" si="116"/>
        <v>2</v>
      </c>
    </row>
    <row r="1980" spans="2:10" x14ac:dyDescent="0.35">
      <c r="B1980" s="160">
        <f t="shared" si="108"/>
        <v>60</v>
      </c>
      <c r="C1980" s="160">
        <f t="shared" si="109"/>
        <v>17</v>
      </c>
      <c r="D1980" s="160">
        <f t="shared" si="110"/>
        <v>4</v>
      </c>
      <c r="E1980" s="160">
        <f t="shared" si="111"/>
        <v>10</v>
      </c>
      <c r="F1980" s="160">
        <f t="shared" si="112"/>
        <v>50</v>
      </c>
      <c r="G1980" s="160">
        <f t="shared" si="113"/>
        <v>2</v>
      </c>
      <c r="H1980" s="160">
        <f t="shared" si="114"/>
        <v>11</v>
      </c>
      <c r="I1980" s="160">
        <f t="shared" si="115"/>
        <v>28</v>
      </c>
      <c r="J1980" s="160">
        <f t="shared" si="116"/>
        <v>1</v>
      </c>
    </row>
    <row r="1981" spans="2:10" x14ac:dyDescent="0.35">
      <c r="B1981" s="160">
        <f t="shared" si="108"/>
        <v>60</v>
      </c>
      <c r="C1981" s="160">
        <f t="shared" si="109"/>
        <v>17</v>
      </c>
      <c r="D1981" s="160">
        <f t="shared" si="110"/>
        <v>4</v>
      </c>
      <c r="E1981" s="160">
        <f t="shared" si="111"/>
        <v>10</v>
      </c>
      <c r="F1981" s="160">
        <f t="shared" si="112"/>
        <v>50</v>
      </c>
      <c r="G1981" s="160">
        <f t="shared" si="113"/>
        <v>4</v>
      </c>
      <c r="H1981" s="160">
        <f t="shared" si="114"/>
        <v>2</v>
      </c>
      <c r="I1981" s="160">
        <f t="shared" si="115"/>
        <v>63</v>
      </c>
      <c r="J1981" s="160">
        <f t="shared" si="116"/>
        <v>1</v>
      </c>
    </row>
    <row r="1982" spans="2:10" x14ac:dyDescent="0.35">
      <c r="B1982" s="160">
        <f t="shared" si="108"/>
        <v>60</v>
      </c>
      <c r="C1982" s="160">
        <f t="shared" si="109"/>
        <v>13</v>
      </c>
      <c r="D1982" s="160">
        <f t="shared" si="110"/>
        <v>2</v>
      </c>
      <c r="E1982" s="160">
        <f t="shared" si="111"/>
        <v>16</v>
      </c>
      <c r="F1982" s="160">
        <f t="shared" si="112"/>
        <v>42</v>
      </c>
      <c r="G1982" s="160">
        <f t="shared" si="113"/>
        <v>1</v>
      </c>
      <c r="H1982" s="160">
        <f t="shared" si="114"/>
        <v>2</v>
      </c>
      <c r="I1982" s="160">
        <f t="shared" si="115"/>
        <v>8</v>
      </c>
      <c r="J1982" s="160">
        <f t="shared" si="116"/>
        <v>1</v>
      </c>
    </row>
    <row r="1983" spans="2:10" x14ac:dyDescent="0.35">
      <c r="B1983" s="160">
        <f t="shared" si="108"/>
        <v>60</v>
      </c>
      <c r="C1983" s="160">
        <f t="shared" si="109"/>
        <v>13</v>
      </c>
      <c r="D1983" s="160">
        <f t="shared" si="110"/>
        <v>2</v>
      </c>
      <c r="E1983" s="160">
        <f t="shared" si="111"/>
        <v>16</v>
      </c>
      <c r="F1983" s="160">
        <f t="shared" si="112"/>
        <v>42</v>
      </c>
      <c r="G1983" s="160">
        <f t="shared" si="113"/>
        <v>2</v>
      </c>
      <c r="H1983" s="160">
        <f t="shared" si="114"/>
        <v>2</v>
      </c>
      <c r="I1983" s="160">
        <f t="shared" si="115"/>
        <v>22</v>
      </c>
      <c r="J1983" s="160">
        <f t="shared" si="116"/>
        <v>1</v>
      </c>
    </row>
    <row r="1984" spans="2:10" x14ac:dyDescent="0.35">
      <c r="B1984" s="160">
        <f t="shared" si="108"/>
        <v>60</v>
      </c>
      <c r="C1984" s="160">
        <f t="shared" si="109"/>
        <v>67</v>
      </c>
      <c r="D1984" s="160">
        <f t="shared" si="110"/>
        <v>2</v>
      </c>
      <c r="E1984" s="160">
        <f t="shared" si="111"/>
        <v>17</v>
      </c>
      <c r="F1984" s="160">
        <f t="shared" si="112"/>
        <v>42</v>
      </c>
      <c r="G1984" s="160">
        <f t="shared" si="113"/>
        <v>1</v>
      </c>
      <c r="H1984" s="160">
        <f t="shared" si="114"/>
        <v>15</v>
      </c>
      <c r="I1984" s="160">
        <f t="shared" si="115"/>
        <v>22</v>
      </c>
      <c r="J1984" s="160">
        <f t="shared" si="116"/>
        <v>1</v>
      </c>
    </row>
    <row r="1985" spans="2:10" x14ac:dyDescent="0.35">
      <c r="B1985" s="160">
        <f t="shared" si="108"/>
        <v>60</v>
      </c>
      <c r="C1985" s="160">
        <f t="shared" si="109"/>
        <v>67</v>
      </c>
      <c r="D1985" s="160">
        <f t="shared" si="110"/>
        <v>2</v>
      </c>
      <c r="E1985" s="160">
        <f t="shared" si="111"/>
        <v>17</v>
      </c>
      <c r="F1985" s="160">
        <f t="shared" si="112"/>
        <v>42</v>
      </c>
      <c r="G1985" s="160">
        <f t="shared" si="113"/>
        <v>4</v>
      </c>
      <c r="H1985" s="160">
        <f t="shared" si="114"/>
        <v>15</v>
      </c>
      <c r="I1985" s="160">
        <f t="shared" si="115"/>
        <v>22</v>
      </c>
      <c r="J1985" s="160">
        <f t="shared" si="116"/>
        <v>1</v>
      </c>
    </row>
    <row r="1986" spans="2:10" x14ac:dyDescent="0.35">
      <c r="B1986" s="160">
        <f t="shared" si="108"/>
        <v>60</v>
      </c>
      <c r="C1986" s="160">
        <f t="shared" si="109"/>
        <v>29</v>
      </c>
      <c r="D1986" s="160">
        <f t="shared" si="110"/>
        <v>2</v>
      </c>
      <c r="E1986" s="160">
        <f t="shared" si="111"/>
        <v>17</v>
      </c>
      <c r="F1986" s="160">
        <f t="shared" si="112"/>
        <v>47</v>
      </c>
      <c r="G1986" s="160">
        <f t="shared" si="113"/>
        <v>2</v>
      </c>
      <c r="H1986" s="160">
        <f t="shared" si="114"/>
        <v>2</v>
      </c>
      <c r="I1986" s="160">
        <f t="shared" si="115"/>
        <v>9</v>
      </c>
      <c r="J1986" s="160">
        <f t="shared" si="116"/>
        <v>2</v>
      </c>
    </row>
    <row r="1987" spans="2:10" x14ac:dyDescent="0.35">
      <c r="B1987" s="160">
        <f t="shared" si="108"/>
        <v>60</v>
      </c>
      <c r="C1987" s="160">
        <f t="shared" si="109"/>
        <v>29</v>
      </c>
      <c r="D1987" s="160">
        <f t="shared" si="110"/>
        <v>2</v>
      </c>
      <c r="E1987" s="160">
        <f t="shared" si="111"/>
        <v>17</v>
      </c>
      <c r="F1987" s="160">
        <f t="shared" si="112"/>
        <v>47</v>
      </c>
      <c r="G1987" s="160">
        <f t="shared" si="113"/>
        <v>5</v>
      </c>
      <c r="H1987" s="160">
        <f t="shared" si="114"/>
        <v>2</v>
      </c>
      <c r="I1987" s="160">
        <f t="shared" si="115"/>
        <v>9</v>
      </c>
      <c r="J1987" s="160">
        <f t="shared" si="116"/>
        <v>2</v>
      </c>
    </row>
    <row r="1988" spans="2:10" x14ac:dyDescent="0.35">
      <c r="B1988" s="160">
        <f t="shared" si="108"/>
        <v>61</v>
      </c>
      <c r="C1988" s="160">
        <f t="shared" si="109"/>
        <v>78</v>
      </c>
      <c r="D1988" s="160">
        <f t="shared" si="110"/>
        <v>3</v>
      </c>
      <c r="E1988" s="160">
        <f t="shared" si="111"/>
        <v>15</v>
      </c>
      <c r="F1988" s="160">
        <f t="shared" si="112"/>
        <v>52</v>
      </c>
      <c r="G1988" s="160">
        <f t="shared" si="113"/>
        <v>1</v>
      </c>
      <c r="H1988" s="160">
        <f t="shared" si="114"/>
        <v>1</v>
      </c>
      <c r="I1988" s="160">
        <f t="shared" si="115"/>
        <v>48</v>
      </c>
      <c r="J1988" s="160">
        <f t="shared" si="116"/>
        <v>2</v>
      </c>
    </row>
    <row r="1989" spans="2:10" x14ac:dyDescent="0.35">
      <c r="B1989" s="160">
        <f t="shared" si="108"/>
        <v>61</v>
      </c>
      <c r="C1989" s="160">
        <f t="shared" si="109"/>
        <v>78</v>
      </c>
      <c r="D1989" s="160">
        <f t="shared" si="110"/>
        <v>3</v>
      </c>
      <c r="E1989" s="160">
        <f t="shared" si="111"/>
        <v>15</v>
      </c>
      <c r="F1989" s="160">
        <f t="shared" si="112"/>
        <v>52</v>
      </c>
      <c r="G1989" s="160">
        <f t="shared" si="113"/>
        <v>4</v>
      </c>
      <c r="H1989" s="160">
        <f t="shared" si="114"/>
        <v>10</v>
      </c>
      <c r="I1989" s="160">
        <f t="shared" si="115"/>
        <v>52</v>
      </c>
      <c r="J1989" s="160">
        <f t="shared" si="116"/>
        <v>2</v>
      </c>
    </row>
    <row r="1990" spans="2:10" x14ac:dyDescent="0.35">
      <c r="B1990" s="160">
        <f t="shared" si="108"/>
        <v>61</v>
      </c>
      <c r="C1990" s="160">
        <f t="shared" si="109"/>
        <v>28</v>
      </c>
      <c r="D1990" s="160">
        <f t="shared" si="110"/>
        <v>4</v>
      </c>
      <c r="E1990" s="160">
        <f t="shared" si="111"/>
        <v>15</v>
      </c>
      <c r="F1990" s="160">
        <f t="shared" si="112"/>
        <v>27</v>
      </c>
      <c r="G1990" s="160">
        <f t="shared" si="113"/>
        <v>1</v>
      </c>
      <c r="H1990" s="160">
        <f t="shared" si="114"/>
        <v>18</v>
      </c>
      <c r="I1990" s="160">
        <f t="shared" si="115"/>
        <v>100</v>
      </c>
      <c r="J1990" s="160">
        <f t="shared" si="116"/>
        <v>1</v>
      </c>
    </row>
    <row r="1991" spans="2:10" x14ac:dyDescent="0.35">
      <c r="B1991" s="160">
        <f t="shared" si="108"/>
        <v>61</v>
      </c>
      <c r="C1991" s="160">
        <f t="shared" si="109"/>
        <v>28</v>
      </c>
      <c r="D1991" s="160">
        <f t="shared" si="110"/>
        <v>4</v>
      </c>
      <c r="E1991" s="160">
        <f t="shared" si="111"/>
        <v>15</v>
      </c>
      <c r="F1991" s="160">
        <f t="shared" si="112"/>
        <v>27</v>
      </c>
      <c r="G1991" s="160">
        <f t="shared" si="113"/>
        <v>3</v>
      </c>
      <c r="H1991" s="160">
        <f t="shared" si="114"/>
        <v>11</v>
      </c>
      <c r="I1991" s="160">
        <f t="shared" si="115"/>
        <v>43</v>
      </c>
      <c r="J1991" s="160">
        <f t="shared" si="116"/>
        <v>1</v>
      </c>
    </row>
    <row r="1992" spans="2:10" x14ac:dyDescent="0.35">
      <c r="B1992" s="160">
        <f t="shared" si="108"/>
        <v>61</v>
      </c>
      <c r="C1992" s="160">
        <f t="shared" si="109"/>
        <v>25</v>
      </c>
      <c r="D1992" s="160">
        <f t="shared" si="110"/>
        <v>2</v>
      </c>
      <c r="E1992" s="160">
        <f t="shared" si="111"/>
        <v>8</v>
      </c>
      <c r="F1992" s="160">
        <f t="shared" si="112"/>
        <v>50</v>
      </c>
      <c r="G1992" s="160">
        <f t="shared" si="113"/>
        <v>3</v>
      </c>
      <c r="H1992" s="160">
        <f t="shared" si="114"/>
        <v>1</v>
      </c>
      <c r="I1992" s="160">
        <f t="shared" si="115"/>
        <v>6</v>
      </c>
      <c r="J1992" s="160">
        <f t="shared" si="116"/>
        <v>1</v>
      </c>
    </row>
    <row r="1993" spans="2:10" x14ac:dyDescent="0.35">
      <c r="B1993" s="160">
        <f t="shared" si="108"/>
        <v>61</v>
      </c>
      <c r="C1993" s="160">
        <f t="shared" si="109"/>
        <v>25</v>
      </c>
      <c r="D1993" s="160">
        <f t="shared" si="110"/>
        <v>2</v>
      </c>
      <c r="E1993" s="160">
        <f t="shared" si="111"/>
        <v>8</v>
      </c>
      <c r="F1993" s="160">
        <f t="shared" si="112"/>
        <v>50</v>
      </c>
      <c r="G1993" s="160">
        <f t="shared" si="113"/>
        <v>5</v>
      </c>
      <c r="H1993" s="160">
        <f t="shared" si="114"/>
        <v>7</v>
      </c>
      <c r="I1993" s="160">
        <f t="shared" si="115"/>
        <v>46</v>
      </c>
      <c r="J1993" s="160">
        <f t="shared" si="116"/>
        <v>1</v>
      </c>
    </row>
    <row r="1994" spans="2:10" x14ac:dyDescent="0.35">
      <c r="B1994" s="160">
        <f t="shared" si="108"/>
        <v>61</v>
      </c>
      <c r="C1994" s="160">
        <f t="shared" si="109"/>
        <v>24</v>
      </c>
      <c r="D1994" s="160">
        <f t="shared" si="110"/>
        <v>2</v>
      </c>
      <c r="E1994" s="160">
        <f t="shared" si="111"/>
        <v>8</v>
      </c>
      <c r="F1994" s="160">
        <f t="shared" si="112"/>
        <v>50</v>
      </c>
      <c r="G1994" s="160">
        <f t="shared" si="113"/>
        <v>2</v>
      </c>
      <c r="H1994" s="160">
        <f t="shared" si="114"/>
        <v>19</v>
      </c>
      <c r="I1994" s="160">
        <f t="shared" si="115"/>
        <v>7</v>
      </c>
      <c r="J1994" s="160">
        <f t="shared" si="116"/>
        <v>1</v>
      </c>
    </row>
    <row r="1995" spans="2:10" x14ac:dyDescent="0.35">
      <c r="B1995" s="160">
        <f t="shared" si="108"/>
        <v>61</v>
      </c>
      <c r="C1995" s="160">
        <f t="shared" si="109"/>
        <v>24</v>
      </c>
      <c r="D1995" s="160">
        <f t="shared" si="110"/>
        <v>2</v>
      </c>
      <c r="E1995" s="160">
        <f t="shared" si="111"/>
        <v>8</v>
      </c>
      <c r="F1995" s="160">
        <f t="shared" si="112"/>
        <v>50</v>
      </c>
      <c r="G1995" s="160">
        <f t="shared" si="113"/>
        <v>4</v>
      </c>
      <c r="H1995" s="160">
        <f t="shared" si="114"/>
        <v>23</v>
      </c>
      <c r="I1995" s="160">
        <f t="shared" si="115"/>
        <v>7</v>
      </c>
      <c r="J1995" s="160">
        <f t="shared" si="116"/>
        <v>1</v>
      </c>
    </row>
    <row r="1996" spans="2:10" x14ac:dyDescent="0.35">
      <c r="B1996" s="160">
        <f t="shared" si="108"/>
        <v>61</v>
      </c>
      <c r="C1996" s="160">
        <f t="shared" si="109"/>
        <v>24</v>
      </c>
      <c r="D1996" s="160">
        <f t="shared" si="110"/>
        <v>2</v>
      </c>
      <c r="E1996" s="160">
        <f t="shared" si="111"/>
        <v>11</v>
      </c>
      <c r="F1996" s="160">
        <f t="shared" si="112"/>
        <v>48</v>
      </c>
      <c r="G1996" s="160">
        <f t="shared" si="113"/>
        <v>1</v>
      </c>
      <c r="H1996" s="160">
        <f t="shared" si="114"/>
        <v>25</v>
      </c>
      <c r="I1996" s="160">
        <f t="shared" si="115"/>
        <v>7</v>
      </c>
      <c r="J1996" s="160">
        <f t="shared" si="116"/>
        <v>2</v>
      </c>
    </row>
    <row r="1997" spans="2:10" x14ac:dyDescent="0.35">
      <c r="B1997" s="160">
        <f t="shared" si="108"/>
        <v>61</v>
      </c>
      <c r="C1997" s="160">
        <f t="shared" si="109"/>
        <v>24</v>
      </c>
      <c r="D1997" s="160">
        <f t="shared" si="110"/>
        <v>2</v>
      </c>
      <c r="E1997" s="160">
        <f t="shared" si="111"/>
        <v>11</v>
      </c>
      <c r="F1997" s="160">
        <f t="shared" si="112"/>
        <v>48</v>
      </c>
      <c r="G1997" s="160">
        <f t="shared" si="113"/>
        <v>3</v>
      </c>
      <c r="H1997" s="160">
        <f t="shared" si="114"/>
        <v>25</v>
      </c>
      <c r="I1997" s="160">
        <f t="shared" si="115"/>
        <v>7</v>
      </c>
      <c r="J1997" s="160">
        <f t="shared" si="116"/>
        <v>2</v>
      </c>
    </row>
    <row r="1998" spans="2:10" x14ac:dyDescent="0.35">
      <c r="B1998" s="160">
        <f t="shared" si="108"/>
        <v>61</v>
      </c>
      <c r="C1998" s="160">
        <f t="shared" si="109"/>
        <v>24</v>
      </c>
      <c r="D1998" s="160">
        <f t="shared" si="110"/>
        <v>2</v>
      </c>
      <c r="E1998" s="160">
        <f t="shared" si="111"/>
        <v>13</v>
      </c>
      <c r="F1998" s="160">
        <f t="shared" si="112"/>
        <v>52</v>
      </c>
      <c r="G1998" s="160">
        <f t="shared" si="113"/>
        <v>2</v>
      </c>
      <c r="H1998" s="160">
        <f t="shared" si="114"/>
        <v>23</v>
      </c>
      <c r="I1998" s="160">
        <f t="shared" si="115"/>
        <v>85</v>
      </c>
      <c r="J1998" s="160">
        <f t="shared" si="116"/>
        <v>1</v>
      </c>
    </row>
    <row r="1999" spans="2:10" x14ac:dyDescent="0.35">
      <c r="B1999" s="160">
        <f t="shared" si="108"/>
        <v>61</v>
      </c>
      <c r="C1999" s="160">
        <f t="shared" si="109"/>
        <v>24</v>
      </c>
      <c r="D1999" s="160">
        <f t="shared" si="110"/>
        <v>2</v>
      </c>
      <c r="E1999" s="160">
        <f t="shared" si="111"/>
        <v>13</v>
      </c>
      <c r="F1999" s="160">
        <f t="shared" si="112"/>
        <v>52</v>
      </c>
      <c r="G1999" s="160">
        <f t="shared" si="113"/>
        <v>4</v>
      </c>
      <c r="H1999" s="160">
        <f t="shared" si="114"/>
        <v>23</v>
      </c>
      <c r="I1999" s="160">
        <f t="shared" si="115"/>
        <v>86</v>
      </c>
      <c r="J1999" s="160">
        <f t="shared" si="116"/>
        <v>1</v>
      </c>
    </row>
    <row r="2000" spans="2:10" x14ac:dyDescent="0.35">
      <c r="B2000" s="160">
        <f t="shared" si="108"/>
        <v>61</v>
      </c>
      <c r="C2000" s="160">
        <f t="shared" si="109"/>
        <v>25</v>
      </c>
      <c r="D2000" s="160">
        <f t="shared" si="110"/>
        <v>2</v>
      </c>
      <c r="E2000" s="160">
        <f t="shared" si="111"/>
        <v>9</v>
      </c>
      <c r="F2000" s="160">
        <f t="shared" si="112"/>
        <v>50</v>
      </c>
      <c r="G2000" s="160">
        <f t="shared" si="113"/>
        <v>1</v>
      </c>
      <c r="H2000" s="160">
        <f t="shared" si="114"/>
        <v>7</v>
      </c>
      <c r="I2000" s="160">
        <f t="shared" si="115"/>
        <v>89</v>
      </c>
      <c r="J2000" s="160">
        <f t="shared" si="116"/>
        <v>1</v>
      </c>
    </row>
    <row r="2001" spans="2:10" x14ac:dyDescent="0.35">
      <c r="B2001" s="160">
        <f t="shared" si="108"/>
        <v>61</v>
      </c>
      <c r="C2001" s="160">
        <f t="shared" si="109"/>
        <v>25</v>
      </c>
      <c r="D2001" s="160">
        <f t="shared" si="110"/>
        <v>2</v>
      </c>
      <c r="E2001" s="160">
        <f t="shared" si="111"/>
        <v>9</v>
      </c>
      <c r="F2001" s="160">
        <f t="shared" si="112"/>
        <v>50</v>
      </c>
      <c r="G2001" s="160">
        <f t="shared" si="113"/>
        <v>3</v>
      </c>
      <c r="H2001" s="160">
        <f t="shared" si="114"/>
        <v>7</v>
      </c>
      <c r="I2001" s="160">
        <f t="shared" si="115"/>
        <v>89</v>
      </c>
      <c r="J2001" s="160">
        <f t="shared" si="116"/>
        <v>1</v>
      </c>
    </row>
    <row r="2002" spans="2:10" x14ac:dyDescent="0.35">
      <c r="B2002" s="160">
        <f t="shared" si="108"/>
        <v>61</v>
      </c>
      <c r="C2002" s="160">
        <f t="shared" si="109"/>
        <v>24</v>
      </c>
      <c r="D2002" s="160">
        <f t="shared" si="110"/>
        <v>2</v>
      </c>
      <c r="E2002" s="160">
        <f t="shared" si="111"/>
        <v>12</v>
      </c>
      <c r="F2002" s="160">
        <f t="shared" si="112"/>
        <v>48</v>
      </c>
      <c r="G2002" s="160">
        <f t="shared" si="113"/>
        <v>3</v>
      </c>
      <c r="H2002" s="160">
        <f t="shared" si="114"/>
        <v>25</v>
      </c>
      <c r="I2002" s="160">
        <f t="shared" si="115"/>
        <v>7</v>
      </c>
      <c r="J2002" s="160">
        <f t="shared" si="116"/>
        <v>1</v>
      </c>
    </row>
    <row r="2003" spans="2:10" x14ac:dyDescent="0.35">
      <c r="B2003" s="160">
        <f t="shared" si="108"/>
        <v>61</v>
      </c>
      <c r="C2003" s="160">
        <f t="shared" si="109"/>
        <v>24</v>
      </c>
      <c r="D2003" s="160">
        <f t="shared" si="110"/>
        <v>2</v>
      </c>
      <c r="E2003" s="160">
        <f t="shared" si="111"/>
        <v>12</v>
      </c>
      <c r="F2003" s="160">
        <f t="shared" si="112"/>
        <v>48</v>
      </c>
      <c r="G2003" s="160">
        <f t="shared" si="113"/>
        <v>5</v>
      </c>
      <c r="H2003" s="160">
        <f t="shared" si="114"/>
        <v>23</v>
      </c>
      <c r="I2003" s="160">
        <f t="shared" si="115"/>
        <v>7</v>
      </c>
      <c r="J2003" s="160">
        <f t="shared" si="116"/>
        <v>1</v>
      </c>
    </row>
    <row r="2004" spans="2:10" x14ac:dyDescent="0.35">
      <c r="B2004" s="160">
        <f t="shared" si="108"/>
        <v>61</v>
      </c>
      <c r="C2004" s="160">
        <f t="shared" si="109"/>
        <v>25</v>
      </c>
      <c r="D2004" s="160">
        <f t="shared" si="110"/>
        <v>2</v>
      </c>
      <c r="E2004" s="160">
        <f t="shared" si="111"/>
        <v>12</v>
      </c>
      <c r="F2004" s="160">
        <f t="shared" si="112"/>
        <v>51</v>
      </c>
      <c r="G2004" s="160">
        <f t="shared" si="113"/>
        <v>3</v>
      </c>
      <c r="H2004" s="160">
        <f t="shared" si="114"/>
        <v>20</v>
      </c>
      <c r="I2004" s="160">
        <f t="shared" si="115"/>
        <v>74</v>
      </c>
      <c r="J2004" s="160">
        <f t="shared" si="116"/>
        <v>1</v>
      </c>
    </row>
    <row r="2005" spans="2:10" x14ac:dyDescent="0.35">
      <c r="B2005" s="160">
        <f t="shared" si="108"/>
        <v>61</v>
      </c>
      <c r="C2005" s="160">
        <f t="shared" si="109"/>
        <v>25</v>
      </c>
      <c r="D2005" s="160">
        <f t="shared" si="110"/>
        <v>2</v>
      </c>
      <c r="E2005" s="160">
        <f t="shared" si="111"/>
        <v>12</v>
      </c>
      <c r="F2005" s="160">
        <f t="shared" si="112"/>
        <v>51</v>
      </c>
      <c r="G2005" s="160">
        <f t="shared" si="113"/>
        <v>5</v>
      </c>
      <c r="H2005" s="160">
        <f t="shared" si="114"/>
        <v>2</v>
      </c>
      <c r="I2005" s="160">
        <f t="shared" si="115"/>
        <v>72</v>
      </c>
      <c r="J2005" s="160">
        <f t="shared" si="116"/>
        <v>1</v>
      </c>
    </row>
    <row r="2006" spans="2:10" x14ac:dyDescent="0.35">
      <c r="B2006" s="160">
        <f t="shared" si="108"/>
        <v>62</v>
      </c>
      <c r="C2006" s="160">
        <f t="shared" si="109"/>
        <v>76</v>
      </c>
      <c r="D2006" s="160">
        <f t="shared" si="110"/>
        <v>3</v>
      </c>
      <c r="E2006" s="160">
        <f t="shared" si="111"/>
        <v>15</v>
      </c>
      <c r="F2006" s="160">
        <f t="shared" si="112"/>
        <v>1</v>
      </c>
      <c r="G2006" s="160">
        <f t="shared" si="113"/>
        <v>2</v>
      </c>
      <c r="H2006" s="160">
        <f t="shared" si="114"/>
        <v>7</v>
      </c>
      <c r="I2006" s="160">
        <f t="shared" si="115"/>
        <v>30</v>
      </c>
      <c r="J2006" s="160">
        <f t="shared" si="116"/>
        <v>2</v>
      </c>
    </row>
    <row r="2007" spans="2:10" x14ac:dyDescent="0.35">
      <c r="B2007" s="160">
        <f t="shared" si="108"/>
        <v>62</v>
      </c>
      <c r="C2007" s="160">
        <f t="shared" si="109"/>
        <v>76</v>
      </c>
      <c r="D2007" s="160">
        <f t="shared" si="110"/>
        <v>3</v>
      </c>
      <c r="E2007" s="160">
        <f t="shared" si="111"/>
        <v>15</v>
      </c>
      <c r="F2007" s="160">
        <f t="shared" si="112"/>
        <v>1</v>
      </c>
      <c r="G2007" s="160">
        <f t="shared" si="113"/>
        <v>4</v>
      </c>
      <c r="H2007" s="160">
        <f t="shared" si="114"/>
        <v>14</v>
      </c>
      <c r="I2007" s="160">
        <f t="shared" si="115"/>
        <v>3</v>
      </c>
      <c r="J2007" s="160">
        <f t="shared" si="116"/>
        <v>2</v>
      </c>
    </row>
    <row r="2008" spans="2:10" x14ac:dyDescent="0.35">
      <c r="B2008" s="160">
        <f t="shared" si="108"/>
        <v>62</v>
      </c>
      <c r="C2008" s="160">
        <f t="shared" si="109"/>
        <v>76</v>
      </c>
      <c r="D2008" s="160">
        <f t="shared" si="110"/>
        <v>3</v>
      </c>
      <c r="E2008" s="160">
        <f t="shared" si="111"/>
        <v>15</v>
      </c>
      <c r="F2008" s="160">
        <f t="shared" si="112"/>
        <v>2</v>
      </c>
      <c r="G2008" s="160">
        <f t="shared" si="113"/>
        <v>1</v>
      </c>
      <c r="H2008" s="160">
        <f t="shared" si="114"/>
        <v>19</v>
      </c>
      <c r="I2008" s="160">
        <f t="shared" si="115"/>
        <v>4</v>
      </c>
      <c r="J2008" s="160">
        <f t="shared" si="116"/>
        <v>2</v>
      </c>
    </row>
    <row r="2009" spans="2:10" x14ac:dyDescent="0.35">
      <c r="B2009" s="160">
        <f t="shared" ref="B2009:B2072" si="117">INDEX($A$2:$A$85,MATCH(I894,$B$2:$B$85,0))</f>
        <v>62</v>
      </c>
      <c r="C2009" s="160">
        <f t="shared" ref="C2009:C2072" si="118">INDEX($D$2:$D$117,MATCH(J894,$E$2:$E$117,0))</f>
        <v>76</v>
      </c>
      <c r="D2009" s="160">
        <f t="shared" ref="D2009:D2072" si="119">INDEX($P$2:$P$5,MATCH(K894,$Q$2:$Q$5,0))</f>
        <v>3</v>
      </c>
      <c r="E2009" s="160">
        <f t="shared" ref="E2009:E2072" si="120">INDEX($G$2:$G$19,MATCH(L894,$H$2:$H$19,0))</f>
        <v>15</v>
      </c>
      <c r="F2009" s="160">
        <f t="shared" ref="F2009:F2072" si="121">INDEX($J$2:$J$55,MATCH(M894,$K$2:$K$55,0))</f>
        <v>2</v>
      </c>
      <c r="G2009" s="160">
        <f t="shared" ref="G2009:G2072" si="122">INDEX($M$2:$M$6,MATCH(N894,$N$2:$N$6,0))</f>
        <v>4</v>
      </c>
      <c r="H2009" s="160">
        <f t="shared" ref="H2009:H2072" si="123">INDEX($S$2:$S$26,MATCH(O894,$T$2:$T$26,0))</f>
        <v>19</v>
      </c>
      <c r="I2009" s="160">
        <f t="shared" ref="I2009:I2072" si="124">INDEX($V$2:$V$108,MATCH(P894,$W$2:$W$108,0))</f>
        <v>12</v>
      </c>
      <c r="J2009" s="160">
        <f t="shared" ref="J2009:J2072" si="125">INDEX($Y$2:$Y$4,MATCH(Q894,$Z$2:$Z$4,0))</f>
        <v>2</v>
      </c>
    </row>
    <row r="2010" spans="2:10" x14ac:dyDescent="0.35">
      <c r="B2010" s="160">
        <f t="shared" si="117"/>
        <v>62</v>
      </c>
      <c r="C2010" s="160">
        <f t="shared" si="118"/>
        <v>25</v>
      </c>
      <c r="D2010" s="160">
        <f t="shared" si="119"/>
        <v>2</v>
      </c>
      <c r="E2010" s="160">
        <f t="shared" si="120"/>
        <v>13</v>
      </c>
      <c r="F2010" s="160">
        <f t="shared" si="121"/>
        <v>49</v>
      </c>
      <c r="G2010" s="160">
        <f t="shared" si="122"/>
        <v>2</v>
      </c>
      <c r="H2010" s="160">
        <f t="shared" si="123"/>
        <v>14</v>
      </c>
      <c r="I2010" s="160">
        <f t="shared" si="124"/>
        <v>84</v>
      </c>
      <c r="J2010" s="160">
        <f t="shared" si="125"/>
        <v>1</v>
      </c>
    </row>
    <row r="2011" spans="2:10" x14ac:dyDescent="0.35">
      <c r="B2011" s="160">
        <f t="shared" si="117"/>
        <v>62</v>
      </c>
      <c r="C2011" s="160">
        <f t="shared" si="118"/>
        <v>25</v>
      </c>
      <c r="D2011" s="160">
        <f t="shared" si="119"/>
        <v>2</v>
      </c>
      <c r="E2011" s="160">
        <f t="shared" si="120"/>
        <v>13</v>
      </c>
      <c r="F2011" s="160">
        <f t="shared" si="121"/>
        <v>49</v>
      </c>
      <c r="G2011" s="160">
        <f t="shared" si="122"/>
        <v>4</v>
      </c>
      <c r="H2011" s="160">
        <f t="shared" si="123"/>
        <v>19</v>
      </c>
      <c r="I2011" s="160">
        <f t="shared" si="124"/>
        <v>92</v>
      </c>
      <c r="J2011" s="160">
        <f t="shared" si="125"/>
        <v>1</v>
      </c>
    </row>
    <row r="2012" spans="2:10" x14ac:dyDescent="0.35">
      <c r="B2012" s="160">
        <f t="shared" si="117"/>
        <v>62</v>
      </c>
      <c r="C2012" s="160">
        <f t="shared" si="118"/>
        <v>24</v>
      </c>
      <c r="D2012" s="160">
        <f t="shared" si="119"/>
        <v>2</v>
      </c>
      <c r="E2012" s="160">
        <f t="shared" si="120"/>
        <v>13</v>
      </c>
      <c r="F2012" s="160">
        <f t="shared" si="121"/>
        <v>50</v>
      </c>
      <c r="G2012" s="160">
        <f t="shared" si="122"/>
        <v>3</v>
      </c>
      <c r="H2012" s="160">
        <f t="shared" si="123"/>
        <v>1</v>
      </c>
      <c r="I2012" s="160">
        <f t="shared" si="124"/>
        <v>93</v>
      </c>
      <c r="J2012" s="160">
        <f t="shared" si="125"/>
        <v>1</v>
      </c>
    </row>
    <row r="2013" spans="2:10" x14ac:dyDescent="0.35">
      <c r="B2013" s="160">
        <f t="shared" si="117"/>
        <v>62</v>
      </c>
      <c r="C2013" s="160">
        <f t="shared" si="118"/>
        <v>24</v>
      </c>
      <c r="D2013" s="160">
        <f t="shared" si="119"/>
        <v>2</v>
      </c>
      <c r="E2013" s="160">
        <f t="shared" si="120"/>
        <v>13</v>
      </c>
      <c r="F2013" s="160">
        <f t="shared" si="121"/>
        <v>50</v>
      </c>
      <c r="G2013" s="160">
        <f t="shared" si="122"/>
        <v>5</v>
      </c>
      <c r="H2013" s="160">
        <f t="shared" si="123"/>
        <v>19</v>
      </c>
      <c r="I2013" s="160">
        <f t="shared" si="124"/>
        <v>91</v>
      </c>
      <c r="J2013" s="160">
        <f t="shared" si="125"/>
        <v>1</v>
      </c>
    </row>
    <row r="2014" spans="2:10" x14ac:dyDescent="0.35">
      <c r="B2014" s="160">
        <f t="shared" si="117"/>
        <v>62</v>
      </c>
      <c r="C2014" s="160">
        <f t="shared" si="118"/>
        <v>33</v>
      </c>
      <c r="D2014" s="160">
        <f t="shared" si="119"/>
        <v>3</v>
      </c>
      <c r="E2014" s="160">
        <f t="shared" si="120"/>
        <v>15</v>
      </c>
      <c r="F2014" s="160">
        <f t="shared" si="121"/>
        <v>40</v>
      </c>
      <c r="G2014" s="160">
        <f t="shared" si="122"/>
        <v>2</v>
      </c>
      <c r="H2014" s="160">
        <f t="shared" si="123"/>
        <v>1</v>
      </c>
      <c r="I2014" s="160">
        <f t="shared" si="124"/>
        <v>39</v>
      </c>
      <c r="J2014" s="160">
        <f t="shared" si="125"/>
        <v>2</v>
      </c>
    </row>
    <row r="2015" spans="2:10" x14ac:dyDescent="0.35">
      <c r="B2015" s="160">
        <f t="shared" si="117"/>
        <v>62</v>
      </c>
      <c r="C2015" s="160">
        <f t="shared" si="118"/>
        <v>33</v>
      </c>
      <c r="D2015" s="160">
        <f t="shared" si="119"/>
        <v>3</v>
      </c>
      <c r="E2015" s="160">
        <f t="shared" si="120"/>
        <v>15</v>
      </c>
      <c r="F2015" s="160">
        <f t="shared" si="121"/>
        <v>40</v>
      </c>
      <c r="G2015" s="160">
        <f t="shared" si="122"/>
        <v>4</v>
      </c>
      <c r="H2015" s="160">
        <f t="shared" si="123"/>
        <v>7</v>
      </c>
      <c r="I2015" s="160">
        <f t="shared" si="124"/>
        <v>49</v>
      </c>
      <c r="J2015" s="160">
        <f t="shared" si="125"/>
        <v>2</v>
      </c>
    </row>
    <row r="2016" spans="2:10" x14ac:dyDescent="0.35">
      <c r="B2016" s="160">
        <f t="shared" si="117"/>
        <v>62</v>
      </c>
      <c r="C2016" s="160">
        <f t="shared" si="118"/>
        <v>46</v>
      </c>
      <c r="D2016" s="160">
        <f t="shared" si="119"/>
        <v>4</v>
      </c>
      <c r="E2016" s="160">
        <f t="shared" si="120"/>
        <v>15</v>
      </c>
      <c r="F2016" s="160">
        <f t="shared" si="121"/>
        <v>21</v>
      </c>
      <c r="G2016" s="160">
        <f t="shared" si="122"/>
        <v>5</v>
      </c>
      <c r="H2016" s="160">
        <f t="shared" si="123"/>
        <v>25</v>
      </c>
      <c r="I2016" s="160">
        <f t="shared" si="124"/>
        <v>35</v>
      </c>
      <c r="J2016" s="160">
        <f t="shared" si="125"/>
        <v>3</v>
      </c>
    </row>
    <row r="2017" spans="2:10" x14ac:dyDescent="0.35">
      <c r="B2017" s="160">
        <f t="shared" si="117"/>
        <v>63</v>
      </c>
      <c r="C2017" s="160">
        <f t="shared" si="118"/>
        <v>78</v>
      </c>
      <c r="D2017" s="160">
        <f t="shared" si="119"/>
        <v>3</v>
      </c>
      <c r="E2017" s="160">
        <f t="shared" si="120"/>
        <v>18</v>
      </c>
      <c r="F2017" s="160">
        <f t="shared" si="121"/>
        <v>48</v>
      </c>
      <c r="G2017" s="160">
        <f t="shared" si="122"/>
        <v>1</v>
      </c>
      <c r="H2017" s="160">
        <f t="shared" si="123"/>
        <v>19</v>
      </c>
      <c r="I2017" s="160">
        <f t="shared" si="124"/>
        <v>46</v>
      </c>
      <c r="J2017" s="160">
        <f t="shared" si="125"/>
        <v>2</v>
      </c>
    </row>
    <row r="2018" spans="2:10" x14ac:dyDescent="0.35">
      <c r="B2018" s="160">
        <f t="shared" si="117"/>
        <v>63</v>
      </c>
      <c r="C2018" s="160">
        <f t="shared" si="118"/>
        <v>78</v>
      </c>
      <c r="D2018" s="160">
        <f t="shared" si="119"/>
        <v>3</v>
      </c>
      <c r="E2018" s="160">
        <f t="shared" si="120"/>
        <v>18</v>
      </c>
      <c r="F2018" s="160">
        <f t="shared" si="121"/>
        <v>48</v>
      </c>
      <c r="G2018" s="160">
        <f t="shared" si="122"/>
        <v>3</v>
      </c>
      <c r="H2018" s="160">
        <f t="shared" si="123"/>
        <v>14</v>
      </c>
      <c r="I2018" s="160">
        <f t="shared" si="124"/>
        <v>20</v>
      </c>
      <c r="J2018" s="160">
        <f t="shared" si="125"/>
        <v>2</v>
      </c>
    </row>
    <row r="2019" spans="2:10" x14ac:dyDescent="0.35">
      <c r="B2019" s="160">
        <f t="shared" si="117"/>
        <v>63</v>
      </c>
      <c r="C2019" s="160">
        <f t="shared" si="118"/>
        <v>101</v>
      </c>
      <c r="D2019" s="160">
        <f t="shared" si="119"/>
        <v>4</v>
      </c>
      <c r="E2019" s="160">
        <f t="shared" si="120"/>
        <v>18</v>
      </c>
      <c r="F2019" s="160">
        <f t="shared" si="121"/>
        <v>43</v>
      </c>
      <c r="G2019" s="160">
        <f t="shared" si="122"/>
        <v>1</v>
      </c>
      <c r="H2019" s="160">
        <f t="shared" si="123"/>
        <v>14</v>
      </c>
      <c r="I2019" s="160">
        <f t="shared" si="124"/>
        <v>98</v>
      </c>
      <c r="J2019" s="160">
        <f t="shared" si="125"/>
        <v>2</v>
      </c>
    </row>
    <row r="2020" spans="2:10" x14ac:dyDescent="0.35">
      <c r="B2020" s="160">
        <f t="shared" si="117"/>
        <v>63</v>
      </c>
      <c r="C2020" s="160">
        <f t="shared" si="118"/>
        <v>101</v>
      </c>
      <c r="D2020" s="160">
        <f t="shared" si="119"/>
        <v>4</v>
      </c>
      <c r="E2020" s="160">
        <f t="shared" si="120"/>
        <v>18</v>
      </c>
      <c r="F2020" s="160">
        <f t="shared" si="121"/>
        <v>43</v>
      </c>
      <c r="G2020" s="160">
        <f t="shared" si="122"/>
        <v>3</v>
      </c>
      <c r="H2020" s="160">
        <f t="shared" si="123"/>
        <v>14</v>
      </c>
      <c r="I2020" s="160">
        <f t="shared" si="124"/>
        <v>18</v>
      </c>
      <c r="J2020" s="160">
        <f t="shared" si="125"/>
        <v>2</v>
      </c>
    </row>
    <row r="2021" spans="2:10" x14ac:dyDescent="0.35">
      <c r="B2021" s="160">
        <f t="shared" si="117"/>
        <v>63</v>
      </c>
      <c r="C2021" s="160">
        <f t="shared" si="118"/>
        <v>100</v>
      </c>
      <c r="D2021" s="160">
        <f t="shared" si="119"/>
        <v>3</v>
      </c>
      <c r="E2021" s="160">
        <f t="shared" si="120"/>
        <v>18</v>
      </c>
      <c r="F2021" s="160">
        <f t="shared" si="121"/>
        <v>26</v>
      </c>
      <c r="G2021" s="160">
        <f t="shared" si="122"/>
        <v>3</v>
      </c>
      <c r="H2021" s="160">
        <f t="shared" si="123"/>
        <v>1</v>
      </c>
      <c r="I2021" s="160">
        <f t="shared" si="124"/>
        <v>18</v>
      </c>
      <c r="J2021" s="160">
        <f t="shared" si="125"/>
        <v>2</v>
      </c>
    </row>
    <row r="2022" spans="2:10" x14ac:dyDescent="0.35">
      <c r="B2022" s="160">
        <f t="shared" si="117"/>
        <v>63</v>
      </c>
      <c r="C2022" s="160">
        <f t="shared" si="118"/>
        <v>100</v>
      </c>
      <c r="D2022" s="160">
        <f t="shared" si="119"/>
        <v>3</v>
      </c>
      <c r="E2022" s="160">
        <f t="shared" si="120"/>
        <v>18</v>
      </c>
      <c r="F2022" s="160">
        <f t="shared" si="121"/>
        <v>26</v>
      </c>
      <c r="G2022" s="160">
        <f t="shared" si="122"/>
        <v>5</v>
      </c>
      <c r="H2022" s="160">
        <f t="shared" si="123"/>
        <v>10</v>
      </c>
      <c r="I2022" s="160">
        <f t="shared" si="124"/>
        <v>19</v>
      </c>
      <c r="J2022" s="160">
        <f t="shared" si="125"/>
        <v>2</v>
      </c>
    </row>
    <row r="2023" spans="2:10" x14ac:dyDescent="0.35">
      <c r="B2023" s="160">
        <f t="shared" si="117"/>
        <v>63</v>
      </c>
      <c r="C2023" s="160">
        <f t="shared" si="118"/>
        <v>102</v>
      </c>
      <c r="D2023" s="160">
        <f t="shared" si="119"/>
        <v>3</v>
      </c>
      <c r="E2023" s="160">
        <f t="shared" si="120"/>
        <v>18</v>
      </c>
      <c r="F2023" s="160">
        <f t="shared" si="121"/>
        <v>26</v>
      </c>
      <c r="G2023" s="160">
        <f t="shared" si="122"/>
        <v>2</v>
      </c>
      <c r="H2023" s="160">
        <f t="shared" si="123"/>
        <v>25</v>
      </c>
      <c r="I2023" s="160">
        <f t="shared" si="124"/>
        <v>29</v>
      </c>
      <c r="J2023" s="160">
        <f t="shared" si="125"/>
        <v>2</v>
      </c>
    </row>
    <row r="2024" spans="2:10" x14ac:dyDescent="0.35">
      <c r="B2024" s="160">
        <f t="shared" si="117"/>
        <v>63</v>
      </c>
      <c r="C2024" s="160">
        <f t="shared" si="118"/>
        <v>102</v>
      </c>
      <c r="D2024" s="160">
        <f t="shared" si="119"/>
        <v>3</v>
      </c>
      <c r="E2024" s="160">
        <f t="shared" si="120"/>
        <v>18</v>
      </c>
      <c r="F2024" s="160">
        <f t="shared" si="121"/>
        <v>26</v>
      </c>
      <c r="G2024" s="160">
        <f t="shared" si="122"/>
        <v>4</v>
      </c>
      <c r="H2024" s="160">
        <f t="shared" si="123"/>
        <v>25</v>
      </c>
      <c r="I2024" s="160">
        <f t="shared" si="124"/>
        <v>29</v>
      </c>
      <c r="J2024" s="160">
        <f t="shared" si="125"/>
        <v>2</v>
      </c>
    </row>
    <row r="2025" spans="2:10" x14ac:dyDescent="0.35">
      <c r="B2025" s="160">
        <f t="shared" si="117"/>
        <v>63</v>
      </c>
      <c r="C2025" s="160">
        <f t="shared" si="118"/>
        <v>103</v>
      </c>
      <c r="D2025" s="160">
        <f t="shared" si="119"/>
        <v>4</v>
      </c>
      <c r="E2025" s="160">
        <f t="shared" si="120"/>
        <v>10</v>
      </c>
      <c r="F2025" s="160">
        <f t="shared" si="121"/>
        <v>1</v>
      </c>
      <c r="G2025" s="160">
        <f t="shared" si="122"/>
        <v>2</v>
      </c>
      <c r="H2025" s="160">
        <f t="shared" si="123"/>
        <v>2</v>
      </c>
      <c r="I2025" s="160">
        <f t="shared" si="124"/>
        <v>28</v>
      </c>
      <c r="J2025" s="160">
        <f t="shared" si="125"/>
        <v>2</v>
      </c>
    </row>
    <row r="2026" spans="2:10" x14ac:dyDescent="0.35">
      <c r="B2026" s="160">
        <f t="shared" si="117"/>
        <v>63</v>
      </c>
      <c r="C2026" s="160">
        <f t="shared" si="118"/>
        <v>103</v>
      </c>
      <c r="D2026" s="160">
        <f t="shared" si="119"/>
        <v>4</v>
      </c>
      <c r="E2026" s="160">
        <f t="shared" si="120"/>
        <v>10</v>
      </c>
      <c r="F2026" s="160">
        <f t="shared" si="121"/>
        <v>1</v>
      </c>
      <c r="G2026" s="160">
        <f t="shared" si="122"/>
        <v>3</v>
      </c>
      <c r="H2026" s="160">
        <f t="shared" si="123"/>
        <v>20</v>
      </c>
      <c r="I2026" s="160">
        <f t="shared" si="124"/>
        <v>52</v>
      </c>
      <c r="J2026" s="160">
        <f t="shared" si="125"/>
        <v>2</v>
      </c>
    </row>
    <row r="2027" spans="2:10" x14ac:dyDescent="0.35">
      <c r="B2027" s="160">
        <f t="shared" si="117"/>
        <v>64</v>
      </c>
      <c r="C2027" s="160">
        <f t="shared" si="118"/>
        <v>104</v>
      </c>
      <c r="D2027" s="160">
        <f t="shared" si="119"/>
        <v>2</v>
      </c>
      <c r="E2027" s="160">
        <f t="shared" si="120"/>
        <v>10</v>
      </c>
      <c r="F2027" s="160">
        <f t="shared" si="121"/>
        <v>26</v>
      </c>
      <c r="G2027" s="160">
        <f t="shared" si="122"/>
        <v>2</v>
      </c>
      <c r="H2027" s="160">
        <f t="shared" si="123"/>
        <v>2</v>
      </c>
      <c r="I2027" s="160">
        <f t="shared" si="124"/>
        <v>99</v>
      </c>
      <c r="J2027" s="160">
        <f t="shared" si="125"/>
        <v>2</v>
      </c>
    </row>
    <row r="2028" spans="2:10" x14ac:dyDescent="0.35">
      <c r="B2028" s="160">
        <f t="shared" si="117"/>
        <v>64</v>
      </c>
      <c r="C2028" s="160">
        <f t="shared" si="118"/>
        <v>104</v>
      </c>
      <c r="D2028" s="160">
        <f t="shared" si="119"/>
        <v>2</v>
      </c>
      <c r="E2028" s="160">
        <f t="shared" si="120"/>
        <v>10</v>
      </c>
      <c r="F2028" s="160">
        <f t="shared" si="121"/>
        <v>26</v>
      </c>
      <c r="G2028" s="160">
        <f t="shared" si="122"/>
        <v>5</v>
      </c>
      <c r="H2028" s="160">
        <f t="shared" si="123"/>
        <v>20</v>
      </c>
      <c r="I2028" s="160">
        <f t="shared" si="124"/>
        <v>8</v>
      </c>
      <c r="J2028" s="160">
        <f t="shared" si="125"/>
        <v>2</v>
      </c>
    </row>
    <row r="2029" spans="2:10" x14ac:dyDescent="0.35">
      <c r="B2029" s="160">
        <f t="shared" si="117"/>
        <v>64</v>
      </c>
      <c r="C2029" s="160">
        <f t="shared" si="118"/>
        <v>104</v>
      </c>
      <c r="D2029" s="160">
        <f t="shared" si="119"/>
        <v>2</v>
      </c>
      <c r="E2029" s="160">
        <f t="shared" si="120"/>
        <v>10</v>
      </c>
      <c r="F2029" s="160">
        <f t="shared" si="121"/>
        <v>27</v>
      </c>
      <c r="G2029" s="160">
        <f t="shared" si="122"/>
        <v>2</v>
      </c>
      <c r="H2029" s="160">
        <f t="shared" si="123"/>
        <v>11</v>
      </c>
      <c r="I2029" s="160">
        <f t="shared" si="124"/>
        <v>24</v>
      </c>
      <c r="J2029" s="160">
        <f t="shared" si="125"/>
        <v>1</v>
      </c>
    </row>
    <row r="2030" spans="2:10" x14ac:dyDescent="0.35">
      <c r="B2030" s="160">
        <f t="shared" si="117"/>
        <v>64</v>
      </c>
      <c r="C2030" s="160">
        <f t="shared" si="118"/>
        <v>104</v>
      </c>
      <c r="D2030" s="160">
        <f t="shared" si="119"/>
        <v>2</v>
      </c>
      <c r="E2030" s="160">
        <f t="shared" si="120"/>
        <v>10</v>
      </c>
      <c r="F2030" s="160">
        <f t="shared" si="121"/>
        <v>27</v>
      </c>
      <c r="G2030" s="160">
        <f t="shared" si="122"/>
        <v>5</v>
      </c>
      <c r="H2030" s="160">
        <f t="shared" si="123"/>
        <v>20</v>
      </c>
      <c r="I2030" s="160">
        <f t="shared" si="124"/>
        <v>30</v>
      </c>
      <c r="J2030" s="160">
        <f t="shared" si="125"/>
        <v>1</v>
      </c>
    </row>
    <row r="2031" spans="2:10" x14ac:dyDescent="0.35">
      <c r="B2031" s="160">
        <f t="shared" si="117"/>
        <v>64</v>
      </c>
      <c r="C2031" s="160">
        <f t="shared" si="118"/>
        <v>49</v>
      </c>
      <c r="D2031" s="160">
        <f t="shared" si="119"/>
        <v>2</v>
      </c>
      <c r="E2031" s="160">
        <f t="shared" si="120"/>
        <v>10</v>
      </c>
      <c r="F2031" s="160">
        <f t="shared" si="121"/>
        <v>27</v>
      </c>
      <c r="G2031" s="160">
        <f t="shared" si="122"/>
        <v>1</v>
      </c>
      <c r="H2031" s="160">
        <f t="shared" si="123"/>
        <v>20</v>
      </c>
      <c r="I2031" s="160">
        <f t="shared" si="124"/>
        <v>45</v>
      </c>
      <c r="J2031" s="160">
        <f t="shared" si="125"/>
        <v>2</v>
      </c>
    </row>
    <row r="2032" spans="2:10" x14ac:dyDescent="0.35">
      <c r="B2032" s="160">
        <f t="shared" si="117"/>
        <v>64</v>
      </c>
      <c r="C2032" s="160">
        <f t="shared" si="118"/>
        <v>49</v>
      </c>
      <c r="D2032" s="160">
        <f t="shared" si="119"/>
        <v>2</v>
      </c>
      <c r="E2032" s="160">
        <f t="shared" si="120"/>
        <v>10</v>
      </c>
      <c r="F2032" s="160">
        <f t="shared" si="121"/>
        <v>27</v>
      </c>
      <c r="G2032" s="160">
        <f t="shared" si="122"/>
        <v>3</v>
      </c>
      <c r="H2032" s="160">
        <f t="shared" si="123"/>
        <v>20</v>
      </c>
      <c r="I2032" s="160">
        <f t="shared" si="124"/>
        <v>30</v>
      </c>
      <c r="J2032" s="160">
        <f t="shared" si="125"/>
        <v>2</v>
      </c>
    </row>
    <row r="2033" spans="2:10" x14ac:dyDescent="0.35">
      <c r="B2033" s="160">
        <f t="shared" si="117"/>
        <v>64</v>
      </c>
      <c r="C2033" s="160">
        <f t="shared" si="118"/>
        <v>24</v>
      </c>
      <c r="D2033" s="160">
        <f t="shared" si="119"/>
        <v>2</v>
      </c>
      <c r="E2033" s="160">
        <f t="shared" si="120"/>
        <v>4</v>
      </c>
      <c r="F2033" s="160">
        <f t="shared" si="121"/>
        <v>48</v>
      </c>
      <c r="G2033" s="160">
        <f t="shared" si="122"/>
        <v>2</v>
      </c>
      <c r="H2033" s="160">
        <f t="shared" si="123"/>
        <v>23</v>
      </c>
      <c r="I2033" s="160">
        <f t="shared" si="124"/>
        <v>7</v>
      </c>
      <c r="J2033" s="160">
        <f t="shared" si="125"/>
        <v>2</v>
      </c>
    </row>
    <row r="2034" spans="2:10" x14ac:dyDescent="0.35">
      <c r="B2034" s="160">
        <f t="shared" si="117"/>
        <v>64</v>
      </c>
      <c r="C2034" s="160">
        <f t="shared" si="118"/>
        <v>24</v>
      </c>
      <c r="D2034" s="160">
        <f t="shared" si="119"/>
        <v>2</v>
      </c>
      <c r="E2034" s="160">
        <f t="shared" si="120"/>
        <v>4</v>
      </c>
      <c r="F2034" s="160">
        <f t="shared" si="121"/>
        <v>48</v>
      </c>
      <c r="G2034" s="160">
        <f t="shared" si="122"/>
        <v>5</v>
      </c>
      <c r="H2034" s="160">
        <f t="shared" si="123"/>
        <v>23</v>
      </c>
      <c r="I2034" s="160">
        <f t="shared" si="124"/>
        <v>7</v>
      </c>
      <c r="J2034" s="160">
        <f t="shared" si="125"/>
        <v>2</v>
      </c>
    </row>
    <row r="2035" spans="2:10" x14ac:dyDescent="0.35">
      <c r="B2035" s="160">
        <f t="shared" si="117"/>
        <v>64</v>
      </c>
      <c r="C2035" s="160">
        <f t="shared" si="118"/>
        <v>48</v>
      </c>
      <c r="D2035" s="160">
        <f t="shared" si="119"/>
        <v>2</v>
      </c>
      <c r="E2035" s="160">
        <f t="shared" si="120"/>
        <v>4</v>
      </c>
      <c r="F2035" s="160">
        <f t="shared" si="121"/>
        <v>25</v>
      </c>
      <c r="G2035" s="160">
        <f t="shared" si="122"/>
        <v>1</v>
      </c>
      <c r="H2035" s="160">
        <f t="shared" si="123"/>
        <v>11</v>
      </c>
      <c r="I2035" s="160">
        <f t="shared" si="124"/>
        <v>27</v>
      </c>
      <c r="J2035" s="160">
        <f t="shared" si="125"/>
        <v>1</v>
      </c>
    </row>
    <row r="2036" spans="2:10" x14ac:dyDescent="0.35">
      <c r="B2036" s="160">
        <f t="shared" si="117"/>
        <v>64</v>
      </c>
      <c r="C2036" s="160">
        <f t="shared" si="118"/>
        <v>48</v>
      </c>
      <c r="D2036" s="160">
        <f t="shared" si="119"/>
        <v>2</v>
      </c>
      <c r="E2036" s="160">
        <f t="shared" si="120"/>
        <v>4</v>
      </c>
      <c r="F2036" s="160">
        <f t="shared" si="121"/>
        <v>25</v>
      </c>
      <c r="G2036" s="160">
        <f t="shared" si="122"/>
        <v>5</v>
      </c>
      <c r="H2036" s="160">
        <f t="shared" si="123"/>
        <v>8</v>
      </c>
      <c r="I2036" s="160">
        <f t="shared" si="124"/>
        <v>20</v>
      </c>
      <c r="J2036" s="160">
        <f t="shared" si="125"/>
        <v>1</v>
      </c>
    </row>
    <row r="2037" spans="2:10" x14ac:dyDescent="0.35">
      <c r="B2037" s="160">
        <f t="shared" si="117"/>
        <v>64</v>
      </c>
      <c r="C2037" s="160">
        <f t="shared" si="118"/>
        <v>26</v>
      </c>
      <c r="D2037" s="160">
        <f t="shared" si="119"/>
        <v>4</v>
      </c>
      <c r="E2037" s="160">
        <f t="shared" si="120"/>
        <v>8</v>
      </c>
      <c r="F2037" s="160">
        <f t="shared" si="121"/>
        <v>43</v>
      </c>
      <c r="G2037" s="160">
        <f t="shared" si="122"/>
        <v>2</v>
      </c>
      <c r="H2037" s="160">
        <f t="shared" si="123"/>
        <v>22</v>
      </c>
      <c r="I2037" s="160">
        <f t="shared" si="124"/>
        <v>1</v>
      </c>
      <c r="J2037" s="160">
        <f t="shared" si="125"/>
        <v>1</v>
      </c>
    </row>
    <row r="2038" spans="2:10" x14ac:dyDescent="0.35">
      <c r="B2038" s="160">
        <f t="shared" si="117"/>
        <v>64</v>
      </c>
      <c r="C2038" s="160">
        <f t="shared" si="118"/>
        <v>26</v>
      </c>
      <c r="D2038" s="160">
        <f t="shared" si="119"/>
        <v>4</v>
      </c>
      <c r="E2038" s="160">
        <f t="shared" si="120"/>
        <v>8</v>
      </c>
      <c r="F2038" s="160">
        <f t="shared" si="121"/>
        <v>43</v>
      </c>
      <c r="G2038" s="160">
        <f t="shared" si="122"/>
        <v>4</v>
      </c>
      <c r="H2038" s="160">
        <f t="shared" si="123"/>
        <v>18</v>
      </c>
      <c r="I2038" s="160">
        <f t="shared" si="124"/>
        <v>1</v>
      </c>
      <c r="J2038" s="160">
        <f t="shared" si="125"/>
        <v>1</v>
      </c>
    </row>
    <row r="2039" spans="2:10" x14ac:dyDescent="0.35">
      <c r="B2039" s="160">
        <f t="shared" si="117"/>
        <v>64</v>
      </c>
      <c r="C2039" s="160">
        <f t="shared" si="118"/>
        <v>26</v>
      </c>
      <c r="D2039" s="160">
        <f t="shared" si="119"/>
        <v>4</v>
      </c>
      <c r="E2039" s="160">
        <f t="shared" si="120"/>
        <v>8</v>
      </c>
      <c r="F2039" s="160">
        <f t="shared" si="121"/>
        <v>44</v>
      </c>
      <c r="G2039" s="160">
        <f t="shared" si="122"/>
        <v>1</v>
      </c>
      <c r="H2039" s="160">
        <f t="shared" si="123"/>
        <v>22</v>
      </c>
      <c r="I2039" s="160">
        <f t="shared" si="124"/>
        <v>21</v>
      </c>
      <c r="J2039" s="160">
        <f t="shared" si="125"/>
        <v>1</v>
      </c>
    </row>
    <row r="2040" spans="2:10" x14ac:dyDescent="0.35">
      <c r="B2040" s="160">
        <f t="shared" si="117"/>
        <v>64</v>
      </c>
      <c r="C2040" s="160">
        <f t="shared" si="118"/>
        <v>26</v>
      </c>
      <c r="D2040" s="160">
        <f t="shared" si="119"/>
        <v>4</v>
      </c>
      <c r="E2040" s="160">
        <f t="shared" si="120"/>
        <v>8</v>
      </c>
      <c r="F2040" s="160">
        <f t="shared" si="121"/>
        <v>44</v>
      </c>
      <c r="G2040" s="160">
        <f t="shared" si="122"/>
        <v>3</v>
      </c>
      <c r="H2040" s="160">
        <f t="shared" si="123"/>
        <v>19</v>
      </c>
      <c r="I2040" s="160">
        <f t="shared" si="124"/>
        <v>21</v>
      </c>
      <c r="J2040" s="160">
        <f t="shared" si="125"/>
        <v>1</v>
      </c>
    </row>
    <row r="2041" spans="2:10" x14ac:dyDescent="0.35">
      <c r="B2041" s="160">
        <f t="shared" si="117"/>
        <v>65</v>
      </c>
      <c r="C2041" s="160">
        <f t="shared" si="118"/>
        <v>50</v>
      </c>
      <c r="D2041" s="160">
        <f t="shared" si="119"/>
        <v>3</v>
      </c>
      <c r="E2041" s="160">
        <f t="shared" si="120"/>
        <v>4</v>
      </c>
      <c r="F2041" s="160">
        <f t="shared" si="121"/>
        <v>42</v>
      </c>
      <c r="G2041" s="160">
        <f t="shared" si="122"/>
        <v>1</v>
      </c>
      <c r="H2041" s="160">
        <f t="shared" si="123"/>
        <v>19</v>
      </c>
      <c r="I2041" s="160">
        <f t="shared" si="124"/>
        <v>41</v>
      </c>
      <c r="J2041" s="160">
        <f t="shared" si="125"/>
        <v>2</v>
      </c>
    </row>
    <row r="2042" spans="2:10" x14ac:dyDescent="0.35">
      <c r="B2042" s="160">
        <f t="shared" si="117"/>
        <v>65</v>
      </c>
      <c r="C2042" s="160">
        <f t="shared" si="118"/>
        <v>50</v>
      </c>
      <c r="D2042" s="160">
        <f t="shared" si="119"/>
        <v>3</v>
      </c>
      <c r="E2042" s="160">
        <f t="shared" si="120"/>
        <v>4</v>
      </c>
      <c r="F2042" s="160">
        <f t="shared" si="121"/>
        <v>42</v>
      </c>
      <c r="G2042" s="160">
        <f t="shared" si="122"/>
        <v>3</v>
      </c>
      <c r="H2042" s="160">
        <f t="shared" si="123"/>
        <v>19</v>
      </c>
      <c r="I2042" s="160">
        <f t="shared" si="124"/>
        <v>24</v>
      </c>
      <c r="J2042" s="160">
        <f t="shared" si="125"/>
        <v>2</v>
      </c>
    </row>
    <row r="2043" spans="2:10" x14ac:dyDescent="0.35">
      <c r="B2043" s="160">
        <f t="shared" si="117"/>
        <v>65</v>
      </c>
      <c r="C2043" s="160">
        <f t="shared" si="118"/>
        <v>50</v>
      </c>
      <c r="D2043" s="160">
        <f t="shared" si="119"/>
        <v>3</v>
      </c>
      <c r="E2043" s="160">
        <f t="shared" si="120"/>
        <v>15</v>
      </c>
      <c r="F2043" s="160">
        <f t="shared" si="121"/>
        <v>42</v>
      </c>
      <c r="G2043" s="160">
        <f t="shared" si="122"/>
        <v>2</v>
      </c>
      <c r="H2043" s="160">
        <f t="shared" si="123"/>
        <v>19</v>
      </c>
      <c r="I2043" s="160">
        <f t="shared" si="124"/>
        <v>21</v>
      </c>
      <c r="J2043" s="160">
        <f t="shared" si="125"/>
        <v>2</v>
      </c>
    </row>
    <row r="2044" spans="2:10" x14ac:dyDescent="0.35">
      <c r="B2044" s="160">
        <f t="shared" si="117"/>
        <v>65</v>
      </c>
      <c r="C2044" s="160">
        <f t="shared" si="118"/>
        <v>50</v>
      </c>
      <c r="D2044" s="160">
        <f t="shared" si="119"/>
        <v>3</v>
      </c>
      <c r="E2044" s="160">
        <f t="shared" si="120"/>
        <v>15</v>
      </c>
      <c r="F2044" s="160">
        <f t="shared" si="121"/>
        <v>42</v>
      </c>
      <c r="G2044" s="160">
        <f t="shared" si="122"/>
        <v>5</v>
      </c>
      <c r="H2044" s="160">
        <f t="shared" si="123"/>
        <v>10</v>
      </c>
      <c r="I2044" s="160">
        <f t="shared" si="124"/>
        <v>5</v>
      </c>
      <c r="J2044" s="160">
        <f t="shared" si="125"/>
        <v>2</v>
      </c>
    </row>
    <row r="2045" spans="2:10" x14ac:dyDescent="0.35">
      <c r="B2045" s="160">
        <f t="shared" si="117"/>
        <v>65</v>
      </c>
      <c r="C2045" s="160">
        <f t="shared" si="118"/>
        <v>50</v>
      </c>
      <c r="D2045" s="160">
        <f t="shared" si="119"/>
        <v>3</v>
      </c>
      <c r="E2045" s="160">
        <f t="shared" si="120"/>
        <v>15</v>
      </c>
      <c r="F2045" s="160">
        <f t="shared" si="121"/>
        <v>43</v>
      </c>
      <c r="G2045" s="160">
        <f t="shared" si="122"/>
        <v>1</v>
      </c>
      <c r="H2045" s="160">
        <f t="shared" si="123"/>
        <v>10</v>
      </c>
      <c r="I2045" s="160">
        <f t="shared" si="124"/>
        <v>35</v>
      </c>
      <c r="J2045" s="160">
        <f t="shared" si="125"/>
        <v>2</v>
      </c>
    </row>
    <row r="2046" spans="2:10" x14ac:dyDescent="0.35">
      <c r="B2046" s="160">
        <f t="shared" si="117"/>
        <v>65</v>
      </c>
      <c r="C2046" s="160">
        <f t="shared" si="118"/>
        <v>50</v>
      </c>
      <c r="D2046" s="160">
        <f t="shared" si="119"/>
        <v>3</v>
      </c>
      <c r="E2046" s="160">
        <f t="shared" si="120"/>
        <v>15</v>
      </c>
      <c r="F2046" s="160">
        <f t="shared" si="121"/>
        <v>43</v>
      </c>
      <c r="G2046" s="160">
        <f t="shared" si="122"/>
        <v>4</v>
      </c>
      <c r="H2046" s="160">
        <f t="shared" si="123"/>
        <v>23</v>
      </c>
      <c r="I2046" s="160">
        <f t="shared" si="124"/>
        <v>41</v>
      </c>
      <c r="J2046" s="160">
        <f t="shared" si="125"/>
        <v>2</v>
      </c>
    </row>
    <row r="2047" spans="2:10" x14ac:dyDescent="0.35">
      <c r="B2047" s="160">
        <f t="shared" si="117"/>
        <v>65</v>
      </c>
      <c r="C2047" s="160">
        <f t="shared" si="118"/>
        <v>53</v>
      </c>
      <c r="D2047" s="160">
        <f t="shared" si="119"/>
        <v>4</v>
      </c>
      <c r="E2047" s="160">
        <f t="shared" si="120"/>
        <v>15</v>
      </c>
      <c r="F2047" s="160">
        <f t="shared" si="121"/>
        <v>45</v>
      </c>
      <c r="G2047" s="160">
        <f t="shared" si="122"/>
        <v>1</v>
      </c>
      <c r="H2047" s="160">
        <f t="shared" si="123"/>
        <v>2</v>
      </c>
      <c r="I2047" s="160">
        <f t="shared" si="124"/>
        <v>12</v>
      </c>
      <c r="J2047" s="160">
        <f t="shared" si="125"/>
        <v>1</v>
      </c>
    </row>
    <row r="2048" spans="2:10" x14ac:dyDescent="0.35">
      <c r="B2048" s="160">
        <f t="shared" si="117"/>
        <v>65</v>
      </c>
      <c r="C2048" s="160">
        <f t="shared" si="118"/>
        <v>53</v>
      </c>
      <c r="D2048" s="160">
        <f t="shared" si="119"/>
        <v>4</v>
      </c>
      <c r="E2048" s="160">
        <f t="shared" si="120"/>
        <v>15</v>
      </c>
      <c r="F2048" s="160">
        <f t="shared" si="121"/>
        <v>45</v>
      </c>
      <c r="G2048" s="160">
        <f t="shared" si="122"/>
        <v>4</v>
      </c>
      <c r="H2048" s="160">
        <f t="shared" si="123"/>
        <v>18</v>
      </c>
      <c r="I2048" s="160">
        <f t="shared" si="124"/>
        <v>5</v>
      </c>
      <c r="J2048" s="160">
        <f t="shared" si="125"/>
        <v>1</v>
      </c>
    </row>
    <row r="2049" spans="2:10" x14ac:dyDescent="0.35">
      <c r="B2049" s="160">
        <f t="shared" si="117"/>
        <v>65</v>
      </c>
      <c r="C2049" s="160">
        <f t="shared" si="118"/>
        <v>33</v>
      </c>
      <c r="D2049" s="160">
        <f t="shared" si="119"/>
        <v>1</v>
      </c>
      <c r="E2049" s="160">
        <f t="shared" si="120"/>
        <v>16</v>
      </c>
      <c r="F2049" s="160">
        <f t="shared" si="121"/>
        <v>48</v>
      </c>
      <c r="G2049" s="160">
        <f t="shared" si="122"/>
        <v>1</v>
      </c>
      <c r="H2049" s="160">
        <f t="shared" si="123"/>
        <v>24</v>
      </c>
      <c r="I2049" s="160">
        <f t="shared" si="124"/>
        <v>5</v>
      </c>
      <c r="J2049" s="160">
        <f t="shared" si="125"/>
        <v>1</v>
      </c>
    </row>
    <row r="2050" spans="2:10" x14ac:dyDescent="0.35">
      <c r="B2050" s="160">
        <f t="shared" si="117"/>
        <v>65</v>
      </c>
      <c r="C2050" s="160">
        <f t="shared" si="118"/>
        <v>33</v>
      </c>
      <c r="D2050" s="160">
        <f t="shared" si="119"/>
        <v>1</v>
      </c>
      <c r="E2050" s="160">
        <f t="shared" si="120"/>
        <v>16</v>
      </c>
      <c r="F2050" s="160">
        <f t="shared" si="121"/>
        <v>48</v>
      </c>
      <c r="G2050" s="160">
        <f t="shared" si="122"/>
        <v>3</v>
      </c>
      <c r="H2050" s="160">
        <f t="shared" si="123"/>
        <v>20</v>
      </c>
      <c r="I2050" s="160">
        <f t="shared" si="124"/>
        <v>5</v>
      </c>
      <c r="J2050" s="160">
        <f t="shared" si="125"/>
        <v>1</v>
      </c>
    </row>
    <row r="2051" spans="2:10" x14ac:dyDescent="0.35">
      <c r="B2051" s="160">
        <f t="shared" si="117"/>
        <v>65</v>
      </c>
      <c r="C2051" s="160">
        <f t="shared" si="118"/>
        <v>75</v>
      </c>
      <c r="D2051" s="160">
        <f t="shared" si="119"/>
        <v>2</v>
      </c>
      <c r="E2051" s="160">
        <f t="shared" si="120"/>
        <v>16</v>
      </c>
      <c r="F2051" s="160">
        <f t="shared" si="121"/>
        <v>48</v>
      </c>
      <c r="G2051" s="160">
        <f t="shared" si="122"/>
        <v>1</v>
      </c>
      <c r="H2051" s="160">
        <f t="shared" si="123"/>
        <v>8</v>
      </c>
      <c r="I2051" s="160">
        <f t="shared" si="124"/>
        <v>36</v>
      </c>
      <c r="J2051" s="160">
        <f t="shared" si="125"/>
        <v>1</v>
      </c>
    </row>
    <row r="2052" spans="2:10" x14ac:dyDescent="0.35">
      <c r="B2052" s="160">
        <f t="shared" si="117"/>
        <v>65</v>
      </c>
      <c r="C2052" s="160">
        <f t="shared" si="118"/>
        <v>75</v>
      </c>
      <c r="D2052" s="160">
        <f t="shared" si="119"/>
        <v>2</v>
      </c>
      <c r="E2052" s="160">
        <f t="shared" si="120"/>
        <v>16</v>
      </c>
      <c r="F2052" s="160">
        <f t="shared" si="121"/>
        <v>48</v>
      </c>
      <c r="G2052" s="160">
        <f t="shared" si="122"/>
        <v>2</v>
      </c>
      <c r="H2052" s="160">
        <f t="shared" si="123"/>
        <v>8</v>
      </c>
      <c r="I2052" s="160">
        <f t="shared" si="124"/>
        <v>36</v>
      </c>
      <c r="J2052" s="160">
        <f t="shared" si="125"/>
        <v>1</v>
      </c>
    </row>
    <row r="2053" spans="2:10" x14ac:dyDescent="0.35">
      <c r="B2053" s="160">
        <f t="shared" si="117"/>
        <v>65</v>
      </c>
      <c r="C2053" s="160">
        <f t="shared" si="118"/>
        <v>79</v>
      </c>
      <c r="D2053" s="160">
        <f t="shared" si="119"/>
        <v>2</v>
      </c>
      <c r="E2053" s="160">
        <f t="shared" si="120"/>
        <v>17</v>
      </c>
      <c r="F2053" s="160">
        <f t="shared" si="121"/>
        <v>42</v>
      </c>
      <c r="G2053" s="160">
        <f t="shared" si="122"/>
        <v>2</v>
      </c>
      <c r="H2053" s="160">
        <f t="shared" si="123"/>
        <v>11</v>
      </c>
      <c r="I2053" s="160">
        <f t="shared" si="124"/>
        <v>22</v>
      </c>
      <c r="J2053" s="160">
        <f t="shared" si="125"/>
        <v>2</v>
      </c>
    </row>
    <row r="2054" spans="2:10" x14ac:dyDescent="0.35">
      <c r="B2054" s="160">
        <f t="shared" si="117"/>
        <v>65</v>
      </c>
      <c r="C2054" s="160">
        <f t="shared" si="118"/>
        <v>79</v>
      </c>
      <c r="D2054" s="160">
        <f t="shared" si="119"/>
        <v>2</v>
      </c>
      <c r="E2054" s="160">
        <f t="shared" si="120"/>
        <v>17</v>
      </c>
      <c r="F2054" s="160">
        <f t="shared" si="121"/>
        <v>42</v>
      </c>
      <c r="G2054" s="160">
        <f t="shared" si="122"/>
        <v>4</v>
      </c>
      <c r="H2054" s="160">
        <f t="shared" si="123"/>
        <v>11</v>
      </c>
      <c r="I2054" s="160">
        <f t="shared" si="124"/>
        <v>22</v>
      </c>
      <c r="J2054" s="160">
        <f t="shared" si="125"/>
        <v>2</v>
      </c>
    </row>
    <row r="2055" spans="2:10" x14ac:dyDescent="0.35">
      <c r="B2055" s="160">
        <f t="shared" si="117"/>
        <v>65</v>
      </c>
      <c r="C2055" s="160">
        <f t="shared" si="118"/>
        <v>16</v>
      </c>
      <c r="D2055" s="160">
        <f t="shared" si="119"/>
        <v>3</v>
      </c>
      <c r="E2055" s="160">
        <f t="shared" si="120"/>
        <v>17</v>
      </c>
      <c r="F2055" s="160">
        <f t="shared" si="121"/>
        <v>43</v>
      </c>
      <c r="G2055" s="160">
        <f t="shared" si="122"/>
        <v>1</v>
      </c>
      <c r="H2055" s="160">
        <f t="shared" si="123"/>
        <v>3</v>
      </c>
      <c r="I2055" s="160">
        <f t="shared" si="124"/>
        <v>34</v>
      </c>
      <c r="J2055" s="160">
        <f t="shared" si="125"/>
        <v>1</v>
      </c>
    </row>
    <row r="2056" spans="2:10" x14ac:dyDescent="0.35">
      <c r="B2056" s="160">
        <f t="shared" si="117"/>
        <v>65</v>
      </c>
      <c r="C2056" s="160">
        <f t="shared" si="118"/>
        <v>16</v>
      </c>
      <c r="D2056" s="160">
        <f t="shared" si="119"/>
        <v>3</v>
      </c>
      <c r="E2056" s="160">
        <f t="shared" si="120"/>
        <v>17</v>
      </c>
      <c r="F2056" s="160">
        <f t="shared" si="121"/>
        <v>43</v>
      </c>
      <c r="G2056" s="160">
        <f t="shared" si="122"/>
        <v>4</v>
      </c>
      <c r="H2056" s="160">
        <f t="shared" si="123"/>
        <v>3</v>
      </c>
      <c r="I2056" s="160">
        <f t="shared" si="124"/>
        <v>34</v>
      </c>
      <c r="J2056" s="160">
        <f t="shared" si="125"/>
        <v>1</v>
      </c>
    </row>
    <row r="2057" spans="2:10" x14ac:dyDescent="0.35">
      <c r="B2057" s="160">
        <f t="shared" si="117"/>
        <v>65</v>
      </c>
      <c r="C2057" s="160">
        <f t="shared" si="118"/>
        <v>29</v>
      </c>
      <c r="D2057" s="160">
        <f t="shared" si="119"/>
        <v>2</v>
      </c>
      <c r="E2057" s="160">
        <f t="shared" si="120"/>
        <v>17</v>
      </c>
      <c r="F2057" s="160">
        <f t="shared" si="121"/>
        <v>47</v>
      </c>
      <c r="G2057" s="160">
        <f t="shared" si="122"/>
        <v>2</v>
      </c>
      <c r="H2057" s="160">
        <f t="shared" si="123"/>
        <v>2</v>
      </c>
      <c r="I2057" s="160">
        <f t="shared" si="124"/>
        <v>9</v>
      </c>
      <c r="J2057" s="160">
        <f t="shared" si="125"/>
        <v>2</v>
      </c>
    </row>
    <row r="2058" spans="2:10" x14ac:dyDescent="0.35">
      <c r="B2058" s="160">
        <f t="shared" si="117"/>
        <v>65</v>
      </c>
      <c r="C2058" s="160">
        <f t="shared" si="118"/>
        <v>29</v>
      </c>
      <c r="D2058" s="160">
        <f t="shared" si="119"/>
        <v>2</v>
      </c>
      <c r="E2058" s="160">
        <f t="shared" si="120"/>
        <v>17</v>
      </c>
      <c r="F2058" s="160">
        <f t="shared" si="121"/>
        <v>47</v>
      </c>
      <c r="G2058" s="160">
        <f t="shared" si="122"/>
        <v>5</v>
      </c>
      <c r="H2058" s="160">
        <f t="shared" si="123"/>
        <v>2</v>
      </c>
      <c r="I2058" s="160">
        <f t="shared" si="124"/>
        <v>9</v>
      </c>
      <c r="J2058" s="160">
        <f t="shared" si="125"/>
        <v>2</v>
      </c>
    </row>
    <row r="2059" spans="2:10" x14ac:dyDescent="0.35">
      <c r="B2059" s="160">
        <f t="shared" si="117"/>
        <v>66</v>
      </c>
      <c r="C2059" s="160">
        <f t="shared" si="118"/>
        <v>20</v>
      </c>
      <c r="D2059" s="160">
        <f t="shared" si="119"/>
        <v>3</v>
      </c>
      <c r="E2059" s="160">
        <f t="shared" si="120"/>
        <v>8</v>
      </c>
      <c r="F2059" s="160">
        <f t="shared" si="121"/>
        <v>48</v>
      </c>
      <c r="G2059" s="160">
        <f t="shared" si="122"/>
        <v>3</v>
      </c>
      <c r="H2059" s="160">
        <f t="shared" si="123"/>
        <v>23</v>
      </c>
      <c r="I2059" s="160">
        <f t="shared" si="124"/>
        <v>4</v>
      </c>
      <c r="J2059" s="160">
        <f t="shared" si="125"/>
        <v>1</v>
      </c>
    </row>
    <row r="2060" spans="2:10" x14ac:dyDescent="0.35">
      <c r="B2060" s="160">
        <f t="shared" si="117"/>
        <v>66</v>
      </c>
      <c r="C2060" s="160">
        <f t="shared" si="118"/>
        <v>20</v>
      </c>
      <c r="D2060" s="160">
        <f t="shared" si="119"/>
        <v>3</v>
      </c>
      <c r="E2060" s="160">
        <f t="shared" si="120"/>
        <v>8</v>
      </c>
      <c r="F2060" s="160">
        <f t="shared" si="121"/>
        <v>48</v>
      </c>
      <c r="G2060" s="160">
        <f t="shared" si="122"/>
        <v>5</v>
      </c>
      <c r="H2060" s="160">
        <f t="shared" si="123"/>
        <v>1</v>
      </c>
      <c r="I2060" s="160">
        <f t="shared" si="124"/>
        <v>4</v>
      </c>
      <c r="J2060" s="160">
        <f t="shared" si="125"/>
        <v>1</v>
      </c>
    </row>
    <row r="2061" spans="2:10" x14ac:dyDescent="0.35">
      <c r="B2061" s="160">
        <f t="shared" si="117"/>
        <v>66</v>
      </c>
      <c r="C2061" s="160">
        <f t="shared" si="118"/>
        <v>20</v>
      </c>
      <c r="D2061" s="160">
        <f t="shared" si="119"/>
        <v>3</v>
      </c>
      <c r="E2061" s="160">
        <f t="shared" si="120"/>
        <v>8</v>
      </c>
      <c r="F2061" s="160">
        <f t="shared" si="121"/>
        <v>49</v>
      </c>
      <c r="G2061" s="160">
        <f t="shared" si="122"/>
        <v>3</v>
      </c>
      <c r="H2061" s="160">
        <f t="shared" si="123"/>
        <v>19</v>
      </c>
      <c r="I2061" s="160">
        <f t="shared" si="124"/>
        <v>20</v>
      </c>
      <c r="J2061" s="160">
        <f t="shared" si="125"/>
        <v>1</v>
      </c>
    </row>
    <row r="2062" spans="2:10" x14ac:dyDescent="0.35">
      <c r="B2062" s="160">
        <f t="shared" si="117"/>
        <v>66</v>
      </c>
      <c r="C2062" s="160">
        <f t="shared" si="118"/>
        <v>20</v>
      </c>
      <c r="D2062" s="160">
        <f t="shared" si="119"/>
        <v>3</v>
      </c>
      <c r="E2062" s="160">
        <f t="shared" si="120"/>
        <v>8</v>
      </c>
      <c r="F2062" s="160">
        <f t="shared" si="121"/>
        <v>49</v>
      </c>
      <c r="G2062" s="160">
        <f t="shared" si="122"/>
        <v>5</v>
      </c>
      <c r="H2062" s="160">
        <f t="shared" si="123"/>
        <v>10</v>
      </c>
      <c r="I2062" s="160">
        <f t="shared" si="124"/>
        <v>1</v>
      </c>
      <c r="J2062" s="160">
        <f t="shared" si="125"/>
        <v>1</v>
      </c>
    </row>
    <row r="2063" spans="2:10" x14ac:dyDescent="0.35">
      <c r="B2063" s="160">
        <f t="shared" si="117"/>
        <v>66</v>
      </c>
      <c r="C2063" s="160">
        <f t="shared" si="118"/>
        <v>20</v>
      </c>
      <c r="D2063" s="160">
        <f t="shared" si="119"/>
        <v>3</v>
      </c>
      <c r="E2063" s="160">
        <f t="shared" si="120"/>
        <v>8</v>
      </c>
      <c r="F2063" s="160">
        <f t="shared" si="121"/>
        <v>50</v>
      </c>
      <c r="G2063" s="160">
        <f t="shared" si="122"/>
        <v>1</v>
      </c>
      <c r="H2063" s="160">
        <f t="shared" si="123"/>
        <v>10</v>
      </c>
      <c r="I2063" s="160">
        <f t="shared" si="124"/>
        <v>66</v>
      </c>
      <c r="J2063" s="160">
        <f t="shared" si="125"/>
        <v>1</v>
      </c>
    </row>
    <row r="2064" spans="2:10" x14ac:dyDescent="0.35">
      <c r="B2064" s="160">
        <f t="shared" si="117"/>
        <v>66</v>
      </c>
      <c r="C2064" s="160">
        <f t="shared" si="118"/>
        <v>20</v>
      </c>
      <c r="D2064" s="160">
        <f t="shared" si="119"/>
        <v>3</v>
      </c>
      <c r="E2064" s="160">
        <f t="shared" si="120"/>
        <v>8</v>
      </c>
      <c r="F2064" s="160">
        <f t="shared" si="121"/>
        <v>50</v>
      </c>
      <c r="G2064" s="160">
        <f t="shared" si="122"/>
        <v>4</v>
      </c>
      <c r="H2064" s="160">
        <f t="shared" si="123"/>
        <v>17</v>
      </c>
      <c r="I2064" s="160">
        <f t="shared" si="124"/>
        <v>66</v>
      </c>
      <c r="J2064" s="160">
        <f t="shared" si="125"/>
        <v>1</v>
      </c>
    </row>
    <row r="2065" spans="2:10" x14ac:dyDescent="0.35">
      <c r="B2065" s="160">
        <f t="shared" si="117"/>
        <v>66</v>
      </c>
      <c r="C2065" s="160">
        <f t="shared" si="118"/>
        <v>20</v>
      </c>
      <c r="D2065" s="160">
        <f t="shared" si="119"/>
        <v>3</v>
      </c>
      <c r="E2065" s="160">
        <f t="shared" si="120"/>
        <v>8</v>
      </c>
      <c r="F2065" s="160">
        <f t="shared" si="121"/>
        <v>51</v>
      </c>
      <c r="G2065" s="160">
        <f t="shared" si="122"/>
        <v>1</v>
      </c>
      <c r="H2065" s="160">
        <f t="shared" si="123"/>
        <v>23</v>
      </c>
      <c r="I2065" s="160">
        <f t="shared" si="124"/>
        <v>10</v>
      </c>
      <c r="J2065" s="160">
        <f t="shared" si="125"/>
        <v>1</v>
      </c>
    </row>
    <row r="2066" spans="2:10" x14ac:dyDescent="0.35">
      <c r="B2066" s="160">
        <f t="shared" si="117"/>
        <v>66</v>
      </c>
      <c r="C2066" s="160">
        <f t="shared" si="118"/>
        <v>20</v>
      </c>
      <c r="D2066" s="160">
        <f t="shared" si="119"/>
        <v>3</v>
      </c>
      <c r="E2066" s="160">
        <f t="shared" si="120"/>
        <v>8</v>
      </c>
      <c r="F2066" s="160">
        <f t="shared" si="121"/>
        <v>51</v>
      </c>
      <c r="G2066" s="160">
        <f t="shared" si="122"/>
        <v>4</v>
      </c>
      <c r="H2066" s="160">
        <f t="shared" si="123"/>
        <v>23</v>
      </c>
      <c r="I2066" s="160">
        <f t="shared" si="124"/>
        <v>10</v>
      </c>
      <c r="J2066" s="160">
        <f t="shared" si="125"/>
        <v>1</v>
      </c>
    </row>
    <row r="2067" spans="2:10" x14ac:dyDescent="0.35">
      <c r="B2067" s="160">
        <f t="shared" si="117"/>
        <v>66</v>
      </c>
      <c r="C2067" s="160">
        <f t="shared" si="118"/>
        <v>105</v>
      </c>
      <c r="D2067" s="160">
        <f t="shared" si="119"/>
        <v>4</v>
      </c>
      <c r="E2067" s="160">
        <f t="shared" si="120"/>
        <v>8</v>
      </c>
      <c r="F2067" s="160">
        <f t="shared" si="121"/>
        <v>48</v>
      </c>
      <c r="G2067" s="160">
        <f t="shared" si="122"/>
        <v>2</v>
      </c>
      <c r="H2067" s="160">
        <f t="shared" si="123"/>
        <v>11</v>
      </c>
      <c r="I2067" s="160">
        <f t="shared" si="124"/>
        <v>19</v>
      </c>
      <c r="J2067" s="160">
        <f t="shared" si="125"/>
        <v>2</v>
      </c>
    </row>
    <row r="2068" spans="2:10" x14ac:dyDescent="0.35">
      <c r="B2068" s="160">
        <f t="shared" si="117"/>
        <v>66</v>
      </c>
      <c r="C2068" s="160">
        <f t="shared" si="118"/>
        <v>105</v>
      </c>
      <c r="D2068" s="160">
        <f t="shared" si="119"/>
        <v>4</v>
      </c>
      <c r="E2068" s="160">
        <f t="shared" si="120"/>
        <v>8</v>
      </c>
      <c r="F2068" s="160">
        <f t="shared" si="121"/>
        <v>48</v>
      </c>
      <c r="G2068" s="160">
        <f t="shared" si="122"/>
        <v>4</v>
      </c>
      <c r="H2068" s="160">
        <f t="shared" si="123"/>
        <v>20</v>
      </c>
      <c r="I2068" s="160">
        <f t="shared" si="124"/>
        <v>19</v>
      </c>
      <c r="J2068" s="160">
        <f t="shared" si="125"/>
        <v>2</v>
      </c>
    </row>
    <row r="2069" spans="2:10" x14ac:dyDescent="0.35">
      <c r="B2069" s="160">
        <f t="shared" si="117"/>
        <v>66</v>
      </c>
      <c r="C2069" s="160">
        <f t="shared" si="118"/>
        <v>105</v>
      </c>
      <c r="D2069" s="160">
        <f t="shared" si="119"/>
        <v>4</v>
      </c>
      <c r="E2069" s="160">
        <f t="shared" si="120"/>
        <v>8</v>
      </c>
      <c r="F2069" s="160">
        <f t="shared" si="121"/>
        <v>49</v>
      </c>
      <c r="G2069" s="160">
        <f t="shared" si="122"/>
        <v>2</v>
      </c>
      <c r="H2069" s="160">
        <f t="shared" si="123"/>
        <v>20</v>
      </c>
      <c r="I2069" s="160">
        <f t="shared" si="124"/>
        <v>18</v>
      </c>
      <c r="J2069" s="160">
        <f t="shared" si="125"/>
        <v>2</v>
      </c>
    </row>
    <row r="2070" spans="2:10" x14ac:dyDescent="0.35">
      <c r="B2070" s="160">
        <f t="shared" si="117"/>
        <v>66</v>
      </c>
      <c r="C2070" s="160">
        <f t="shared" si="118"/>
        <v>105</v>
      </c>
      <c r="D2070" s="160">
        <f t="shared" si="119"/>
        <v>4</v>
      </c>
      <c r="E2070" s="160">
        <f t="shared" si="120"/>
        <v>8</v>
      </c>
      <c r="F2070" s="160">
        <f t="shared" si="121"/>
        <v>49</v>
      </c>
      <c r="G2070" s="160">
        <f t="shared" si="122"/>
        <v>5</v>
      </c>
      <c r="H2070" s="160">
        <f t="shared" si="123"/>
        <v>2</v>
      </c>
      <c r="I2070" s="160">
        <f t="shared" si="124"/>
        <v>18</v>
      </c>
      <c r="J2070" s="160">
        <f t="shared" si="125"/>
        <v>2</v>
      </c>
    </row>
    <row r="2071" spans="2:10" x14ac:dyDescent="0.35">
      <c r="B2071" s="160">
        <f t="shared" si="117"/>
        <v>66</v>
      </c>
      <c r="C2071" s="160">
        <f t="shared" si="118"/>
        <v>105</v>
      </c>
      <c r="D2071" s="160">
        <f t="shared" si="119"/>
        <v>4</v>
      </c>
      <c r="E2071" s="160">
        <f t="shared" si="120"/>
        <v>8</v>
      </c>
      <c r="F2071" s="160">
        <f t="shared" si="121"/>
        <v>50</v>
      </c>
      <c r="G2071" s="160">
        <f t="shared" si="122"/>
        <v>2</v>
      </c>
      <c r="H2071" s="160">
        <f t="shared" si="123"/>
        <v>2</v>
      </c>
      <c r="I2071" s="160">
        <f t="shared" si="124"/>
        <v>29</v>
      </c>
      <c r="J2071" s="160">
        <f t="shared" si="125"/>
        <v>2</v>
      </c>
    </row>
    <row r="2072" spans="2:10" x14ac:dyDescent="0.35">
      <c r="B2072" s="160">
        <f t="shared" si="117"/>
        <v>66</v>
      </c>
      <c r="C2072" s="160">
        <f t="shared" si="118"/>
        <v>105</v>
      </c>
      <c r="D2072" s="160">
        <f t="shared" si="119"/>
        <v>4</v>
      </c>
      <c r="E2072" s="160">
        <f t="shared" si="120"/>
        <v>8</v>
      </c>
      <c r="F2072" s="160">
        <f t="shared" si="121"/>
        <v>50</v>
      </c>
      <c r="G2072" s="160">
        <f t="shared" si="122"/>
        <v>5</v>
      </c>
      <c r="H2072" s="160">
        <f t="shared" si="123"/>
        <v>20</v>
      </c>
      <c r="I2072" s="160">
        <f t="shared" si="124"/>
        <v>29</v>
      </c>
      <c r="J2072" s="160">
        <f t="shared" si="125"/>
        <v>2</v>
      </c>
    </row>
    <row r="2073" spans="2:10" x14ac:dyDescent="0.35">
      <c r="B2073" s="160">
        <f t="shared" ref="B2073:B2136" si="126">INDEX($A$2:$A$85,MATCH(I958,$B$2:$B$85,0))</f>
        <v>66</v>
      </c>
      <c r="C2073" s="160">
        <f t="shared" ref="C2073:C2136" si="127">INDEX($D$2:$D$117,MATCH(J958,$E$2:$E$117,0))</f>
        <v>105</v>
      </c>
      <c r="D2073" s="160">
        <f t="shared" ref="D2073:D2136" si="128">INDEX($P$2:$P$5,MATCH(K958,$Q$2:$Q$5,0))</f>
        <v>4</v>
      </c>
      <c r="E2073" s="160">
        <f t="shared" ref="E2073:E2136" si="129">INDEX($G$2:$G$19,MATCH(L958,$H$2:$H$19,0))</f>
        <v>8</v>
      </c>
      <c r="F2073" s="160">
        <f t="shared" ref="F2073:F2136" si="130">INDEX($J$2:$J$55,MATCH(M958,$K$2:$K$55,0))</f>
        <v>51</v>
      </c>
      <c r="G2073" s="160">
        <f t="shared" ref="G2073:G2136" si="131">INDEX($M$2:$M$6,MATCH(N958,$N$2:$N$6,0))</f>
        <v>1</v>
      </c>
      <c r="H2073" s="160">
        <f t="shared" ref="H2073:H2136" si="132">INDEX($S$2:$S$26,MATCH(O958,$T$2:$T$26,0))</f>
        <v>11</v>
      </c>
      <c r="I2073" s="160">
        <f t="shared" ref="I2073:I2136" si="133">INDEX($V$2:$V$108,MATCH(P958,$W$2:$W$108,0))</f>
        <v>29</v>
      </c>
      <c r="J2073" s="160">
        <f t="shared" ref="J2073:J2136" si="134">INDEX($Y$2:$Y$4,MATCH(Q958,$Z$2:$Z$4,0))</f>
        <v>2</v>
      </c>
    </row>
    <row r="2074" spans="2:10" x14ac:dyDescent="0.35">
      <c r="B2074" s="160">
        <f t="shared" si="126"/>
        <v>66</v>
      </c>
      <c r="C2074" s="160">
        <f t="shared" si="127"/>
        <v>105</v>
      </c>
      <c r="D2074" s="160">
        <f t="shared" si="128"/>
        <v>4</v>
      </c>
      <c r="E2074" s="160">
        <f t="shared" si="129"/>
        <v>8</v>
      </c>
      <c r="F2074" s="160">
        <f t="shared" si="130"/>
        <v>51</v>
      </c>
      <c r="G2074" s="160">
        <f t="shared" si="131"/>
        <v>3</v>
      </c>
      <c r="H2074" s="160">
        <f t="shared" si="132"/>
        <v>20</v>
      </c>
      <c r="I2074" s="160">
        <f t="shared" si="133"/>
        <v>29</v>
      </c>
      <c r="J2074" s="160">
        <f t="shared" si="134"/>
        <v>2</v>
      </c>
    </row>
    <row r="2075" spans="2:10" x14ac:dyDescent="0.35">
      <c r="B2075" s="160">
        <f t="shared" si="126"/>
        <v>66</v>
      </c>
      <c r="C2075" s="160">
        <f t="shared" si="127"/>
        <v>22</v>
      </c>
      <c r="D2075" s="160">
        <f t="shared" si="128"/>
        <v>4</v>
      </c>
      <c r="E2075" s="160">
        <f t="shared" si="129"/>
        <v>8</v>
      </c>
      <c r="F2075" s="160">
        <f t="shared" si="130"/>
        <v>3</v>
      </c>
      <c r="G2075" s="160">
        <f t="shared" si="131"/>
        <v>2</v>
      </c>
      <c r="H2075" s="160">
        <f t="shared" si="132"/>
        <v>24</v>
      </c>
      <c r="I2075" s="160">
        <f t="shared" si="133"/>
        <v>2</v>
      </c>
      <c r="J2075" s="160">
        <f t="shared" si="134"/>
        <v>3</v>
      </c>
    </row>
    <row r="2076" spans="2:10" x14ac:dyDescent="0.35">
      <c r="B2076" s="160">
        <f t="shared" si="126"/>
        <v>67</v>
      </c>
      <c r="C2076" s="160">
        <f t="shared" si="127"/>
        <v>84</v>
      </c>
      <c r="D2076" s="160">
        <f t="shared" si="128"/>
        <v>3</v>
      </c>
      <c r="E2076" s="160">
        <f t="shared" si="129"/>
        <v>18</v>
      </c>
      <c r="F2076" s="160">
        <f t="shared" si="130"/>
        <v>42</v>
      </c>
      <c r="G2076" s="160">
        <f t="shared" si="131"/>
        <v>1</v>
      </c>
      <c r="H2076" s="160">
        <f t="shared" si="132"/>
        <v>19</v>
      </c>
      <c r="I2076" s="160">
        <f t="shared" si="133"/>
        <v>19</v>
      </c>
      <c r="J2076" s="160">
        <f t="shared" si="134"/>
        <v>1</v>
      </c>
    </row>
    <row r="2077" spans="2:10" x14ac:dyDescent="0.35">
      <c r="B2077" s="160">
        <f t="shared" si="126"/>
        <v>67</v>
      </c>
      <c r="C2077" s="160">
        <f t="shared" si="127"/>
        <v>84</v>
      </c>
      <c r="D2077" s="160">
        <f t="shared" si="128"/>
        <v>3</v>
      </c>
      <c r="E2077" s="160">
        <f t="shared" si="129"/>
        <v>18</v>
      </c>
      <c r="F2077" s="160">
        <f t="shared" si="130"/>
        <v>42</v>
      </c>
      <c r="G2077" s="160">
        <f t="shared" si="131"/>
        <v>5</v>
      </c>
      <c r="H2077" s="160">
        <f t="shared" si="132"/>
        <v>10</v>
      </c>
      <c r="I2077" s="160">
        <f t="shared" si="133"/>
        <v>18</v>
      </c>
      <c r="J2077" s="160">
        <f t="shared" si="134"/>
        <v>1</v>
      </c>
    </row>
    <row r="2078" spans="2:10" x14ac:dyDescent="0.35">
      <c r="B2078" s="160">
        <f t="shared" si="126"/>
        <v>67</v>
      </c>
      <c r="C2078" s="160">
        <f t="shared" si="127"/>
        <v>102</v>
      </c>
      <c r="D2078" s="160">
        <f t="shared" si="128"/>
        <v>3</v>
      </c>
      <c r="E2078" s="160">
        <f t="shared" si="129"/>
        <v>18</v>
      </c>
      <c r="F2078" s="160">
        <f t="shared" si="130"/>
        <v>25</v>
      </c>
      <c r="G2078" s="160">
        <f t="shared" si="131"/>
        <v>2</v>
      </c>
      <c r="H2078" s="160">
        <f t="shared" si="132"/>
        <v>23</v>
      </c>
      <c r="I2078" s="160">
        <f t="shared" si="133"/>
        <v>29</v>
      </c>
      <c r="J2078" s="160">
        <f t="shared" si="134"/>
        <v>1</v>
      </c>
    </row>
    <row r="2079" spans="2:10" x14ac:dyDescent="0.35">
      <c r="B2079" s="160">
        <f t="shared" si="126"/>
        <v>67</v>
      </c>
      <c r="C2079" s="160">
        <f t="shared" si="127"/>
        <v>102</v>
      </c>
      <c r="D2079" s="160">
        <f t="shared" si="128"/>
        <v>3</v>
      </c>
      <c r="E2079" s="160">
        <f t="shared" si="129"/>
        <v>18</v>
      </c>
      <c r="F2079" s="160">
        <f t="shared" si="130"/>
        <v>25</v>
      </c>
      <c r="G2079" s="160">
        <f t="shared" si="131"/>
        <v>3</v>
      </c>
      <c r="H2079" s="160">
        <f t="shared" si="132"/>
        <v>10</v>
      </c>
      <c r="I2079" s="160">
        <f t="shared" si="133"/>
        <v>29</v>
      </c>
      <c r="J2079" s="160">
        <f t="shared" si="134"/>
        <v>1</v>
      </c>
    </row>
    <row r="2080" spans="2:10" x14ac:dyDescent="0.35">
      <c r="B2080" s="160">
        <f t="shared" si="126"/>
        <v>67</v>
      </c>
      <c r="C2080" s="160">
        <f t="shared" si="127"/>
        <v>99</v>
      </c>
      <c r="D2080" s="160">
        <f t="shared" si="128"/>
        <v>4</v>
      </c>
      <c r="E2080" s="160">
        <f t="shared" si="129"/>
        <v>18</v>
      </c>
      <c r="F2080" s="160">
        <f t="shared" si="130"/>
        <v>26</v>
      </c>
      <c r="G2080" s="160">
        <f t="shared" si="131"/>
        <v>1</v>
      </c>
      <c r="H2080" s="160">
        <f t="shared" si="132"/>
        <v>2</v>
      </c>
      <c r="I2080" s="160">
        <f t="shared" si="133"/>
        <v>29</v>
      </c>
      <c r="J2080" s="160">
        <f t="shared" si="134"/>
        <v>1</v>
      </c>
    </row>
    <row r="2081" spans="2:10" x14ac:dyDescent="0.35">
      <c r="B2081" s="160">
        <f t="shared" si="126"/>
        <v>67</v>
      </c>
      <c r="C2081" s="160">
        <f t="shared" si="127"/>
        <v>99</v>
      </c>
      <c r="D2081" s="160">
        <f t="shared" si="128"/>
        <v>4</v>
      </c>
      <c r="E2081" s="160">
        <f t="shared" si="129"/>
        <v>18</v>
      </c>
      <c r="F2081" s="160">
        <f t="shared" si="130"/>
        <v>26</v>
      </c>
      <c r="G2081" s="160">
        <f t="shared" si="131"/>
        <v>3</v>
      </c>
      <c r="H2081" s="160">
        <f t="shared" si="132"/>
        <v>2</v>
      </c>
      <c r="I2081" s="160">
        <f t="shared" si="133"/>
        <v>29</v>
      </c>
      <c r="J2081" s="160">
        <f t="shared" si="134"/>
        <v>1</v>
      </c>
    </row>
    <row r="2082" spans="2:10" x14ac:dyDescent="0.35">
      <c r="B2082" s="160">
        <f t="shared" si="126"/>
        <v>67</v>
      </c>
      <c r="C2082" s="160">
        <f t="shared" si="127"/>
        <v>82</v>
      </c>
      <c r="D2082" s="160">
        <f t="shared" si="128"/>
        <v>4</v>
      </c>
      <c r="E2082" s="160">
        <f t="shared" si="129"/>
        <v>18</v>
      </c>
      <c r="F2082" s="160">
        <f t="shared" si="130"/>
        <v>26</v>
      </c>
      <c r="G2082" s="160">
        <f t="shared" si="131"/>
        <v>1</v>
      </c>
      <c r="H2082" s="160">
        <f t="shared" si="132"/>
        <v>2</v>
      </c>
      <c r="I2082" s="160">
        <f t="shared" si="133"/>
        <v>46</v>
      </c>
      <c r="J2082" s="160">
        <f t="shared" si="134"/>
        <v>2</v>
      </c>
    </row>
    <row r="2083" spans="2:10" x14ac:dyDescent="0.35">
      <c r="B2083" s="160">
        <f t="shared" si="126"/>
        <v>67</v>
      </c>
      <c r="C2083" s="160">
        <f t="shared" si="127"/>
        <v>82</v>
      </c>
      <c r="D2083" s="160">
        <f t="shared" si="128"/>
        <v>4</v>
      </c>
      <c r="E2083" s="160">
        <f t="shared" si="129"/>
        <v>18</v>
      </c>
      <c r="F2083" s="160">
        <f t="shared" si="130"/>
        <v>26</v>
      </c>
      <c r="G2083" s="160">
        <f t="shared" si="131"/>
        <v>3</v>
      </c>
      <c r="H2083" s="160">
        <f t="shared" si="132"/>
        <v>2</v>
      </c>
      <c r="I2083" s="160">
        <f t="shared" si="133"/>
        <v>46</v>
      </c>
      <c r="J2083" s="160">
        <f t="shared" si="134"/>
        <v>2</v>
      </c>
    </row>
    <row r="2084" spans="2:10" x14ac:dyDescent="0.35">
      <c r="B2084" s="160">
        <f t="shared" si="126"/>
        <v>67</v>
      </c>
      <c r="C2084" s="160">
        <f t="shared" si="127"/>
        <v>107</v>
      </c>
      <c r="D2084" s="160">
        <f t="shared" si="128"/>
        <v>3</v>
      </c>
      <c r="E2084" s="160">
        <f t="shared" si="129"/>
        <v>18</v>
      </c>
      <c r="F2084" s="160">
        <f t="shared" si="130"/>
        <v>25</v>
      </c>
      <c r="G2084" s="160">
        <f t="shared" si="131"/>
        <v>3</v>
      </c>
      <c r="H2084" s="160">
        <f t="shared" si="132"/>
        <v>14</v>
      </c>
      <c r="I2084" s="160">
        <f t="shared" si="133"/>
        <v>33</v>
      </c>
      <c r="J2084" s="160">
        <f t="shared" si="134"/>
        <v>2</v>
      </c>
    </row>
    <row r="2085" spans="2:10" x14ac:dyDescent="0.35">
      <c r="B2085" s="160">
        <f t="shared" si="126"/>
        <v>67</v>
      </c>
      <c r="C2085" s="160">
        <f t="shared" si="127"/>
        <v>107</v>
      </c>
      <c r="D2085" s="160">
        <f t="shared" si="128"/>
        <v>3</v>
      </c>
      <c r="E2085" s="160">
        <f t="shared" si="129"/>
        <v>18</v>
      </c>
      <c r="F2085" s="160">
        <f t="shared" si="130"/>
        <v>25</v>
      </c>
      <c r="G2085" s="160">
        <f t="shared" si="131"/>
        <v>5</v>
      </c>
      <c r="H2085" s="160">
        <f t="shared" si="132"/>
        <v>19</v>
      </c>
      <c r="I2085" s="160">
        <f t="shared" si="133"/>
        <v>33</v>
      </c>
      <c r="J2085" s="160">
        <f t="shared" si="134"/>
        <v>2</v>
      </c>
    </row>
    <row r="2086" spans="2:10" x14ac:dyDescent="0.35">
      <c r="B2086" s="160">
        <f t="shared" si="126"/>
        <v>68</v>
      </c>
      <c r="C2086" s="160">
        <f t="shared" si="127"/>
        <v>78</v>
      </c>
      <c r="D2086" s="160">
        <f t="shared" si="128"/>
        <v>3</v>
      </c>
      <c r="E2086" s="160">
        <f t="shared" si="129"/>
        <v>8</v>
      </c>
      <c r="F2086" s="160">
        <f t="shared" si="130"/>
        <v>48</v>
      </c>
      <c r="G2086" s="160">
        <f t="shared" si="131"/>
        <v>3</v>
      </c>
      <c r="H2086" s="160">
        <f t="shared" si="132"/>
        <v>23</v>
      </c>
      <c r="I2086" s="160">
        <f t="shared" si="133"/>
        <v>10</v>
      </c>
      <c r="J2086" s="160">
        <f t="shared" si="134"/>
        <v>1</v>
      </c>
    </row>
    <row r="2087" spans="2:10" x14ac:dyDescent="0.35">
      <c r="B2087" s="160">
        <f t="shared" si="126"/>
        <v>68</v>
      </c>
      <c r="C2087" s="160">
        <f t="shared" si="127"/>
        <v>78</v>
      </c>
      <c r="D2087" s="160">
        <f t="shared" si="128"/>
        <v>3</v>
      </c>
      <c r="E2087" s="160">
        <f t="shared" si="129"/>
        <v>8</v>
      </c>
      <c r="F2087" s="160">
        <f t="shared" si="130"/>
        <v>48</v>
      </c>
      <c r="G2087" s="160">
        <f t="shared" si="131"/>
        <v>5</v>
      </c>
      <c r="H2087" s="160">
        <f t="shared" si="132"/>
        <v>10</v>
      </c>
      <c r="I2087" s="160">
        <f t="shared" si="133"/>
        <v>10</v>
      </c>
      <c r="J2087" s="160">
        <f t="shared" si="134"/>
        <v>1</v>
      </c>
    </row>
    <row r="2088" spans="2:10" x14ac:dyDescent="0.35">
      <c r="B2088" s="160">
        <f t="shared" si="126"/>
        <v>68</v>
      </c>
      <c r="C2088" s="160">
        <f t="shared" si="127"/>
        <v>78</v>
      </c>
      <c r="D2088" s="160">
        <f t="shared" si="128"/>
        <v>3</v>
      </c>
      <c r="E2088" s="160">
        <f t="shared" si="129"/>
        <v>8</v>
      </c>
      <c r="F2088" s="160">
        <f t="shared" si="130"/>
        <v>49</v>
      </c>
      <c r="G2088" s="160">
        <f t="shared" si="131"/>
        <v>2</v>
      </c>
      <c r="H2088" s="160">
        <f t="shared" si="132"/>
        <v>17</v>
      </c>
      <c r="I2088" s="160">
        <f t="shared" si="133"/>
        <v>2</v>
      </c>
      <c r="J2088" s="160">
        <f t="shared" si="134"/>
        <v>1</v>
      </c>
    </row>
    <row r="2089" spans="2:10" x14ac:dyDescent="0.35">
      <c r="B2089" s="160">
        <f t="shared" si="126"/>
        <v>68</v>
      </c>
      <c r="C2089" s="160">
        <f t="shared" si="127"/>
        <v>78</v>
      </c>
      <c r="D2089" s="160">
        <f t="shared" si="128"/>
        <v>3</v>
      </c>
      <c r="E2089" s="160">
        <f t="shared" si="129"/>
        <v>8</v>
      </c>
      <c r="F2089" s="160">
        <f t="shared" si="130"/>
        <v>49</v>
      </c>
      <c r="G2089" s="160">
        <f t="shared" si="131"/>
        <v>4</v>
      </c>
      <c r="H2089" s="160">
        <f t="shared" si="132"/>
        <v>23</v>
      </c>
      <c r="I2089" s="160">
        <f t="shared" si="133"/>
        <v>2</v>
      </c>
      <c r="J2089" s="160">
        <f t="shared" si="134"/>
        <v>1</v>
      </c>
    </row>
    <row r="2090" spans="2:10" x14ac:dyDescent="0.35">
      <c r="B2090" s="160">
        <f t="shared" si="126"/>
        <v>68</v>
      </c>
      <c r="C2090" s="160">
        <f t="shared" si="127"/>
        <v>78</v>
      </c>
      <c r="D2090" s="160">
        <f t="shared" si="128"/>
        <v>3</v>
      </c>
      <c r="E2090" s="160">
        <f t="shared" si="129"/>
        <v>8</v>
      </c>
      <c r="F2090" s="160">
        <f t="shared" si="130"/>
        <v>50</v>
      </c>
      <c r="G2090" s="160">
        <f t="shared" si="131"/>
        <v>1</v>
      </c>
      <c r="H2090" s="160">
        <f t="shared" si="132"/>
        <v>10</v>
      </c>
      <c r="I2090" s="160">
        <f t="shared" si="133"/>
        <v>37</v>
      </c>
      <c r="J2090" s="160">
        <f t="shared" si="134"/>
        <v>1</v>
      </c>
    </row>
    <row r="2091" spans="2:10" x14ac:dyDescent="0.35">
      <c r="B2091" s="160">
        <f t="shared" si="126"/>
        <v>68</v>
      </c>
      <c r="C2091" s="160">
        <f t="shared" si="127"/>
        <v>78</v>
      </c>
      <c r="D2091" s="160">
        <f t="shared" si="128"/>
        <v>3</v>
      </c>
      <c r="E2091" s="160">
        <f t="shared" si="129"/>
        <v>8</v>
      </c>
      <c r="F2091" s="160">
        <f t="shared" si="130"/>
        <v>50</v>
      </c>
      <c r="G2091" s="160">
        <f t="shared" si="131"/>
        <v>3</v>
      </c>
      <c r="H2091" s="160">
        <f t="shared" si="132"/>
        <v>23</v>
      </c>
      <c r="I2091" s="160">
        <f t="shared" si="133"/>
        <v>47</v>
      </c>
      <c r="J2091" s="160">
        <f t="shared" si="134"/>
        <v>1</v>
      </c>
    </row>
    <row r="2092" spans="2:10" x14ac:dyDescent="0.35">
      <c r="B2092" s="160">
        <f t="shared" si="126"/>
        <v>68</v>
      </c>
      <c r="C2092" s="160">
        <f t="shared" si="127"/>
        <v>78</v>
      </c>
      <c r="D2092" s="160">
        <f t="shared" si="128"/>
        <v>3</v>
      </c>
      <c r="E2092" s="160">
        <f t="shared" si="129"/>
        <v>8</v>
      </c>
      <c r="F2092" s="160">
        <f t="shared" si="130"/>
        <v>51</v>
      </c>
      <c r="G2092" s="160">
        <f t="shared" si="131"/>
        <v>2</v>
      </c>
      <c r="H2092" s="160">
        <f t="shared" si="132"/>
        <v>23</v>
      </c>
      <c r="I2092" s="160">
        <f t="shared" si="133"/>
        <v>46</v>
      </c>
      <c r="J2092" s="160">
        <f t="shared" si="134"/>
        <v>1</v>
      </c>
    </row>
    <row r="2093" spans="2:10" x14ac:dyDescent="0.35">
      <c r="B2093" s="160">
        <f t="shared" si="126"/>
        <v>68</v>
      </c>
      <c r="C2093" s="160">
        <f t="shared" si="127"/>
        <v>78</v>
      </c>
      <c r="D2093" s="160">
        <f t="shared" si="128"/>
        <v>3</v>
      </c>
      <c r="E2093" s="160">
        <f t="shared" si="129"/>
        <v>8</v>
      </c>
      <c r="F2093" s="160">
        <f t="shared" si="130"/>
        <v>51</v>
      </c>
      <c r="G2093" s="160">
        <f t="shared" si="131"/>
        <v>4</v>
      </c>
      <c r="H2093" s="160">
        <f t="shared" si="132"/>
        <v>19</v>
      </c>
      <c r="I2093" s="160">
        <f t="shared" si="133"/>
        <v>8</v>
      </c>
      <c r="J2093" s="160">
        <f t="shared" si="134"/>
        <v>1</v>
      </c>
    </row>
    <row r="2094" spans="2:10" x14ac:dyDescent="0.35">
      <c r="B2094" s="160">
        <f t="shared" si="126"/>
        <v>68</v>
      </c>
      <c r="C2094" s="160">
        <f t="shared" si="127"/>
        <v>1</v>
      </c>
      <c r="D2094" s="160">
        <f t="shared" si="128"/>
        <v>4</v>
      </c>
      <c r="E2094" s="160">
        <f t="shared" si="129"/>
        <v>8</v>
      </c>
      <c r="F2094" s="160">
        <f t="shared" si="130"/>
        <v>26</v>
      </c>
      <c r="G2094" s="160">
        <f t="shared" si="131"/>
        <v>1</v>
      </c>
      <c r="H2094" s="160">
        <f t="shared" si="132"/>
        <v>2</v>
      </c>
      <c r="I2094" s="160">
        <f t="shared" si="133"/>
        <v>17</v>
      </c>
      <c r="J2094" s="160">
        <f t="shared" si="134"/>
        <v>2</v>
      </c>
    </row>
    <row r="2095" spans="2:10" x14ac:dyDescent="0.35">
      <c r="B2095" s="160">
        <f t="shared" si="126"/>
        <v>68</v>
      </c>
      <c r="C2095" s="160">
        <f t="shared" si="127"/>
        <v>1</v>
      </c>
      <c r="D2095" s="160">
        <f t="shared" si="128"/>
        <v>4</v>
      </c>
      <c r="E2095" s="160">
        <f t="shared" si="129"/>
        <v>8</v>
      </c>
      <c r="F2095" s="160">
        <f t="shared" si="130"/>
        <v>26</v>
      </c>
      <c r="G2095" s="160">
        <f t="shared" si="131"/>
        <v>3</v>
      </c>
      <c r="H2095" s="160">
        <f t="shared" si="132"/>
        <v>2</v>
      </c>
      <c r="I2095" s="160">
        <f t="shared" si="133"/>
        <v>17</v>
      </c>
      <c r="J2095" s="160">
        <f t="shared" si="134"/>
        <v>2</v>
      </c>
    </row>
    <row r="2096" spans="2:10" x14ac:dyDescent="0.35">
      <c r="B2096" s="160">
        <f t="shared" si="126"/>
        <v>68</v>
      </c>
      <c r="C2096" s="160">
        <f t="shared" si="127"/>
        <v>80</v>
      </c>
      <c r="D2096" s="160">
        <f t="shared" si="128"/>
        <v>4</v>
      </c>
      <c r="E2096" s="160">
        <f t="shared" si="129"/>
        <v>8</v>
      </c>
      <c r="F2096" s="160">
        <f t="shared" si="130"/>
        <v>44</v>
      </c>
      <c r="G2096" s="160">
        <f t="shared" si="131"/>
        <v>3</v>
      </c>
      <c r="H2096" s="160">
        <f t="shared" si="132"/>
        <v>2</v>
      </c>
      <c r="I2096" s="160">
        <f t="shared" si="133"/>
        <v>17</v>
      </c>
      <c r="J2096" s="160">
        <f t="shared" si="134"/>
        <v>1</v>
      </c>
    </row>
    <row r="2097" spans="2:10" x14ac:dyDescent="0.35">
      <c r="B2097" s="160">
        <f t="shared" si="126"/>
        <v>68</v>
      </c>
      <c r="C2097" s="160">
        <f t="shared" si="127"/>
        <v>80</v>
      </c>
      <c r="D2097" s="160">
        <f t="shared" si="128"/>
        <v>4</v>
      </c>
      <c r="E2097" s="160">
        <f t="shared" si="129"/>
        <v>8</v>
      </c>
      <c r="F2097" s="160">
        <f t="shared" si="130"/>
        <v>44</v>
      </c>
      <c r="G2097" s="160">
        <f t="shared" si="131"/>
        <v>5</v>
      </c>
      <c r="H2097" s="160">
        <f t="shared" si="132"/>
        <v>2</v>
      </c>
      <c r="I2097" s="160">
        <f t="shared" si="133"/>
        <v>17</v>
      </c>
      <c r="J2097" s="160">
        <f t="shared" si="134"/>
        <v>1</v>
      </c>
    </row>
    <row r="2098" spans="2:10" x14ac:dyDescent="0.35">
      <c r="B2098" s="160">
        <f t="shared" si="126"/>
        <v>68</v>
      </c>
      <c r="C2098" s="160">
        <f t="shared" si="127"/>
        <v>80</v>
      </c>
      <c r="D2098" s="160">
        <f t="shared" si="128"/>
        <v>4</v>
      </c>
      <c r="E2098" s="160">
        <f t="shared" si="129"/>
        <v>8</v>
      </c>
      <c r="F2098" s="160">
        <f t="shared" si="130"/>
        <v>45</v>
      </c>
      <c r="G2098" s="160">
        <f t="shared" si="131"/>
        <v>3</v>
      </c>
      <c r="H2098" s="160">
        <f t="shared" si="132"/>
        <v>11</v>
      </c>
      <c r="I2098" s="160">
        <f t="shared" si="133"/>
        <v>4</v>
      </c>
      <c r="J2098" s="160">
        <f t="shared" si="134"/>
        <v>1</v>
      </c>
    </row>
    <row r="2099" spans="2:10" x14ac:dyDescent="0.35">
      <c r="B2099" s="160">
        <f t="shared" si="126"/>
        <v>68</v>
      </c>
      <c r="C2099" s="160">
        <f t="shared" si="127"/>
        <v>80</v>
      </c>
      <c r="D2099" s="160">
        <f t="shared" si="128"/>
        <v>4</v>
      </c>
      <c r="E2099" s="160">
        <f t="shared" si="129"/>
        <v>8</v>
      </c>
      <c r="F2099" s="160">
        <f t="shared" si="130"/>
        <v>45</v>
      </c>
      <c r="G2099" s="160">
        <f t="shared" si="131"/>
        <v>5</v>
      </c>
      <c r="H2099" s="160">
        <f t="shared" si="132"/>
        <v>20</v>
      </c>
      <c r="I2099" s="160">
        <f t="shared" si="133"/>
        <v>4</v>
      </c>
      <c r="J2099" s="160">
        <f t="shared" si="134"/>
        <v>1</v>
      </c>
    </row>
    <row r="2100" spans="2:10" x14ac:dyDescent="0.35">
      <c r="B2100" s="160">
        <f t="shared" si="126"/>
        <v>69</v>
      </c>
      <c r="C2100" s="160">
        <f t="shared" si="127"/>
        <v>11</v>
      </c>
      <c r="D2100" s="160">
        <f t="shared" si="128"/>
        <v>4</v>
      </c>
      <c r="E2100" s="160">
        <f t="shared" si="129"/>
        <v>15</v>
      </c>
      <c r="F2100" s="160">
        <f t="shared" si="130"/>
        <v>53</v>
      </c>
      <c r="G2100" s="160">
        <f t="shared" si="131"/>
        <v>2</v>
      </c>
      <c r="H2100" s="160">
        <f t="shared" si="132"/>
        <v>19</v>
      </c>
      <c r="I2100" s="160">
        <f t="shared" si="133"/>
        <v>5</v>
      </c>
      <c r="J2100" s="160">
        <f t="shared" si="134"/>
        <v>2</v>
      </c>
    </row>
    <row r="2101" spans="2:10" x14ac:dyDescent="0.35">
      <c r="B2101" s="160">
        <f t="shared" si="126"/>
        <v>69</v>
      </c>
      <c r="C2101" s="160">
        <f t="shared" si="127"/>
        <v>11</v>
      </c>
      <c r="D2101" s="160">
        <f t="shared" si="128"/>
        <v>4</v>
      </c>
      <c r="E2101" s="160">
        <f t="shared" si="129"/>
        <v>15</v>
      </c>
      <c r="F2101" s="160">
        <f t="shared" si="130"/>
        <v>53</v>
      </c>
      <c r="G2101" s="160">
        <f t="shared" si="131"/>
        <v>4</v>
      </c>
      <c r="H2101" s="160">
        <f t="shared" si="132"/>
        <v>19</v>
      </c>
      <c r="I2101" s="160">
        <f t="shared" si="133"/>
        <v>41</v>
      </c>
      <c r="J2101" s="160">
        <f t="shared" si="134"/>
        <v>2</v>
      </c>
    </row>
    <row r="2102" spans="2:10" x14ac:dyDescent="0.35">
      <c r="B2102" s="160">
        <f t="shared" si="126"/>
        <v>69</v>
      </c>
      <c r="C2102" s="160">
        <f t="shared" si="127"/>
        <v>78</v>
      </c>
      <c r="D2102" s="160">
        <f t="shared" si="128"/>
        <v>3</v>
      </c>
      <c r="E2102" s="160">
        <f t="shared" si="129"/>
        <v>15</v>
      </c>
      <c r="F2102" s="160">
        <f t="shared" si="130"/>
        <v>50</v>
      </c>
      <c r="G2102" s="160">
        <f t="shared" si="131"/>
        <v>2</v>
      </c>
      <c r="H2102" s="160">
        <f t="shared" si="132"/>
        <v>10</v>
      </c>
      <c r="I2102" s="160">
        <f t="shared" si="133"/>
        <v>52</v>
      </c>
      <c r="J2102" s="160">
        <f t="shared" si="134"/>
        <v>2</v>
      </c>
    </row>
    <row r="2103" spans="2:10" x14ac:dyDescent="0.35">
      <c r="B2103" s="160">
        <f t="shared" si="126"/>
        <v>69</v>
      </c>
      <c r="C2103" s="160">
        <f t="shared" si="127"/>
        <v>78</v>
      </c>
      <c r="D2103" s="160">
        <f t="shared" si="128"/>
        <v>3</v>
      </c>
      <c r="E2103" s="160">
        <f t="shared" si="129"/>
        <v>15</v>
      </c>
      <c r="F2103" s="160">
        <f t="shared" si="130"/>
        <v>50</v>
      </c>
      <c r="G2103" s="160">
        <f t="shared" si="131"/>
        <v>4</v>
      </c>
      <c r="H2103" s="160">
        <f t="shared" si="132"/>
        <v>7</v>
      </c>
      <c r="I2103" s="160">
        <f t="shared" si="133"/>
        <v>37</v>
      </c>
      <c r="J2103" s="160">
        <f t="shared" si="134"/>
        <v>2</v>
      </c>
    </row>
    <row r="2104" spans="2:10" x14ac:dyDescent="0.35">
      <c r="B2104" s="160">
        <f t="shared" si="126"/>
        <v>69</v>
      </c>
      <c r="C2104" s="160">
        <f t="shared" si="127"/>
        <v>25</v>
      </c>
      <c r="D2104" s="160">
        <f t="shared" si="128"/>
        <v>2</v>
      </c>
      <c r="E2104" s="160">
        <f t="shared" si="129"/>
        <v>13</v>
      </c>
      <c r="F2104" s="160">
        <f t="shared" si="130"/>
        <v>48</v>
      </c>
      <c r="G2104" s="160">
        <f t="shared" si="131"/>
        <v>2</v>
      </c>
      <c r="H2104" s="160">
        <f t="shared" si="132"/>
        <v>23</v>
      </c>
      <c r="I2104" s="160">
        <f t="shared" si="133"/>
        <v>87</v>
      </c>
      <c r="J2104" s="160">
        <f t="shared" si="134"/>
        <v>1</v>
      </c>
    </row>
    <row r="2105" spans="2:10" x14ac:dyDescent="0.35">
      <c r="B2105" s="160">
        <f t="shared" si="126"/>
        <v>69</v>
      </c>
      <c r="C2105" s="160">
        <f t="shared" si="127"/>
        <v>25</v>
      </c>
      <c r="D2105" s="160">
        <f t="shared" si="128"/>
        <v>2</v>
      </c>
      <c r="E2105" s="160">
        <f t="shared" si="129"/>
        <v>13</v>
      </c>
      <c r="F2105" s="160">
        <f t="shared" si="130"/>
        <v>48</v>
      </c>
      <c r="G2105" s="160">
        <f t="shared" si="131"/>
        <v>4</v>
      </c>
      <c r="H2105" s="160">
        <f t="shared" si="132"/>
        <v>14</v>
      </c>
      <c r="I2105" s="160">
        <f t="shared" si="133"/>
        <v>93</v>
      </c>
      <c r="J2105" s="160">
        <f t="shared" si="134"/>
        <v>1</v>
      </c>
    </row>
    <row r="2106" spans="2:10" x14ac:dyDescent="0.35">
      <c r="B2106" s="160">
        <f t="shared" si="126"/>
        <v>69</v>
      </c>
      <c r="C2106" s="160">
        <f t="shared" si="127"/>
        <v>24</v>
      </c>
      <c r="D2106" s="160">
        <f t="shared" si="128"/>
        <v>2</v>
      </c>
      <c r="E2106" s="160">
        <f t="shared" si="129"/>
        <v>13</v>
      </c>
      <c r="F2106" s="160">
        <f t="shared" si="130"/>
        <v>51</v>
      </c>
      <c r="G2106" s="160">
        <f t="shared" si="131"/>
        <v>2</v>
      </c>
      <c r="H2106" s="160">
        <f t="shared" si="132"/>
        <v>7</v>
      </c>
      <c r="I2106" s="160">
        <f t="shared" si="133"/>
        <v>90</v>
      </c>
      <c r="J2106" s="160">
        <f t="shared" si="134"/>
        <v>1</v>
      </c>
    </row>
    <row r="2107" spans="2:10" x14ac:dyDescent="0.35">
      <c r="B2107" s="160">
        <f t="shared" si="126"/>
        <v>69</v>
      </c>
      <c r="C2107" s="160">
        <f t="shared" si="127"/>
        <v>24</v>
      </c>
      <c r="D2107" s="160">
        <f t="shared" si="128"/>
        <v>2</v>
      </c>
      <c r="E2107" s="160">
        <f t="shared" si="129"/>
        <v>13</v>
      </c>
      <c r="F2107" s="160">
        <f t="shared" si="130"/>
        <v>51</v>
      </c>
      <c r="G2107" s="160">
        <f t="shared" si="131"/>
        <v>4</v>
      </c>
      <c r="H2107" s="160">
        <f t="shared" si="132"/>
        <v>7</v>
      </c>
      <c r="I2107" s="160">
        <f t="shared" si="133"/>
        <v>94</v>
      </c>
      <c r="J2107" s="160">
        <f t="shared" si="134"/>
        <v>1</v>
      </c>
    </row>
    <row r="2108" spans="2:10" x14ac:dyDescent="0.35">
      <c r="B2108" s="160">
        <f t="shared" si="126"/>
        <v>69</v>
      </c>
      <c r="C2108" s="160">
        <f t="shared" si="127"/>
        <v>25</v>
      </c>
      <c r="D2108" s="160">
        <f t="shared" si="128"/>
        <v>2</v>
      </c>
      <c r="E2108" s="160">
        <f t="shared" si="129"/>
        <v>12</v>
      </c>
      <c r="F2108" s="160">
        <f t="shared" si="130"/>
        <v>49</v>
      </c>
      <c r="G2108" s="160">
        <f t="shared" si="131"/>
        <v>3</v>
      </c>
      <c r="H2108" s="160">
        <f t="shared" si="132"/>
        <v>20</v>
      </c>
      <c r="I2108" s="160">
        <f t="shared" si="133"/>
        <v>72</v>
      </c>
      <c r="J2108" s="160">
        <f t="shared" si="134"/>
        <v>1</v>
      </c>
    </row>
    <row r="2109" spans="2:10" x14ac:dyDescent="0.35">
      <c r="B2109" s="160">
        <f t="shared" si="126"/>
        <v>69</v>
      </c>
      <c r="C2109" s="160">
        <f t="shared" si="127"/>
        <v>25</v>
      </c>
      <c r="D2109" s="160">
        <f t="shared" si="128"/>
        <v>2</v>
      </c>
      <c r="E2109" s="160">
        <f t="shared" si="129"/>
        <v>12</v>
      </c>
      <c r="F2109" s="160">
        <f t="shared" si="130"/>
        <v>49</v>
      </c>
      <c r="G2109" s="160">
        <f t="shared" si="131"/>
        <v>5</v>
      </c>
      <c r="H2109" s="160">
        <f t="shared" si="132"/>
        <v>2</v>
      </c>
      <c r="I2109" s="160">
        <f t="shared" si="133"/>
        <v>70</v>
      </c>
      <c r="J2109" s="160">
        <f t="shared" si="134"/>
        <v>1</v>
      </c>
    </row>
    <row r="2110" spans="2:10" x14ac:dyDescent="0.35">
      <c r="B2110" s="160">
        <f t="shared" si="126"/>
        <v>69</v>
      </c>
      <c r="C2110" s="160">
        <f t="shared" si="127"/>
        <v>24</v>
      </c>
      <c r="D2110" s="160">
        <f t="shared" si="128"/>
        <v>2</v>
      </c>
      <c r="E2110" s="160">
        <f t="shared" si="129"/>
        <v>12</v>
      </c>
      <c r="F2110" s="160">
        <f t="shared" si="130"/>
        <v>50</v>
      </c>
      <c r="G2110" s="160">
        <f t="shared" si="131"/>
        <v>4</v>
      </c>
      <c r="H2110" s="160">
        <f t="shared" si="132"/>
        <v>23</v>
      </c>
      <c r="I2110" s="160">
        <f t="shared" si="133"/>
        <v>7</v>
      </c>
      <c r="J2110" s="160">
        <f t="shared" si="134"/>
        <v>1</v>
      </c>
    </row>
    <row r="2111" spans="2:10" x14ac:dyDescent="0.35">
      <c r="B2111" s="160">
        <f t="shared" si="126"/>
        <v>69</v>
      </c>
      <c r="C2111" s="160">
        <f t="shared" si="127"/>
        <v>24</v>
      </c>
      <c r="D2111" s="160">
        <f t="shared" si="128"/>
        <v>2</v>
      </c>
      <c r="E2111" s="160">
        <f t="shared" si="129"/>
        <v>12</v>
      </c>
      <c r="F2111" s="160">
        <f t="shared" si="130"/>
        <v>50</v>
      </c>
      <c r="G2111" s="160">
        <f t="shared" si="131"/>
        <v>5</v>
      </c>
      <c r="H2111" s="160">
        <f t="shared" si="132"/>
        <v>23</v>
      </c>
      <c r="I2111" s="160">
        <f t="shared" si="133"/>
        <v>7</v>
      </c>
      <c r="J2111" s="160">
        <f t="shared" si="134"/>
        <v>1</v>
      </c>
    </row>
    <row r="2112" spans="2:10" x14ac:dyDescent="0.35">
      <c r="B2112" s="160">
        <f t="shared" si="126"/>
        <v>69</v>
      </c>
      <c r="C2112" s="160">
        <f t="shared" si="127"/>
        <v>22</v>
      </c>
      <c r="D2112" s="160">
        <f t="shared" si="128"/>
        <v>4</v>
      </c>
      <c r="E2112" s="160">
        <f t="shared" si="129"/>
        <v>15</v>
      </c>
      <c r="F2112" s="160">
        <f t="shared" si="130"/>
        <v>6</v>
      </c>
      <c r="G2112" s="160">
        <f t="shared" si="131"/>
        <v>2</v>
      </c>
      <c r="H2112" s="160">
        <f t="shared" si="132"/>
        <v>24</v>
      </c>
      <c r="I2112" s="160">
        <f t="shared" si="133"/>
        <v>49</v>
      </c>
      <c r="J2112" s="160">
        <f t="shared" si="134"/>
        <v>3</v>
      </c>
    </row>
    <row r="2113" spans="2:10" x14ac:dyDescent="0.35">
      <c r="B2113" s="160">
        <f t="shared" si="126"/>
        <v>70</v>
      </c>
      <c r="C2113" s="160">
        <f t="shared" si="127"/>
        <v>28</v>
      </c>
      <c r="D2113" s="160">
        <f t="shared" si="128"/>
        <v>4</v>
      </c>
      <c r="E2113" s="160">
        <f t="shared" si="129"/>
        <v>15</v>
      </c>
      <c r="F2113" s="160">
        <f t="shared" si="130"/>
        <v>29</v>
      </c>
      <c r="G2113" s="160">
        <f t="shared" si="131"/>
        <v>3</v>
      </c>
      <c r="H2113" s="160">
        <f t="shared" si="132"/>
        <v>20</v>
      </c>
      <c r="I2113" s="160">
        <f t="shared" si="133"/>
        <v>19</v>
      </c>
      <c r="J2113" s="160">
        <f t="shared" si="134"/>
        <v>2</v>
      </c>
    </row>
    <row r="2114" spans="2:10" x14ac:dyDescent="0.35">
      <c r="B2114" s="160">
        <f t="shared" si="126"/>
        <v>70</v>
      </c>
      <c r="C2114" s="160">
        <f t="shared" si="127"/>
        <v>28</v>
      </c>
      <c r="D2114" s="160">
        <f t="shared" si="128"/>
        <v>4</v>
      </c>
      <c r="E2114" s="160">
        <f t="shared" si="129"/>
        <v>15</v>
      </c>
      <c r="F2114" s="160">
        <f t="shared" si="130"/>
        <v>29</v>
      </c>
      <c r="G2114" s="160">
        <f t="shared" si="131"/>
        <v>5</v>
      </c>
      <c r="H2114" s="160">
        <f t="shared" si="132"/>
        <v>20</v>
      </c>
      <c r="I2114" s="160">
        <f t="shared" si="133"/>
        <v>11</v>
      </c>
      <c r="J2114" s="160">
        <f t="shared" si="134"/>
        <v>2</v>
      </c>
    </row>
    <row r="2115" spans="2:10" x14ac:dyDescent="0.35">
      <c r="B2115" s="160">
        <f t="shared" si="126"/>
        <v>70</v>
      </c>
      <c r="C2115" s="160">
        <f t="shared" si="127"/>
        <v>74</v>
      </c>
      <c r="D2115" s="160">
        <f t="shared" si="128"/>
        <v>3</v>
      </c>
      <c r="E2115" s="160">
        <f t="shared" si="129"/>
        <v>15</v>
      </c>
      <c r="F2115" s="160">
        <f t="shared" si="130"/>
        <v>5</v>
      </c>
      <c r="G2115" s="160">
        <f t="shared" si="131"/>
        <v>1</v>
      </c>
      <c r="H2115" s="160">
        <f t="shared" si="132"/>
        <v>14</v>
      </c>
      <c r="I2115" s="160">
        <f t="shared" si="133"/>
        <v>5</v>
      </c>
      <c r="J2115" s="160">
        <f t="shared" si="134"/>
        <v>2</v>
      </c>
    </row>
    <row r="2116" spans="2:10" x14ac:dyDescent="0.35">
      <c r="B2116" s="160">
        <f t="shared" si="126"/>
        <v>70</v>
      </c>
      <c r="C2116" s="160">
        <f t="shared" si="127"/>
        <v>74</v>
      </c>
      <c r="D2116" s="160">
        <f t="shared" si="128"/>
        <v>3</v>
      </c>
      <c r="E2116" s="160">
        <f t="shared" si="129"/>
        <v>15</v>
      </c>
      <c r="F2116" s="160">
        <f t="shared" si="130"/>
        <v>5</v>
      </c>
      <c r="G2116" s="160">
        <f t="shared" si="131"/>
        <v>5</v>
      </c>
      <c r="H2116" s="160">
        <f t="shared" si="132"/>
        <v>1</v>
      </c>
      <c r="I2116" s="160">
        <f t="shared" si="133"/>
        <v>48</v>
      </c>
      <c r="J2116" s="160">
        <f t="shared" si="134"/>
        <v>2</v>
      </c>
    </row>
    <row r="2117" spans="2:10" x14ac:dyDescent="0.35">
      <c r="B2117" s="160">
        <f t="shared" si="126"/>
        <v>70</v>
      </c>
      <c r="C2117" s="160">
        <f t="shared" si="127"/>
        <v>24</v>
      </c>
      <c r="D2117" s="160">
        <f t="shared" si="128"/>
        <v>2</v>
      </c>
      <c r="E2117" s="160">
        <f t="shared" si="129"/>
        <v>13</v>
      </c>
      <c r="F2117" s="160">
        <f t="shared" si="130"/>
        <v>48</v>
      </c>
      <c r="G2117" s="160">
        <f t="shared" si="131"/>
        <v>3</v>
      </c>
      <c r="H2117" s="160">
        <f t="shared" si="132"/>
        <v>23</v>
      </c>
      <c r="I2117" s="160">
        <f t="shared" si="133"/>
        <v>87</v>
      </c>
      <c r="J2117" s="160">
        <f t="shared" si="134"/>
        <v>1</v>
      </c>
    </row>
    <row r="2118" spans="2:10" x14ac:dyDescent="0.35">
      <c r="B2118" s="160">
        <f t="shared" si="126"/>
        <v>70</v>
      </c>
      <c r="C2118" s="160">
        <f t="shared" si="127"/>
        <v>24</v>
      </c>
      <c r="D2118" s="160">
        <f t="shared" si="128"/>
        <v>2</v>
      </c>
      <c r="E2118" s="160">
        <f t="shared" si="129"/>
        <v>13</v>
      </c>
      <c r="F2118" s="160">
        <f t="shared" si="130"/>
        <v>48</v>
      </c>
      <c r="G2118" s="160">
        <f t="shared" si="131"/>
        <v>5</v>
      </c>
      <c r="H2118" s="160">
        <f t="shared" si="132"/>
        <v>14</v>
      </c>
      <c r="I2118" s="160">
        <f t="shared" si="133"/>
        <v>93</v>
      </c>
      <c r="J2118" s="160">
        <f t="shared" si="134"/>
        <v>1</v>
      </c>
    </row>
    <row r="2119" spans="2:10" x14ac:dyDescent="0.35">
      <c r="B2119" s="160">
        <f t="shared" si="126"/>
        <v>70</v>
      </c>
      <c r="C2119" s="160">
        <f t="shared" si="127"/>
        <v>25</v>
      </c>
      <c r="D2119" s="160">
        <f t="shared" si="128"/>
        <v>2</v>
      </c>
      <c r="E2119" s="160">
        <f t="shared" si="129"/>
        <v>13</v>
      </c>
      <c r="F2119" s="160">
        <f t="shared" si="130"/>
        <v>51</v>
      </c>
      <c r="G2119" s="160">
        <f t="shared" si="131"/>
        <v>1</v>
      </c>
      <c r="H2119" s="160">
        <f t="shared" si="132"/>
        <v>19</v>
      </c>
      <c r="I2119" s="160">
        <f t="shared" si="133"/>
        <v>90</v>
      </c>
      <c r="J2119" s="160">
        <f t="shared" si="134"/>
        <v>1</v>
      </c>
    </row>
    <row r="2120" spans="2:10" x14ac:dyDescent="0.35">
      <c r="B2120" s="160">
        <f t="shared" si="126"/>
        <v>70</v>
      </c>
      <c r="C2120" s="160">
        <f t="shared" si="127"/>
        <v>25</v>
      </c>
      <c r="D2120" s="160">
        <f t="shared" si="128"/>
        <v>2</v>
      </c>
      <c r="E2120" s="160">
        <f t="shared" si="129"/>
        <v>13</v>
      </c>
      <c r="F2120" s="160">
        <f t="shared" si="130"/>
        <v>51</v>
      </c>
      <c r="G2120" s="160">
        <f t="shared" si="131"/>
        <v>3</v>
      </c>
      <c r="H2120" s="160">
        <f t="shared" si="132"/>
        <v>7</v>
      </c>
      <c r="I2120" s="160">
        <f t="shared" si="133"/>
        <v>94</v>
      </c>
      <c r="J2120" s="160">
        <f t="shared" si="134"/>
        <v>1</v>
      </c>
    </row>
    <row r="2121" spans="2:10" x14ac:dyDescent="0.35">
      <c r="B2121" s="160">
        <f t="shared" si="126"/>
        <v>70</v>
      </c>
      <c r="C2121" s="160">
        <f t="shared" si="127"/>
        <v>24</v>
      </c>
      <c r="D2121" s="160">
        <f t="shared" si="128"/>
        <v>2</v>
      </c>
      <c r="E2121" s="160">
        <f t="shared" si="129"/>
        <v>12</v>
      </c>
      <c r="F2121" s="160">
        <f t="shared" si="130"/>
        <v>49</v>
      </c>
      <c r="G2121" s="160">
        <f t="shared" si="131"/>
        <v>4</v>
      </c>
      <c r="H2121" s="160">
        <f t="shared" si="132"/>
        <v>23</v>
      </c>
      <c r="I2121" s="160">
        <f t="shared" si="133"/>
        <v>7</v>
      </c>
      <c r="J2121" s="160">
        <f t="shared" si="134"/>
        <v>1</v>
      </c>
    </row>
    <row r="2122" spans="2:10" x14ac:dyDescent="0.35">
      <c r="B2122" s="160">
        <f t="shared" si="126"/>
        <v>70</v>
      </c>
      <c r="C2122" s="160">
        <f t="shared" si="127"/>
        <v>24</v>
      </c>
      <c r="D2122" s="160">
        <f t="shared" si="128"/>
        <v>2</v>
      </c>
      <c r="E2122" s="160">
        <f t="shared" si="129"/>
        <v>12</v>
      </c>
      <c r="F2122" s="160">
        <f t="shared" si="130"/>
        <v>49</v>
      </c>
      <c r="G2122" s="160">
        <f t="shared" si="131"/>
        <v>5</v>
      </c>
      <c r="H2122" s="160">
        <f t="shared" si="132"/>
        <v>23</v>
      </c>
      <c r="I2122" s="160">
        <f t="shared" si="133"/>
        <v>7</v>
      </c>
      <c r="J2122" s="160">
        <f t="shared" si="134"/>
        <v>1</v>
      </c>
    </row>
    <row r="2123" spans="2:10" x14ac:dyDescent="0.35">
      <c r="B2123" s="160">
        <f t="shared" si="126"/>
        <v>70</v>
      </c>
      <c r="C2123" s="160">
        <f t="shared" si="127"/>
        <v>25</v>
      </c>
      <c r="D2123" s="160">
        <f t="shared" si="128"/>
        <v>2</v>
      </c>
      <c r="E2123" s="160">
        <f t="shared" si="129"/>
        <v>12</v>
      </c>
      <c r="F2123" s="160">
        <f t="shared" si="130"/>
        <v>50</v>
      </c>
      <c r="G2123" s="160">
        <f t="shared" si="131"/>
        <v>3</v>
      </c>
      <c r="H2123" s="160">
        <f t="shared" si="132"/>
        <v>20</v>
      </c>
      <c r="I2123" s="160">
        <f t="shared" si="133"/>
        <v>73</v>
      </c>
      <c r="J2123" s="160">
        <f t="shared" si="134"/>
        <v>1</v>
      </c>
    </row>
    <row r="2124" spans="2:10" x14ac:dyDescent="0.35">
      <c r="B2124" s="160">
        <f t="shared" si="126"/>
        <v>70</v>
      </c>
      <c r="C2124" s="160">
        <f t="shared" si="127"/>
        <v>25</v>
      </c>
      <c r="D2124" s="160">
        <f t="shared" si="128"/>
        <v>2</v>
      </c>
      <c r="E2124" s="160">
        <f t="shared" si="129"/>
        <v>12</v>
      </c>
      <c r="F2124" s="160">
        <f t="shared" si="130"/>
        <v>50</v>
      </c>
      <c r="G2124" s="160">
        <f t="shared" si="131"/>
        <v>5</v>
      </c>
      <c r="H2124" s="160">
        <f t="shared" si="132"/>
        <v>2</v>
      </c>
      <c r="I2124" s="160">
        <f t="shared" si="133"/>
        <v>71</v>
      </c>
      <c r="J2124" s="160">
        <f t="shared" si="134"/>
        <v>1</v>
      </c>
    </row>
    <row r="2125" spans="2:10" x14ac:dyDescent="0.35">
      <c r="B2125" s="160">
        <f t="shared" si="126"/>
        <v>70</v>
      </c>
      <c r="C2125" s="160">
        <f t="shared" si="127"/>
        <v>46</v>
      </c>
      <c r="D2125" s="160">
        <f t="shared" si="128"/>
        <v>4</v>
      </c>
      <c r="E2125" s="160">
        <f t="shared" si="129"/>
        <v>15</v>
      </c>
      <c r="F2125" s="160">
        <f t="shared" si="130"/>
        <v>22</v>
      </c>
      <c r="G2125" s="160">
        <f t="shared" si="131"/>
        <v>5</v>
      </c>
      <c r="H2125" s="160">
        <f t="shared" si="132"/>
        <v>25</v>
      </c>
      <c r="I2125" s="160">
        <f t="shared" si="133"/>
        <v>67</v>
      </c>
      <c r="J2125" s="160">
        <f t="shared" si="134"/>
        <v>3</v>
      </c>
    </row>
    <row r="2126" spans="2:10" x14ac:dyDescent="0.35">
      <c r="B2126" s="160">
        <f t="shared" si="126"/>
        <v>71</v>
      </c>
      <c r="C2126" s="160">
        <f t="shared" si="127"/>
        <v>20</v>
      </c>
      <c r="D2126" s="160">
        <f t="shared" si="128"/>
        <v>3</v>
      </c>
      <c r="E2126" s="160">
        <f t="shared" si="129"/>
        <v>18</v>
      </c>
      <c r="F2126" s="160">
        <f t="shared" si="130"/>
        <v>48</v>
      </c>
      <c r="G2126" s="160">
        <f t="shared" si="131"/>
        <v>1</v>
      </c>
      <c r="H2126" s="160">
        <f t="shared" si="132"/>
        <v>14</v>
      </c>
      <c r="I2126" s="160">
        <f t="shared" si="133"/>
        <v>33</v>
      </c>
      <c r="J2126" s="160">
        <f t="shared" si="134"/>
        <v>1</v>
      </c>
    </row>
    <row r="2127" spans="2:10" x14ac:dyDescent="0.35">
      <c r="B2127" s="160">
        <f t="shared" si="126"/>
        <v>71</v>
      </c>
      <c r="C2127" s="160">
        <f t="shared" si="127"/>
        <v>20</v>
      </c>
      <c r="D2127" s="160">
        <f t="shared" si="128"/>
        <v>3</v>
      </c>
      <c r="E2127" s="160">
        <f t="shared" si="129"/>
        <v>18</v>
      </c>
      <c r="F2127" s="160">
        <f t="shared" si="130"/>
        <v>48</v>
      </c>
      <c r="G2127" s="160">
        <f t="shared" si="131"/>
        <v>5</v>
      </c>
      <c r="H2127" s="160">
        <f t="shared" si="132"/>
        <v>1</v>
      </c>
      <c r="I2127" s="160">
        <f t="shared" si="133"/>
        <v>20</v>
      </c>
      <c r="J2127" s="160">
        <f t="shared" si="134"/>
        <v>1</v>
      </c>
    </row>
    <row r="2128" spans="2:10" x14ac:dyDescent="0.35">
      <c r="B2128" s="160">
        <f t="shared" si="126"/>
        <v>71</v>
      </c>
      <c r="C2128" s="160">
        <f t="shared" si="127"/>
        <v>108</v>
      </c>
      <c r="D2128" s="160">
        <f t="shared" si="128"/>
        <v>3</v>
      </c>
      <c r="E2128" s="160">
        <f t="shared" si="129"/>
        <v>18</v>
      </c>
      <c r="F2128" s="160">
        <f t="shared" si="130"/>
        <v>25</v>
      </c>
      <c r="G2128" s="160">
        <f t="shared" si="131"/>
        <v>2</v>
      </c>
      <c r="H2128" s="160">
        <f t="shared" si="132"/>
        <v>7</v>
      </c>
      <c r="I2128" s="160">
        <f t="shared" si="133"/>
        <v>20</v>
      </c>
      <c r="J2128" s="160">
        <f t="shared" si="134"/>
        <v>2</v>
      </c>
    </row>
    <row r="2129" spans="2:10" x14ac:dyDescent="0.35">
      <c r="B2129" s="160">
        <f t="shared" si="126"/>
        <v>71</v>
      </c>
      <c r="C2129" s="160">
        <f t="shared" si="127"/>
        <v>108</v>
      </c>
      <c r="D2129" s="160">
        <f t="shared" si="128"/>
        <v>3</v>
      </c>
      <c r="E2129" s="160">
        <f t="shared" si="129"/>
        <v>18</v>
      </c>
      <c r="F2129" s="160">
        <f t="shared" si="130"/>
        <v>25</v>
      </c>
      <c r="G2129" s="160">
        <f t="shared" si="131"/>
        <v>3</v>
      </c>
      <c r="H2129" s="160">
        <f t="shared" si="132"/>
        <v>19</v>
      </c>
      <c r="I2129" s="160">
        <f t="shared" si="133"/>
        <v>20</v>
      </c>
      <c r="J2129" s="160">
        <f t="shared" si="134"/>
        <v>2</v>
      </c>
    </row>
    <row r="2130" spans="2:10" x14ac:dyDescent="0.35">
      <c r="B2130" s="160">
        <f t="shared" si="126"/>
        <v>71</v>
      </c>
      <c r="C2130" s="160">
        <f t="shared" si="127"/>
        <v>109</v>
      </c>
      <c r="D2130" s="160">
        <f t="shared" si="128"/>
        <v>3</v>
      </c>
      <c r="E2130" s="160">
        <f t="shared" si="129"/>
        <v>18</v>
      </c>
      <c r="F2130" s="160">
        <f t="shared" si="130"/>
        <v>25</v>
      </c>
      <c r="G2130" s="160">
        <f t="shared" si="131"/>
        <v>1</v>
      </c>
      <c r="H2130" s="160">
        <f t="shared" si="132"/>
        <v>1</v>
      </c>
      <c r="I2130" s="160">
        <f t="shared" si="133"/>
        <v>20</v>
      </c>
      <c r="J2130" s="160">
        <f t="shared" si="134"/>
        <v>2</v>
      </c>
    </row>
    <row r="2131" spans="2:10" x14ac:dyDescent="0.35">
      <c r="B2131" s="160">
        <f t="shared" si="126"/>
        <v>71</v>
      </c>
      <c r="C2131" s="160">
        <f t="shared" si="127"/>
        <v>109</v>
      </c>
      <c r="D2131" s="160">
        <f t="shared" si="128"/>
        <v>3</v>
      </c>
      <c r="E2131" s="160">
        <f t="shared" si="129"/>
        <v>18</v>
      </c>
      <c r="F2131" s="160">
        <f t="shared" si="130"/>
        <v>25</v>
      </c>
      <c r="G2131" s="160">
        <f t="shared" si="131"/>
        <v>4</v>
      </c>
      <c r="H2131" s="160">
        <f t="shared" si="132"/>
        <v>14</v>
      </c>
      <c r="I2131" s="160">
        <f t="shared" si="133"/>
        <v>46</v>
      </c>
      <c r="J2131" s="160">
        <f t="shared" si="134"/>
        <v>2</v>
      </c>
    </row>
    <row r="2132" spans="2:10" x14ac:dyDescent="0.35">
      <c r="B2132" s="160">
        <f t="shared" si="126"/>
        <v>71</v>
      </c>
      <c r="C2132" s="160">
        <f t="shared" si="127"/>
        <v>100</v>
      </c>
      <c r="D2132" s="160">
        <f t="shared" si="128"/>
        <v>3</v>
      </c>
      <c r="E2132" s="160">
        <f t="shared" si="129"/>
        <v>18</v>
      </c>
      <c r="F2132" s="160">
        <f t="shared" si="130"/>
        <v>25</v>
      </c>
      <c r="G2132" s="160">
        <f t="shared" si="131"/>
        <v>2</v>
      </c>
      <c r="H2132" s="160">
        <f t="shared" si="132"/>
        <v>10</v>
      </c>
      <c r="I2132" s="160">
        <f t="shared" si="133"/>
        <v>19</v>
      </c>
      <c r="J2132" s="160">
        <f t="shared" si="134"/>
        <v>1</v>
      </c>
    </row>
    <row r="2133" spans="2:10" x14ac:dyDescent="0.35">
      <c r="B2133" s="160">
        <f t="shared" si="126"/>
        <v>71</v>
      </c>
      <c r="C2133" s="160">
        <f t="shared" si="127"/>
        <v>100</v>
      </c>
      <c r="D2133" s="160">
        <f t="shared" si="128"/>
        <v>3</v>
      </c>
      <c r="E2133" s="160">
        <f t="shared" si="129"/>
        <v>18</v>
      </c>
      <c r="F2133" s="160">
        <f t="shared" si="130"/>
        <v>25</v>
      </c>
      <c r="G2133" s="160">
        <f t="shared" si="131"/>
        <v>4</v>
      </c>
      <c r="H2133" s="160">
        <f t="shared" si="132"/>
        <v>10</v>
      </c>
      <c r="I2133" s="160">
        <f t="shared" si="133"/>
        <v>19</v>
      </c>
      <c r="J2133" s="160">
        <f t="shared" si="134"/>
        <v>1</v>
      </c>
    </row>
    <row r="2134" spans="2:10" x14ac:dyDescent="0.35">
      <c r="B2134" s="160">
        <f t="shared" si="126"/>
        <v>71</v>
      </c>
      <c r="C2134" s="160">
        <f t="shared" si="127"/>
        <v>110</v>
      </c>
      <c r="D2134" s="160">
        <f t="shared" si="128"/>
        <v>4</v>
      </c>
      <c r="E2134" s="160">
        <f t="shared" si="129"/>
        <v>10</v>
      </c>
      <c r="F2134" s="160">
        <f t="shared" si="130"/>
        <v>25</v>
      </c>
      <c r="G2134" s="160">
        <f t="shared" si="131"/>
        <v>1</v>
      </c>
      <c r="H2134" s="160">
        <f t="shared" si="132"/>
        <v>20</v>
      </c>
      <c r="I2134" s="160">
        <f t="shared" si="133"/>
        <v>30</v>
      </c>
      <c r="J2134" s="160">
        <f t="shared" si="134"/>
        <v>1</v>
      </c>
    </row>
    <row r="2135" spans="2:10" x14ac:dyDescent="0.35">
      <c r="B2135" s="160">
        <f t="shared" si="126"/>
        <v>71</v>
      </c>
      <c r="C2135" s="160">
        <f t="shared" si="127"/>
        <v>110</v>
      </c>
      <c r="D2135" s="160">
        <f t="shared" si="128"/>
        <v>4</v>
      </c>
      <c r="E2135" s="160">
        <f t="shared" si="129"/>
        <v>10</v>
      </c>
      <c r="F2135" s="160">
        <f t="shared" si="130"/>
        <v>25</v>
      </c>
      <c r="G2135" s="160">
        <f t="shared" si="131"/>
        <v>3</v>
      </c>
      <c r="H2135" s="160">
        <f t="shared" si="132"/>
        <v>20</v>
      </c>
      <c r="I2135" s="160">
        <f t="shared" si="133"/>
        <v>36</v>
      </c>
      <c r="J2135" s="160">
        <f t="shared" si="134"/>
        <v>1</v>
      </c>
    </row>
    <row r="2136" spans="2:10" x14ac:dyDescent="0.35">
      <c r="B2136" s="160">
        <f t="shared" si="126"/>
        <v>71</v>
      </c>
      <c r="C2136" s="160">
        <f t="shared" si="127"/>
        <v>110</v>
      </c>
      <c r="D2136" s="160">
        <f t="shared" si="128"/>
        <v>4</v>
      </c>
      <c r="E2136" s="160">
        <f t="shared" si="129"/>
        <v>10</v>
      </c>
      <c r="F2136" s="160">
        <f t="shared" si="130"/>
        <v>26</v>
      </c>
      <c r="G2136" s="160">
        <f t="shared" si="131"/>
        <v>1</v>
      </c>
      <c r="H2136" s="160">
        <f t="shared" si="132"/>
        <v>2</v>
      </c>
      <c r="I2136" s="160">
        <f t="shared" si="133"/>
        <v>30</v>
      </c>
      <c r="J2136" s="160">
        <f t="shared" si="134"/>
        <v>1</v>
      </c>
    </row>
    <row r="2137" spans="2:10" x14ac:dyDescent="0.35">
      <c r="B2137" s="160">
        <f t="shared" ref="B2137:B2200" si="135">INDEX($A$2:$A$85,MATCH(I1022,$B$2:$B$85,0))</f>
        <v>71</v>
      </c>
      <c r="C2137" s="160">
        <f t="shared" ref="C2137:C2200" si="136">INDEX($D$2:$D$117,MATCH(J1022,$E$2:$E$117,0))</f>
        <v>110</v>
      </c>
      <c r="D2137" s="160">
        <f t="shared" ref="D2137:D2200" si="137">INDEX($P$2:$P$5,MATCH(K1022,$Q$2:$Q$5,0))</f>
        <v>4</v>
      </c>
      <c r="E2137" s="160">
        <f t="shared" ref="E2137:E2200" si="138">INDEX($G$2:$G$19,MATCH(L1022,$H$2:$H$19,0))</f>
        <v>10</v>
      </c>
      <c r="F2137" s="160">
        <f t="shared" ref="F2137:F2200" si="139">INDEX($J$2:$J$55,MATCH(M1022,$K$2:$K$55,0))</f>
        <v>26</v>
      </c>
      <c r="G2137" s="160">
        <f t="shared" ref="G2137:G2200" si="140">INDEX($M$2:$M$6,MATCH(N1022,$N$2:$N$6,0))</f>
        <v>4</v>
      </c>
      <c r="H2137" s="160">
        <f t="shared" ref="H2137:H2200" si="141">INDEX($S$2:$S$26,MATCH(O1022,$T$2:$T$26,0))</f>
        <v>20</v>
      </c>
      <c r="I2137" s="160">
        <f t="shared" ref="I2137:I2200" si="142">INDEX($V$2:$V$108,MATCH(P1022,$W$2:$W$108,0))</f>
        <v>30</v>
      </c>
      <c r="J2137" s="160">
        <f t="shared" ref="J2137:J2200" si="143">INDEX($Y$2:$Y$4,MATCH(Q1022,$Z$2:$Z$4,0))</f>
        <v>1</v>
      </c>
    </row>
    <row r="2138" spans="2:10" x14ac:dyDescent="0.35">
      <c r="B2138" s="160">
        <f t="shared" si="135"/>
        <v>71</v>
      </c>
      <c r="C2138" s="160">
        <f t="shared" si="136"/>
        <v>110</v>
      </c>
      <c r="D2138" s="160">
        <f t="shared" si="137"/>
        <v>4</v>
      </c>
      <c r="E2138" s="160">
        <f t="shared" si="138"/>
        <v>10</v>
      </c>
      <c r="F2138" s="160">
        <f t="shared" si="139"/>
        <v>27</v>
      </c>
      <c r="G2138" s="160">
        <f t="shared" si="140"/>
        <v>2</v>
      </c>
      <c r="H2138" s="160">
        <f t="shared" si="141"/>
        <v>8</v>
      </c>
      <c r="I2138" s="160">
        <f t="shared" si="142"/>
        <v>11</v>
      </c>
      <c r="J2138" s="160">
        <f t="shared" si="143"/>
        <v>2</v>
      </c>
    </row>
    <row r="2139" spans="2:10" x14ac:dyDescent="0.35">
      <c r="B2139" s="160">
        <f t="shared" si="135"/>
        <v>71</v>
      </c>
      <c r="C2139" s="160">
        <f t="shared" si="136"/>
        <v>110</v>
      </c>
      <c r="D2139" s="160">
        <f t="shared" si="137"/>
        <v>4</v>
      </c>
      <c r="E2139" s="160">
        <f t="shared" si="138"/>
        <v>10</v>
      </c>
      <c r="F2139" s="160">
        <f t="shared" si="139"/>
        <v>27</v>
      </c>
      <c r="G2139" s="160">
        <f t="shared" si="140"/>
        <v>4</v>
      </c>
      <c r="H2139" s="160">
        <f t="shared" si="141"/>
        <v>20</v>
      </c>
      <c r="I2139" s="160">
        <f t="shared" si="142"/>
        <v>20</v>
      </c>
      <c r="J2139" s="160">
        <f t="shared" si="143"/>
        <v>2</v>
      </c>
    </row>
    <row r="2140" spans="2:10" x14ac:dyDescent="0.35">
      <c r="B2140" s="160">
        <f t="shared" si="135"/>
        <v>71</v>
      </c>
      <c r="C2140" s="160">
        <f t="shared" si="136"/>
        <v>22</v>
      </c>
      <c r="D2140" s="160">
        <f t="shared" si="137"/>
        <v>4</v>
      </c>
      <c r="E2140" s="160">
        <f t="shared" si="138"/>
        <v>10</v>
      </c>
      <c r="F2140" s="160">
        <f t="shared" si="139"/>
        <v>5</v>
      </c>
      <c r="G2140" s="160">
        <f t="shared" si="140"/>
        <v>4</v>
      </c>
      <c r="H2140" s="160">
        <f t="shared" si="141"/>
        <v>24</v>
      </c>
      <c r="I2140" s="160">
        <f t="shared" si="142"/>
        <v>44</v>
      </c>
      <c r="J2140" s="160">
        <f t="shared" si="143"/>
        <v>3</v>
      </c>
    </row>
    <row r="2141" spans="2:10" x14ac:dyDescent="0.35">
      <c r="B2141" s="160">
        <f t="shared" si="135"/>
        <v>72</v>
      </c>
      <c r="C2141" s="160">
        <f t="shared" si="136"/>
        <v>60</v>
      </c>
      <c r="D2141" s="160">
        <f t="shared" si="137"/>
        <v>4</v>
      </c>
      <c r="E2141" s="160">
        <f t="shared" si="138"/>
        <v>18</v>
      </c>
      <c r="F2141" s="160">
        <f t="shared" si="139"/>
        <v>48</v>
      </c>
      <c r="G2141" s="160">
        <f t="shared" si="140"/>
        <v>2</v>
      </c>
      <c r="H2141" s="160">
        <f t="shared" si="141"/>
        <v>18</v>
      </c>
      <c r="I2141" s="160">
        <f t="shared" si="142"/>
        <v>6</v>
      </c>
      <c r="J2141" s="160">
        <f t="shared" si="143"/>
        <v>1</v>
      </c>
    </row>
    <row r="2142" spans="2:10" x14ac:dyDescent="0.35">
      <c r="B2142" s="160">
        <f t="shared" si="135"/>
        <v>72</v>
      </c>
      <c r="C2142" s="160">
        <f t="shared" si="136"/>
        <v>60</v>
      </c>
      <c r="D2142" s="160">
        <f t="shared" si="137"/>
        <v>4</v>
      </c>
      <c r="E2142" s="160">
        <f t="shared" si="138"/>
        <v>18</v>
      </c>
      <c r="F2142" s="160">
        <f t="shared" si="139"/>
        <v>48</v>
      </c>
      <c r="G2142" s="160">
        <f t="shared" si="140"/>
        <v>4</v>
      </c>
      <c r="H2142" s="160">
        <f t="shared" si="141"/>
        <v>15</v>
      </c>
      <c r="I2142" s="160">
        <f t="shared" si="142"/>
        <v>45</v>
      </c>
      <c r="J2142" s="160">
        <f t="shared" si="143"/>
        <v>1</v>
      </c>
    </row>
    <row r="2143" spans="2:10" x14ac:dyDescent="0.35">
      <c r="B2143" s="160">
        <f t="shared" si="135"/>
        <v>72</v>
      </c>
      <c r="C2143" s="160">
        <f t="shared" si="136"/>
        <v>82</v>
      </c>
      <c r="D2143" s="160">
        <f t="shared" si="137"/>
        <v>4</v>
      </c>
      <c r="E2143" s="160">
        <f t="shared" si="138"/>
        <v>18</v>
      </c>
      <c r="F2143" s="160">
        <f t="shared" si="139"/>
        <v>25</v>
      </c>
      <c r="G2143" s="160">
        <f t="shared" si="140"/>
        <v>1</v>
      </c>
      <c r="H2143" s="160">
        <f t="shared" si="141"/>
        <v>20</v>
      </c>
      <c r="I2143" s="160">
        <f t="shared" si="142"/>
        <v>12</v>
      </c>
      <c r="J2143" s="160">
        <f t="shared" si="143"/>
        <v>1</v>
      </c>
    </row>
    <row r="2144" spans="2:10" x14ac:dyDescent="0.35">
      <c r="B2144" s="160">
        <f t="shared" si="135"/>
        <v>72</v>
      </c>
      <c r="C2144" s="160">
        <f t="shared" si="136"/>
        <v>82</v>
      </c>
      <c r="D2144" s="160">
        <f t="shared" si="137"/>
        <v>4</v>
      </c>
      <c r="E2144" s="160">
        <f t="shared" si="138"/>
        <v>18</v>
      </c>
      <c r="F2144" s="160">
        <f t="shared" si="139"/>
        <v>25</v>
      </c>
      <c r="G2144" s="160">
        <f t="shared" si="140"/>
        <v>4</v>
      </c>
      <c r="H2144" s="160">
        <f t="shared" si="141"/>
        <v>2</v>
      </c>
      <c r="I2144" s="160">
        <f t="shared" si="142"/>
        <v>46</v>
      </c>
      <c r="J2144" s="160">
        <f t="shared" si="143"/>
        <v>1</v>
      </c>
    </row>
    <row r="2145" spans="2:10" x14ac:dyDescent="0.35">
      <c r="B2145" s="160">
        <f t="shared" si="135"/>
        <v>72</v>
      </c>
      <c r="C2145" s="160">
        <f t="shared" si="136"/>
        <v>39</v>
      </c>
      <c r="D2145" s="160">
        <f t="shared" si="137"/>
        <v>3</v>
      </c>
      <c r="E2145" s="160">
        <f t="shared" si="138"/>
        <v>18</v>
      </c>
      <c r="F2145" s="160">
        <f t="shared" si="139"/>
        <v>26</v>
      </c>
      <c r="G2145" s="160">
        <f t="shared" si="140"/>
        <v>2</v>
      </c>
      <c r="H2145" s="160">
        <f t="shared" si="141"/>
        <v>1</v>
      </c>
      <c r="I2145" s="160">
        <f t="shared" si="142"/>
        <v>2</v>
      </c>
      <c r="J2145" s="160">
        <f t="shared" si="143"/>
        <v>2</v>
      </c>
    </row>
    <row r="2146" spans="2:10" x14ac:dyDescent="0.35">
      <c r="B2146" s="160">
        <f t="shared" si="135"/>
        <v>72</v>
      </c>
      <c r="C2146" s="160">
        <f t="shared" si="136"/>
        <v>39</v>
      </c>
      <c r="D2146" s="160">
        <f t="shared" si="137"/>
        <v>3</v>
      </c>
      <c r="E2146" s="160">
        <f t="shared" si="138"/>
        <v>18</v>
      </c>
      <c r="F2146" s="160">
        <f t="shared" si="139"/>
        <v>26</v>
      </c>
      <c r="G2146" s="160">
        <f t="shared" si="140"/>
        <v>5</v>
      </c>
      <c r="H2146" s="160">
        <f t="shared" si="141"/>
        <v>1</v>
      </c>
      <c r="I2146" s="160">
        <f t="shared" si="142"/>
        <v>46</v>
      </c>
      <c r="J2146" s="160">
        <f t="shared" si="143"/>
        <v>2</v>
      </c>
    </row>
    <row r="2147" spans="2:10" x14ac:dyDescent="0.35">
      <c r="B2147" s="160">
        <f t="shared" si="135"/>
        <v>72</v>
      </c>
      <c r="C2147" s="160">
        <f t="shared" si="136"/>
        <v>98</v>
      </c>
      <c r="D2147" s="160">
        <f t="shared" si="137"/>
        <v>4</v>
      </c>
      <c r="E2147" s="160">
        <f t="shared" si="138"/>
        <v>18</v>
      </c>
      <c r="F2147" s="160">
        <f t="shared" si="139"/>
        <v>25</v>
      </c>
      <c r="G2147" s="160">
        <f t="shared" si="140"/>
        <v>1</v>
      </c>
      <c r="H2147" s="160">
        <f t="shared" si="141"/>
        <v>2</v>
      </c>
      <c r="I2147" s="160">
        <f t="shared" si="142"/>
        <v>33</v>
      </c>
      <c r="J2147" s="160">
        <f t="shared" si="143"/>
        <v>2</v>
      </c>
    </row>
    <row r="2148" spans="2:10" x14ac:dyDescent="0.35">
      <c r="B2148" s="160">
        <f t="shared" si="135"/>
        <v>72</v>
      </c>
      <c r="C2148" s="160">
        <f t="shared" si="136"/>
        <v>98</v>
      </c>
      <c r="D2148" s="160">
        <f t="shared" si="137"/>
        <v>4</v>
      </c>
      <c r="E2148" s="160">
        <f t="shared" si="138"/>
        <v>18</v>
      </c>
      <c r="F2148" s="160">
        <f t="shared" si="139"/>
        <v>25</v>
      </c>
      <c r="G2148" s="160">
        <f t="shared" si="140"/>
        <v>2</v>
      </c>
      <c r="H2148" s="160">
        <f t="shared" si="141"/>
        <v>11</v>
      </c>
      <c r="I2148" s="160">
        <f t="shared" si="142"/>
        <v>98</v>
      </c>
      <c r="J2148" s="160">
        <f t="shared" si="143"/>
        <v>2</v>
      </c>
    </row>
    <row r="2149" spans="2:10" x14ac:dyDescent="0.35">
      <c r="B2149" s="160">
        <f t="shared" si="135"/>
        <v>72</v>
      </c>
      <c r="C2149" s="160">
        <f t="shared" si="136"/>
        <v>22</v>
      </c>
      <c r="D2149" s="160">
        <f t="shared" si="137"/>
        <v>4</v>
      </c>
      <c r="E2149" s="160">
        <f t="shared" si="138"/>
        <v>8</v>
      </c>
      <c r="F2149" s="160">
        <f t="shared" si="139"/>
        <v>1</v>
      </c>
      <c r="G2149" s="160">
        <f t="shared" si="140"/>
        <v>4</v>
      </c>
      <c r="H2149" s="160">
        <f t="shared" si="141"/>
        <v>24</v>
      </c>
      <c r="I2149" s="160">
        <f t="shared" si="142"/>
        <v>39</v>
      </c>
      <c r="J2149" s="160">
        <f t="shared" si="143"/>
        <v>3</v>
      </c>
    </row>
    <row r="2150" spans="2:10" x14ac:dyDescent="0.35">
      <c r="B2150" s="160">
        <f t="shared" si="135"/>
        <v>73</v>
      </c>
      <c r="C2150" s="160">
        <f t="shared" si="136"/>
        <v>17</v>
      </c>
      <c r="D2150" s="160">
        <f t="shared" si="137"/>
        <v>2</v>
      </c>
      <c r="E2150" s="160">
        <f t="shared" si="138"/>
        <v>8</v>
      </c>
      <c r="F2150" s="160">
        <f t="shared" si="139"/>
        <v>48</v>
      </c>
      <c r="G2150" s="160">
        <f t="shared" si="140"/>
        <v>1</v>
      </c>
      <c r="H2150" s="160">
        <f t="shared" si="141"/>
        <v>2</v>
      </c>
      <c r="I2150" s="160">
        <f t="shared" si="142"/>
        <v>1</v>
      </c>
      <c r="J2150" s="160">
        <f t="shared" si="143"/>
        <v>2</v>
      </c>
    </row>
    <row r="2151" spans="2:10" x14ac:dyDescent="0.35">
      <c r="B2151" s="160">
        <f t="shared" si="135"/>
        <v>73</v>
      </c>
      <c r="C2151" s="160">
        <f t="shared" si="136"/>
        <v>17</v>
      </c>
      <c r="D2151" s="160">
        <f t="shared" si="137"/>
        <v>2</v>
      </c>
      <c r="E2151" s="160">
        <f t="shared" si="138"/>
        <v>8</v>
      </c>
      <c r="F2151" s="160">
        <f t="shared" si="139"/>
        <v>48</v>
      </c>
      <c r="G2151" s="160">
        <f t="shared" si="140"/>
        <v>3</v>
      </c>
      <c r="H2151" s="160">
        <f t="shared" si="141"/>
        <v>11</v>
      </c>
      <c r="I2151" s="160">
        <f t="shared" si="142"/>
        <v>2</v>
      </c>
      <c r="J2151" s="160">
        <f t="shared" si="143"/>
        <v>2</v>
      </c>
    </row>
    <row r="2152" spans="2:10" x14ac:dyDescent="0.35">
      <c r="B2152" s="160">
        <f t="shared" si="135"/>
        <v>73</v>
      </c>
      <c r="C2152" s="160">
        <f t="shared" si="136"/>
        <v>17</v>
      </c>
      <c r="D2152" s="160">
        <f t="shared" si="137"/>
        <v>2</v>
      </c>
      <c r="E2152" s="160">
        <f t="shared" si="138"/>
        <v>8</v>
      </c>
      <c r="F2152" s="160">
        <f t="shared" si="139"/>
        <v>49</v>
      </c>
      <c r="G2152" s="160">
        <f t="shared" si="140"/>
        <v>1</v>
      </c>
      <c r="H2152" s="160">
        <f t="shared" si="141"/>
        <v>24</v>
      </c>
      <c r="I2152" s="160">
        <f t="shared" si="142"/>
        <v>10</v>
      </c>
      <c r="J2152" s="160">
        <f t="shared" si="143"/>
        <v>2</v>
      </c>
    </row>
    <row r="2153" spans="2:10" x14ac:dyDescent="0.35">
      <c r="B2153" s="160">
        <f t="shared" si="135"/>
        <v>73</v>
      </c>
      <c r="C2153" s="160">
        <f t="shared" si="136"/>
        <v>17</v>
      </c>
      <c r="D2153" s="160">
        <f t="shared" si="137"/>
        <v>2</v>
      </c>
      <c r="E2153" s="160">
        <f t="shared" si="138"/>
        <v>8</v>
      </c>
      <c r="F2153" s="160">
        <f t="shared" si="139"/>
        <v>49</v>
      </c>
      <c r="G2153" s="160">
        <f t="shared" si="140"/>
        <v>3</v>
      </c>
      <c r="H2153" s="160">
        <f t="shared" si="141"/>
        <v>20</v>
      </c>
      <c r="I2153" s="160">
        <f t="shared" si="142"/>
        <v>3</v>
      </c>
      <c r="J2153" s="160">
        <f t="shared" si="143"/>
        <v>2</v>
      </c>
    </row>
    <row r="2154" spans="2:10" x14ac:dyDescent="0.35">
      <c r="B2154" s="160">
        <f t="shared" si="135"/>
        <v>73</v>
      </c>
      <c r="C2154" s="160">
        <f t="shared" si="136"/>
        <v>17</v>
      </c>
      <c r="D2154" s="160">
        <f t="shared" si="137"/>
        <v>2</v>
      </c>
      <c r="E2154" s="160">
        <f t="shared" si="138"/>
        <v>8</v>
      </c>
      <c r="F2154" s="160">
        <f t="shared" si="139"/>
        <v>50</v>
      </c>
      <c r="G2154" s="160">
        <f t="shared" si="140"/>
        <v>2</v>
      </c>
      <c r="H2154" s="160">
        <f t="shared" si="141"/>
        <v>11</v>
      </c>
      <c r="I2154" s="160">
        <f t="shared" si="142"/>
        <v>4</v>
      </c>
      <c r="J2154" s="160">
        <f t="shared" si="143"/>
        <v>2</v>
      </c>
    </row>
    <row r="2155" spans="2:10" x14ac:dyDescent="0.35">
      <c r="B2155" s="160">
        <f t="shared" si="135"/>
        <v>73</v>
      </c>
      <c r="C2155" s="160">
        <f t="shared" si="136"/>
        <v>17</v>
      </c>
      <c r="D2155" s="160">
        <f t="shared" si="137"/>
        <v>2</v>
      </c>
      <c r="E2155" s="160">
        <f t="shared" si="138"/>
        <v>8</v>
      </c>
      <c r="F2155" s="160">
        <f t="shared" si="139"/>
        <v>50</v>
      </c>
      <c r="G2155" s="160">
        <f t="shared" si="140"/>
        <v>4</v>
      </c>
      <c r="H2155" s="160">
        <f t="shared" si="141"/>
        <v>11</v>
      </c>
      <c r="I2155" s="160">
        <f t="shared" si="142"/>
        <v>4</v>
      </c>
      <c r="J2155" s="160">
        <f t="shared" si="143"/>
        <v>2</v>
      </c>
    </row>
    <row r="2156" spans="2:10" x14ac:dyDescent="0.35">
      <c r="B2156" s="160">
        <f t="shared" si="135"/>
        <v>73</v>
      </c>
      <c r="C2156" s="160">
        <f t="shared" si="136"/>
        <v>17</v>
      </c>
      <c r="D2156" s="160">
        <f t="shared" si="137"/>
        <v>2</v>
      </c>
      <c r="E2156" s="160">
        <f t="shared" si="138"/>
        <v>8</v>
      </c>
      <c r="F2156" s="160">
        <f t="shared" si="139"/>
        <v>51</v>
      </c>
      <c r="G2156" s="160">
        <f t="shared" si="140"/>
        <v>2</v>
      </c>
      <c r="H2156" s="160">
        <f t="shared" si="141"/>
        <v>20</v>
      </c>
      <c r="I2156" s="160">
        <f t="shared" si="142"/>
        <v>3</v>
      </c>
      <c r="J2156" s="160">
        <f t="shared" si="143"/>
        <v>2</v>
      </c>
    </row>
    <row r="2157" spans="2:10" x14ac:dyDescent="0.35">
      <c r="B2157" s="160">
        <f t="shared" si="135"/>
        <v>73</v>
      </c>
      <c r="C2157" s="160">
        <f t="shared" si="136"/>
        <v>17</v>
      </c>
      <c r="D2157" s="160">
        <f t="shared" si="137"/>
        <v>2</v>
      </c>
      <c r="E2157" s="160">
        <f t="shared" si="138"/>
        <v>8</v>
      </c>
      <c r="F2157" s="160">
        <f t="shared" si="139"/>
        <v>51</v>
      </c>
      <c r="G2157" s="160">
        <f t="shared" si="140"/>
        <v>4</v>
      </c>
      <c r="H2157" s="160">
        <f t="shared" si="141"/>
        <v>20</v>
      </c>
      <c r="I2157" s="160">
        <f t="shared" si="142"/>
        <v>3</v>
      </c>
      <c r="J2157" s="160">
        <f t="shared" si="143"/>
        <v>2</v>
      </c>
    </row>
    <row r="2158" spans="2:10" x14ac:dyDescent="0.35">
      <c r="B2158" s="160">
        <f t="shared" si="135"/>
        <v>73</v>
      </c>
      <c r="C2158" s="160">
        <f t="shared" si="136"/>
        <v>87</v>
      </c>
      <c r="D2158" s="160">
        <f t="shared" si="137"/>
        <v>4</v>
      </c>
      <c r="E2158" s="160">
        <f t="shared" si="138"/>
        <v>8</v>
      </c>
      <c r="F2158" s="160">
        <f t="shared" si="139"/>
        <v>27</v>
      </c>
      <c r="G2158" s="160">
        <f t="shared" si="140"/>
        <v>1</v>
      </c>
      <c r="H2158" s="160">
        <f t="shared" si="141"/>
        <v>2</v>
      </c>
      <c r="I2158" s="160">
        <f t="shared" si="142"/>
        <v>3</v>
      </c>
      <c r="J2158" s="160">
        <f t="shared" si="143"/>
        <v>1</v>
      </c>
    </row>
    <row r="2159" spans="2:10" x14ac:dyDescent="0.35">
      <c r="B2159" s="160">
        <f t="shared" si="135"/>
        <v>73</v>
      </c>
      <c r="C2159" s="160">
        <f t="shared" si="136"/>
        <v>87</v>
      </c>
      <c r="D2159" s="160">
        <f t="shared" si="137"/>
        <v>4</v>
      </c>
      <c r="E2159" s="160">
        <f t="shared" si="138"/>
        <v>8</v>
      </c>
      <c r="F2159" s="160">
        <f t="shared" si="139"/>
        <v>27</v>
      </c>
      <c r="G2159" s="160">
        <f t="shared" si="140"/>
        <v>3</v>
      </c>
      <c r="H2159" s="160">
        <f t="shared" si="141"/>
        <v>2</v>
      </c>
      <c r="I2159" s="160">
        <f t="shared" si="142"/>
        <v>3</v>
      </c>
      <c r="J2159" s="160">
        <f t="shared" si="143"/>
        <v>1</v>
      </c>
    </row>
    <row r="2160" spans="2:10" x14ac:dyDescent="0.35">
      <c r="B2160" s="160">
        <f t="shared" si="135"/>
        <v>73</v>
      </c>
      <c r="C2160" s="160">
        <f t="shared" si="136"/>
        <v>24</v>
      </c>
      <c r="D2160" s="160">
        <f t="shared" si="137"/>
        <v>2</v>
      </c>
      <c r="E2160" s="160">
        <f t="shared" si="138"/>
        <v>10</v>
      </c>
      <c r="F2160" s="160">
        <f t="shared" si="139"/>
        <v>48</v>
      </c>
      <c r="G2160" s="160">
        <f t="shared" si="140"/>
        <v>3</v>
      </c>
      <c r="H2160" s="160">
        <f t="shared" si="141"/>
        <v>23</v>
      </c>
      <c r="I2160" s="160">
        <f t="shared" si="142"/>
        <v>7</v>
      </c>
      <c r="J2160" s="160">
        <f t="shared" si="143"/>
        <v>1</v>
      </c>
    </row>
    <row r="2161" spans="2:10" x14ac:dyDescent="0.35">
      <c r="B2161" s="160">
        <f t="shared" si="135"/>
        <v>73</v>
      </c>
      <c r="C2161" s="160">
        <f t="shared" si="136"/>
        <v>24</v>
      </c>
      <c r="D2161" s="160">
        <f t="shared" si="137"/>
        <v>2</v>
      </c>
      <c r="E2161" s="160">
        <f t="shared" si="138"/>
        <v>10</v>
      </c>
      <c r="F2161" s="160">
        <f t="shared" si="139"/>
        <v>48</v>
      </c>
      <c r="G2161" s="160">
        <f t="shared" si="140"/>
        <v>5</v>
      </c>
      <c r="H2161" s="160">
        <f t="shared" si="141"/>
        <v>23</v>
      </c>
      <c r="I2161" s="160">
        <f t="shared" si="142"/>
        <v>7</v>
      </c>
      <c r="J2161" s="160">
        <f t="shared" si="143"/>
        <v>1</v>
      </c>
    </row>
    <row r="2162" spans="2:10" x14ac:dyDescent="0.35">
      <c r="B2162" s="160">
        <f t="shared" si="135"/>
        <v>73</v>
      </c>
      <c r="C2162" s="160">
        <f t="shared" si="136"/>
        <v>25</v>
      </c>
      <c r="D2162" s="160">
        <f t="shared" si="137"/>
        <v>2</v>
      </c>
      <c r="E2162" s="160">
        <f t="shared" si="138"/>
        <v>10</v>
      </c>
      <c r="F2162" s="160">
        <f t="shared" si="139"/>
        <v>49</v>
      </c>
      <c r="G2162" s="160">
        <f t="shared" si="140"/>
        <v>2</v>
      </c>
      <c r="H2162" s="160">
        <f t="shared" si="141"/>
        <v>19</v>
      </c>
      <c r="I2162" s="160">
        <f t="shared" si="142"/>
        <v>38</v>
      </c>
      <c r="J2162" s="160">
        <f t="shared" si="143"/>
        <v>1</v>
      </c>
    </row>
    <row r="2163" spans="2:10" x14ac:dyDescent="0.35">
      <c r="B2163" s="160">
        <f t="shared" si="135"/>
        <v>73</v>
      </c>
      <c r="C2163" s="160">
        <f t="shared" si="136"/>
        <v>25</v>
      </c>
      <c r="D2163" s="160">
        <f t="shared" si="137"/>
        <v>2</v>
      </c>
      <c r="E2163" s="160">
        <f t="shared" si="138"/>
        <v>10</v>
      </c>
      <c r="F2163" s="160">
        <f t="shared" si="139"/>
        <v>49</v>
      </c>
      <c r="G2163" s="160">
        <f t="shared" si="140"/>
        <v>4</v>
      </c>
      <c r="H2163" s="160">
        <f t="shared" si="141"/>
        <v>10</v>
      </c>
      <c r="I2163" s="160">
        <f t="shared" si="142"/>
        <v>48</v>
      </c>
      <c r="J2163" s="160">
        <f t="shared" si="143"/>
        <v>1</v>
      </c>
    </row>
    <row r="2164" spans="2:10" x14ac:dyDescent="0.35">
      <c r="B2164" s="160">
        <f t="shared" si="135"/>
        <v>73</v>
      </c>
      <c r="C2164" s="160">
        <f t="shared" si="136"/>
        <v>78</v>
      </c>
      <c r="D2164" s="160">
        <f t="shared" si="137"/>
        <v>3</v>
      </c>
      <c r="E2164" s="160">
        <f t="shared" si="138"/>
        <v>10</v>
      </c>
      <c r="F2164" s="160">
        <f t="shared" si="139"/>
        <v>48</v>
      </c>
      <c r="G2164" s="160">
        <f t="shared" si="140"/>
        <v>1</v>
      </c>
      <c r="H2164" s="160">
        <f t="shared" si="141"/>
        <v>10</v>
      </c>
      <c r="I2164" s="160">
        <f t="shared" si="142"/>
        <v>27</v>
      </c>
      <c r="J2164" s="160">
        <f t="shared" si="143"/>
        <v>2</v>
      </c>
    </row>
    <row r="2165" spans="2:10" x14ac:dyDescent="0.35">
      <c r="B2165" s="160">
        <f t="shared" si="135"/>
        <v>73</v>
      </c>
      <c r="C2165" s="160">
        <f t="shared" si="136"/>
        <v>78</v>
      </c>
      <c r="D2165" s="160">
        <f t="shared" si="137"/>
        <v>3</v>
      </c>
      <c r="E2165" s="160">
        <f t="shared" si="138"/>
        <v>10</v>
      </c>
      <c r="F2165" s="160">
        <f t="shared" si="139"/>
        <v>48</v>
      </c>
      <c r="G2165" s="160">
        <f t="shared" si="140"/>
        <v>5</v>
      </c>
      <c r="H2165" s="160">
        <f t="shared" si="141"/>
        <v>19</v>
      </c>
      <c r="I2165" s="160">
        <f t="shared" si="142"/>
        <v>24</v>
      </c>
      <c r="J2165" s="160">
        <f t="shared" si="143"/>
        <v>2</v>
      </c>
    </row>
    <row r="2166" spans="2:10" x14ac:dyDescent="0.35">
      <c r="B2166" s="160">
        <f t="shared" si="135"/>
        <v>73</v>
      </c>
      <c r="C2166" s="160">
        <f t="shared" si="136"/>
        <v>22</v>
      </c>
      <c r="D2166" s="160">
        <f t="shared" si="137"/>
        <v>4</v>
      </c>
      <c r="E2166" s="160">
        <f t="shared" si="138"/>
        <v>8</v>
      </c>
      <c r="F2166" s="160">
        <f t="shared" si="139"/>
        <v>2</v>
      </c>
      <c r="G2166" s="160">
        <f t="shared" si="140"/>
        <v>4</v>
      </c>
      <c r="H2166" s="160">
        <f t="shared" si="141"/>
        <v>24</v>
      </c>
      <c r="I2166" s="160">
        <f t="shared" si="142"/>
        <v>49</v>
      </c>
      <c r="J2166" s="160">
        <f t="shared" si="143"/>
        <v>3</v>
      </c>
    </row>
    <row r="2167" spans="2:10" x14ac:dyDescent="0.35">
      <c r="B2167" s="160">
        <f t="shared" si="135"/>
        <v>74</v>
      </c>
      <c r="C2167" s="160">
        <f t="shared" si="136"/>
        <v>30</v>
      </c>
      <c r="D2167" s="160">
        <f t="shared" si="137"/>
        <v>2</v>
      </c>
      <c r="E2167" s="160">
        <f t="shared" si="138"/>
        <v>10</v>
      </c>
      <c r="F2167" s="160">
        <f t="shared" si="139"/>
        <v>42</v>
      </c>
      <c r="G2167" s="160">
        <f t="shared" si="140"/>
        <v>1</v>
      </c>
      <c r="H2167" s="160">
        <f t="shared" si="141"/>
        <v>2</v>
      </c>
      <c r="I2167" s="160">
        <f t="shared" si="142"/>
        <v>54</v>
      </c>
      <c r="J2167" s="160">
        <f t="shared" si="143"/>
        <v>2</v>
      </c>
    </row>
    <row r="2168" spans="2:10" x14ac:dyDescent="0.35">
      <c r="B2168" s="160">
        <f t="shared" si="135"/>
        <v>74</v>
      </c>
      <c r="C2168" s="160">
        <f t="shared" si="136"/>
        <v>30</v>
      </c>
      <c r="D2168" s="160">
        <f t="shared" si="137"/>
        <v>2</v>
      </c>
      <c r="E2168" s="160">
        <f t="shared" si="138"/>
        <v>10</v>
      </c>
      <c r="F2168" s="160">
        <f t="shared" si="139"/>
        <v>42</v>
      </c>
      <c r="G2168" s="160">
        <f t="shared" si="140"/>
        <v>5</v>
      </c>
      <c r="H2168" s="160">
        <f t="shared" si="141"/>
        <v>20</v>
      </c>
      <c r="I2168" s="160">
        <f t="shared" si="142"/>
        <v>55</v>
      </c>
      <c r="J2168" s="160">
        <f t="shared" si="143"/>
        <v>2</v>
      </c>
    </row>
    <row r="2169" spans="2:10" x14ac:dyDescent="0.35">
      <c r="B2169" s="160">
        <f t="shared" si="135"/>
        <v>74</v>
      </c>
      <c r="C2169" s="160">
        <f t="shared" si="136"/>
        <v>17</v>
      </c>
      <c r="D2169" s="160">
        <f t="shared" si="137"/>
        <v>4</v>
      </c>
      <c r="E2169" s="160">
        <f t="shared" si="138"/>
        <v>15</v>
      </c>
      <c r="F2169" s="160">
        <f t="shared" si="139"/>
        <v>52</v>
      </c>
      <c r="G2169" s="160">
        <f t="shared" si="140"/>
        <v>2</v>
      </c>
      <c r="H2169" s="160">
        <f t="shared" si="141"/>
        <v>11</v>
      </c>
      <c r="I2169" s="160">
        <f t="shared" si="142"/>
        <v>41</v>
      </c>
      <c r="J2169" s="160">
        <f t="shared" si="143"/>
        <v>2</v>
      </c>
    </row>
    <row r="2170" spans="2:10" x14ac:dyDescent="0.35">
      <c r="B2170" s="160">
        <f t="shared" si="135"/>
        <v>74</v>
      </c>
      <c r="C2170" s="160">
        <f t="shared" si="136"/>
        <v>17</v>
      </c>
      <c r="D2170" s="160">
        <f t="shared" si="137"/>
        <v>4</v>
      </c>
      <c r="E2170" s="160">
        <f t="shared" si="138"/>
        <v>15</v>
      </c>
      <c r="F2170" s="160">
        <f t="shared" si="139"/>
        <v>52</v>
      </c>
      <c r="G2170" s="160">
        <f t="shared" si="140"/>
        <v>4</v>
      </c>
      <c r="H2170" s="160">
        <f t="shared" si="141"/>
        <v>2</v>
      </c>
      <c r="I2170" s="160">
        <f t="shared" si="142"/>
        <v>28</v>
      </c>
      <c r="J2170" s="160">
        <f t="shared" si="143"/>
        <v>2</v>
      </c>
    </row>
    <row r="2171" spans="2:10" x14ac:dyDescent="0.35">
      <c r="B2171" s="160">
        <f t="shared" si="135"/>
        <v>74</v>
      </c>
      <c r="C2171" s="160">
        <f t="shared" si="136"/>
        <v>17</v>
      </c>
      <c r="D2171" s="160">
        <f t="shared" si="137"/>
        <v>4</v>
      </c>
      <c r="E2171" s="160">
        <f t="shared" si="138"/>
        <v>15</v>
      </c>
      <c r="F2171" s="160">
        <f t="shared" si="139"/>
        <v>53</v>
      </c>
      <c r="G2171" s="160">
        <f t="shared" si="140"/>
        <v>2</v>
      </c>
      <c r="H2171" s="160">
        <f t="shared" si="141"/>
        <v>2</v>
      </c>
      <c r="I2171" s="160">
        <f t="shared" si="142"/>
        <v>35</v>
      </c>
      <c r="J2171" s="160">
        <f t="shared" si="143"/>
        <v>1</v>
      </c>
    </row>
    <row r="2172" spans="2:10" x14ac:dyDescent="0.35">
      <c r="B2172" s="160">
        <f t="shared" si="135"/>
        <v>74</v>
      </c>
      <c r="C2172" s="160">
        <f t="shared" si="136"/>
        <v>17</v>
      </c>
      <c r="D2172" s="160">
        <f t="shared" si="137"/>
        <v>4</v>
      </c>
      <c r="E2172" s="160">
        <f t="shared" si="138"/>
        <v>15</v>
      </c>
      <c r="F2172" s="160">
        <f t="shared" si="139"/>
        <v>53</v>
      </c>
      <c r="G2172" s="160">
        <f t="shared" si="140"/>
        <v>5</v>
      </c>
      <c r="H2172" s="160">
        <f t="shared" si="141"/>
        <v>2</v>
      </c>
      <c r="I2172" s="160">
        <f t="shared" si="142"/>
        <v>11</v>
      </c>
      <c r="J2172" s="160">
        <f t="shared" si="143"/>
        <v>1</v>
      </c>
    </row>
    <row r="2173" spans="2:10" x14ac:dyDescent="0.35">
      <c r="B2173" s="160">
        <f t="shared" si="135"/>
        <v>74</v>
      </c>
      <c r="C2173" s="160">
        <f t="shared" si="136"/>
        <v>24</v>
      </c>
      <c r="D2173" s="160">
        <f t="shared" si="137"/>
        <v>2</v>
      </c>
      <c r="E2173" s="160">
        <f t="shared" si="138"/>
        <v>3</v>
      </c>
      <c r="F2173" s="160">
        <f t="shared" si="139"/>
        <v>48</v>
      </c>
      <c r="G2173" s="160">
        <f t="shared" si="140"/>
        <v>2</v>
      </c>
      <c r="H2173" s="160">
        <f t="shared" si="141"/>
        <v>7</v>
      </c>
      <c r="I2173" s="160">
        <f t="shared" si="142"/>
        <v>7</v>
      </c>
      <c r="J2173" s="160">
        <f t="shared" si="143"/>
        <v>2</v>
      </c>
    </row>
    <row r="2174" spans="2:10" x14ac:dyDescent="0.35">
      <c r="B2174" s="160">
        <f t="shared" si="135"/>
        <v>74</v>
      </c>
      <c r="C2174" s="160">
        <f t="shared" si="136"/>
        <v>24</v>
      </c>
      <c r="D2174" s="160">
        <f t="shared" si="137"/>
        <v>2</v>
      </c>
      <c r="E2174" s="160">
        <f t="shared" si="138"/>
        <v>3</v>
      </c>
      <c r="F2174" s="160">
        <f t="shared" si="139"/>
        <v>48</v>
      </c>
      <c r="G2174" s="160">
        <f t="shared" si="140"/>
        <v>4</v>
      </c>
      <c r="H2174" s="160">
        <f t="shared" si="141"/>
        <v>1</v>
      </c>
      <c r="I2174" s="160">
        <f t="shared" si="142"/>
        <v>7</v>
      </c>
      <c r="J2174" s="160">
        <f t="shared" si="143"/>
        <v>2</v>
      </c>
    </row>
    <row r="2175" spans="2:10" x14ac:dyDescent="0.35">
      <c r="B2175" s="160">
        <f t="shared" si="135"/>
        <v>74</v>
      </c>
      <c r="C2175" s="160">
        <f t="shared" si="136"/>
        <v>25</v>
      </c>
      <c r="D2175" s="160">
        <f t="shared" si="137"/>
        <v>2</v>
      </c>
      <c r="E2175" s="160">
        <f t="shared" si="138"/>
        <v>6</v>
      </c>
      <c r="F2175" s="160">
        <f t="shared" si="139"/>
        <v>48</v>
      </c>
      <c r="G2175" s="160">
        <f t="shared" si="140"/>
        <v>3</v>
      </c>
      <c r="H2175" s="160">
        <f t="shared" si="141"/>
        <v>2</v>
      </c>
      <c r="I2175" s="160">
        <f t="shared" si="142"/>
        <v>74</v>
      </c>
      <c r="J2175" s="160">
        <f t="shared" si="143"/>
        <v>1</v>
      </c>
    </row>
    <row r="2176" spans="2:10" x14ac:dyDescent="0.35">
      <c r="B2176" s="160">
        <f t="shared" si="135"/>
        <v>74</v>
      </c>
      <c r="C2176" s="160">
        <f t="shared" si="136"/>
        <v>25</v>
      </c>
      <c r="D2176" s="160">
        <f t="shared" si="137"/>
        <v>2</v>
      </c>
      <c r="E2176" s="160">
        <f t="shared" si="138"/>
        <v>6</v>
      </c>
      <c r="F2176" s="160">
        <f t="shared" si="139"/>
        <v>48</v>
      </c>
      <c r="G2176" s="160">
        <f t="shared" si="140"/>
        <v>5</v>
      </c>
      <c r="H2176" s="160">
        <f t="shared" si="141"/>
        <v>20</v>
      </c>
      <c r="I2176" s="160">
        <f t="shared" si="142"/>
        <v>69</v>
      </c>
      <c r="J2176" s="160">
        <f t="shared" si="143"/>
        <v>1</v>
      </c>
    </row>
    <row r="2177" spans="2:10" x14ac:dyDescent="0.35">
      <c r="B2177" s="160">
        <f t="shared" si="135"/>
        <v>74</v>
      </c>
      <c r="C2177" s="160">
        <f t="shared" si="136"/>
        <v>25</v>
      </c>
      <c r="D2177" s="160">
        <f t="shared" si="137"/>
        <v>2</v>
      </c>
      <c r="E2177" s="160">
        <f t="shared" si="138"/>
        <v>8</v>
      </c>
      <c r="F2177" s="160">
        <f t="shared" si="139"/>
        <v>48</v>
      </c>
      <c r="G2177" s="160">
        <f t="shared" si="140"/>
        <v>3</v>
      </c>
      <c r="H2177" s="160">
        <f t="shared" si="141"/>
        <v>1</v>
      </c>
      <c r="I2177" s="160">
        <f t="shared" si="142"/>
        <v>10</v>
      </c>
      <c r="J2177" s="160">
        <f t="shared" si="143"/>
        <v>1</v>
      </c>
    </row>
    <row r="2178" spans="2:10" x14ac:dyDescent="0.35">
      <c r="B2178" s="160">
        <f t="shared" si="135"/>
        <v>74</v>
      </c>
      <c r="C2178" s="160">
        <f t="shared" si="136"/>
        <v>25</v>
      </c>
      <c r="D2178" s="160">
        <f t="shared" si="137"/>
        <v>2</v>
      </c>
      <c r="E2178" s="160">
        <f t="shared" si="138"/>
        <v>8</v>
      </c>
      <c r="F2178" s="160">
        <f t="shared" si="139"/>
        <v>48</v>
      </c>
      <c r="G2178" s="160">
        <f t="shared" si="140"/>
        <v>5</v>
      </c>
      <c r="H2178" s="160">
        <f t="shared" si="141"/>
        <v>19</v>
      </c>
      <c r="I2178" s="160">
        <f t="shared" si="142"/>
        <v>10</v>
      </c>
      <c r="J2178" s="160">
        <f t="shared" si="143"/>
        <v>1</v>
      </c>
    </row>
    <row r="2179" spans="2:10" x14ac:dyDescent="0.35">
      <c r="B2179" s="160">
        <f t="shared" si="135"/>
        <v>74</v>
      </c>
      <c r="C2179" s="160">
        <f t="shared" si="136"/>
        <v>24</v>
      </c>
      <c r="D2179" s="160">
        <f t="shared" si="137"/>
        <v>2</v>
      </c>
      <c r="E2179" s="160">
        <f t="shared" si="138"/>
        <v>8</v>
      </c>
      <c r="F2179" s="160">
        <f t="shared" si="139"/>
        <v>49</v>
      </c>
      <c r="G2179" s="160">
        <f t="shared" si="140"/>
        <v>1</v>
      </c>
      <c r="H2179" s="160">
        <f t="shared" si="141"/>
        <v>23</v>
      </c>
      <c r="I2179" s="160">
        <f t="shared" si="142"/>
        <v>7</v>
      </c>
      <c r="J2179" s="160">
        <f t="shared" si="143"/>
        <v>1</v>
      </c>
    </row>
    <row r="2180" spans="2:10" x14ac:dyDescent="0.35">
      <c r="B2180" s="160">
        <f t="shared" si="135"/>
        <v>74</v>
      </c>
      <c r="C2180" s="160">
        <f t="shared" si="136"/>
        <v>24</v>
      </c>
      <c r="D2180" s="160">
        <f t="shared" si="137"/>
        <v>2</v>
      </c>
      <c r="E2180" s="160">
        <f t="shared" si="138"/>
        <v>8</v>
      </c>
      <c r="F2180" s="160">
        <f t="shared" si="139"/>
        <v>49</v>
      </c>
      <c r="G2180" s="160">
        <f t="shared" si="140"/>
        <v>4</v>
      </c>
      <c r="H2180" s="160">
        <f t="shared" si="141"/>
        <v>23</v>
      </c>
      <c r="I2180" s="160">
        <f t="shared" si="142"/>
        <v>7</v>
      </c>
      <c r="J2180" s="160">
        <f t="shared" si="143"/>
        <v>1</v>
      </c>
    </row>
    <row r="2181" spans="2:10" x14ac:dyDescent="0.35">
      <c r="B2181" s="160">
        <f t="shared" si="135"/>
        <v>75</v>
      </c>
      <c r="C2181" s="160">
        <f t="shared" si="136"/>
        <v>74</v>
      </c>
      <c r="D2181" s="160">
        <f t="shared" si="137"/>
        <v>3</v>
      </c>
      <c r="E2181" s="160">
        <f t="shared" si="138"/>
        <v>15</v>
      </c>
      <c r="F2181" s="160">
        <f t="shared" si="139"/>
        <v>4</v>
      </c>
      <c r="G2181" s="160">
        <f t="shared" si="140"/>
        <v>1</v>
      </c>
      <c r="H2181" s="160">
        <f t="shared" si="141"/>
        <v>1</v>
      </c>
      <c r="I2181" s="160">
        <f t="shared" si="142"/>
        <v>28</v>
      </c>
      <c r="J2181" s="160">
        <f t="shared" si="143"/>
        <v>1</v>
      </c>
    </row>
    <row r="2182" spans="2:10" x14ac:dyDescent="0.35">
      <c r="B2182" s="160">
        <f t="shared" si="135"/>
        <v>75</v>
      </c>
      <c r="C2182" s="160">
        <f t="shared" si="136"/>
        <v>74</v>
      </c>
      <c r="D2182" s="160">
        <f t="shared" si="137"/>
        <v>3</v>
      </c>
      <c r="E2182" s="160">
        <f t="shared" si="138"/>
        <v>15</v>
      </c>
      <c r="F2182" s="160">
        <f t="shared" si="139"/>
        <v>4</v>
      </c>
      <c r="G2182" s="160">
        <f t="shared" si="140"/>
        <v>4</v>
      </c>
      <c r="H2182" s="160">
        <f t="shared" si="141"/>
        <v>10</v>
      </c>
      <c r="I2182" s="160">
        <f t="shared" si="142"/>
        <v>35</v>
      </c>
      <c r="J2182" s="160">
        <f t="shared" si="143"/>
        <v>1</v>
      </c>
    </row>
    <row r="2183" spans="2:10" x14ac:dyDescent="0.35">
      <c r="B2183" s="160">
        <f t="shared" si="135"/>
        <v>75</v>
      </c>
      <c r="C2183" s="160">
        <f t="shared" si="136"/>
        <v>104</v>
      </c>
      <c r="D2183" s="160">
        <f t="shared" si="137"/>
        <v>4</v>
      </c>
      <c r="E2183" s="160">
        <f t="shared" si="138"/>
        <v>10</v>
      </c>
      <c r="F2183" s="160">
        <f t="shared" si="139"/>
        <v>25</v>
      </c>
      <c r="G2183" s="160">
        <f t="shared" si="140"/>
        <v>1</v>
      </c>
      <c r="H2183" s="160">
        <f t="shared" si="141"/>
        <v>11</v>
      </c>
      <c r="I2183" s="160">
        <f t="shared" si="142"/>
        <v>30</v>
      </c>
      <c r="J2183" s="160">
        <f t="shared" si="143"/>
        <v>2</v>
      </c>
    </row>
    <row r="2184" spans="2:10" x14ac:dyDescent="0.35">
      <c r="B2184" s="160">
        <f t="shared" si="135"/>
        <v>75</v>
      </c>
      <c r="C2184" s="160">
        <f t="shared" si="136"/>
        <v>104</v>
      </c>
      <c r="D2184" s="160">
        <f t="shared" si="137"/>
        <v>4</v>
      </c>
      <c r="E2184" s="160">
        <f t="shared" si="138"/>
        <v>10</v>
      </c>
      <c r="F2184" s="160">
        <f t="shared" si="139"/>
        <v>25</v>
      </c>
      <c r="G2184" s="160">
        <f t="shared" si="140"/>
        <v>5</v>
      </c>
      <c r="H2184" s="160">
        <f t="shared" si="141"/>
        <v>20</v>
      </c>
      <c r="I2184" s="160">
        <f t="shared" si="142"/>
        <v>45</v>
      </c>
      <c r="J2184" s="160">
        <f t="shared" si="143"/>
        <v>2</v>
      </c>
    </row>
    <row r="2185" spans="2:10" x14ac:dyDescent="0.35">
      <c r="B2185" s="160">
        <f t="shared" si="135"/>
        <v>76</v>
      </c>
      <c r="C2185" s="160">
        <f t="shared" si="136"/>
        <v>17</v>
      </c>
      <c r="D2185" s="160">
        <f t="shared" si="137"/>
        <v>2</v>
      </c>
      <c r="E2185" s="160">
        <f t="shared" si="138"/>
        <v>4</v>
      </c>
      <c r="F2185" s="160">
        <f t="shared" si="139"/>
        <v>48</v>
      </c>
      <c r="G2185" s="160">
        <f t="shared" si="140"/>
        <v>2</v>
      </c>
      <c r="H2185" s="160">
        <f t="shared" si="141"/>
        <v>2</v>
      </c>
      <c r="I2185" s="160">
        <f t="shared" si="142"/>
        <v>52</v>
      </c>
      <c r="J2185" s="160">
        <f t="shared" si="143"/>
        <v>2</v>
      </c>
    </row>
    <row r="2186" spans="2:10" x14ac:dyDescent="0.35">
      <c r="B2186" s="160">
        <f t="shared" si="135"/>
        <v>76</v>
      </c>
      <c r="C2186" s="160">
        <f t="shared" si="136"/>
        <v>17</v>
      </c>
      <c r="D2186" s="160">
        <f t="shared" si="137"/>
        <v>2</v>
      </c>
      <c r="E2186" s="160">
        <f t="shared" si="138"/>
        <v>4</v>
      </c>
      <c r="F2186" s="160">
        <f t="shared" si="139"/>
        <v>48</v>
      </c>
      <c r="G2186" s="160">
        <f t="shared" si="140"/>
        <v>5</v>
      </c>
      <c r="H2186" s="160">
        <f t="shared" si="141"/>
        <v>2</v>
      </c>
      <c r="I2186" s="160">
        <f t="shared" si="142"/>
        <v>27</v>
      </c>
      <c r="J2186" s="160">
        <f t="shared" si="143"/>
        <v>2</v>
      </c>
    </row>
    <row r="2187" spans="2:10" x14ac:dyDescent="0.35">
      <c r="B2187" s="160">
        <f t="shared" si="135"/>
        <v>76</v>
      </c>
      <c r="C2187" s="160">
        <f t="shared" si="136"/>
        <v>17</v>
      </c>
      <c r="D2187" s="160">
        <f t="shared" si="137"/>
        <v>2</v>
      </c>
      <c r="E2187" s="160">
        <f t="shared" si="138"/>
        <v>15</v>
      </c>
      <c r="F2187" s="160">
        <f t="shared" si="139"/>
        <v>48</v>
      </c>
      <c r="G2187" s="160">
        <f t="shared" si="140"/>
        <v>1</v>
      </c>
      <c r="H2187" s="160">
        <f t="shared" si="141"/>
        <v>20</v>
      </c>
      <c r="I2187" s="160">
        <f t="shared" si="142"/>
        <v>28</v>
      </c>
      <c r="J2187" s="160">
        <f t="shared" si="143"/>
        <v>2</v>
      </c>
    </row>
    <row r="2188" spans="2:10" x14ac:dyDescent="0.35">
      <c r="B2188" s="160">
        <f t="shared" si="135"/>
        <v>76</v>
      </c>
      <c r="C2188" s="160">
        <f t="shared" si="136"/>
        <v>17</v>
      </c>
      <c r="D2188" s="160">
        <f t="shared" si="137"/>
        <v>2</v>
      </c>
      <c r="E2188" s="160">
        <f t="shared" si="138"/>
        <v>15</v>
      </c>
      <c r="F2188" s="160">
        <f t="shared" si="139"/>
        <v>48</v>
      </c>
      <c r="G2188" s="160">
        <f t="shared" si="140"/>
        <v>4</v>
      </c>
      <c r="H2188" s="160">
        <f t="shared" si="141"/>
        <v>2</v>
      </c>
      <c r="I2188" s="160">
        <f t="shared" si="142"/>
        <v>62</v>
      </c>
      <c r="J2188" s="160">
        <f t="shared" si="143"/>
        <v>2</v>
      </c>
    </row>
    <row r="2189" spans="2:10" x14ac:dyDescent="0.35">
      <c r="B2189" s="160">
        <f t="shared" si="135"/>
        <v>76</v>
      </c>
      <c r="C2189" s="160">
        <f t="shared" si="136"/>
        <v>17</v>
      </c>
      <c r="D2189" s="160">
        <f t="shared" si="137"/>
        <v>2</v>
      </c>
      <c r="E2189" s="160">
        <f t="shared" si="138"/>
        <v>15</v>
      </c>
      <c r="F2189" s="160">
        <f t="shared" si="139"/>
        <v>49</v>
      </c>
      <c r="G2189" s="160">
        <f t="shared" si="140"/>
        <v>2</v>
      </c>
      <c r="H2189" s="160">
        <f t="shared" si="141"/>
        <v>11</v>
      </c>
      <c r="I2189" s="160">
        <f t="shared" si="142"/>
        <v>35</v>
      </c>
      <c r="J2189" s="160">
        <f t="shared" si="143"/>
        <v>2</v>
      </c>
    </row>
    <row r="2190" spans="2:10" x14ac:dyDescent="0.35">
      <c r="B2190" s="160">
        <f t="shared" si="135"/>
        <v>76</v>
      </c>
      <c r="C2190" s="160">
        <f t="shared" si="136"/>
        <v>17</v>
      </c>
      <c r="D2190" s="160">
        <f t="shared" si="137"/>
        <v>2</v>
      </c>
      <c r="E2190" s="160">
        <f t="shared" si="138"/>
        <v>15</v>
      </c>
      <c r="F2190" s="160">
        <f t="shared" si="139"/>
        <v>49</v>
      </c>
      <c r="G2190" s="160">
        <f t="shared" si="140"/>
        <v>4</v>
      </c>
      <c r="H2190" s="160">
        <f t="shared" si="141"/>
        <v>11</v>
      </c>
      <c r="I2190" s="160">
        <f t="shared" si="142"/>
        <v>31</v>
      </c>
      <c r="J2190" s="160">
        <f t="shared" si="143"/>
        <v>2</v>
      </c>
    </row>
    <row r="2191" spans="2:10" x14ac:dyDescent="0.35">
      <c r="B2191" s="160">
        <f t="shared" si="135"/>
        <v>76</v>
      </c>
      <c r="C2191" s="160">
        <f t="shared" si="136"/>
        <v>17</v>
      </c>
      <c r="D2191" s="160">
        <f t="shared" si="137"/>
        <v>2</v>
      </c>
      <c r="E2191" s="160">
        <f t="shared" si="138"/>
        <v>15</v>
      </c>
      <c r="F2191" s="160">
        <f t="shared" si="139"/>
        <v>50</v>
      </c>
      <c r="G2191" s="160">
        <f t="shared" si="140"/>
        <v>2</v>
      </c>
      <c r="H2191" s="160">
        <f t="shared" si="141"/>
        <v>20</v>
      </c>
      <c r="I2191" s="160">
        <f t="shared" si="142"/>
        <v>8</v>
      </c>
      <c r="J2191" s="160">
        <f t="shared" si="143"/>
        <v>2</v>
      </c>
    </row>
    <row r="2192" spans="2:10" x14ac:dyDescent="0.35">
      <c r="B2192" s="160">
        <f t="shared" si="135"/>
        <v>76</v>
      </c>
      <c r="C2192" s="160">
        <f t="shared" si="136"/>
        <v>17</v>
      </c>
      <c r="D2192" s="160">
        <f t="shared" si="137"/>
        <v>2</v>
      </c>
      <c r="E2192" s="160">
        <f t="shared" si="138"/>
        <v>15</v>
      </c>
      <c r="F2192" s="160">
        <f t="shared" si="139"/>
        <v>50</v>
      </c>
      <c r="G2192" s="160">
        <f t="shared" si="140"/>
        <v>5</v>
      </c>
      <c r="H2192" s="160">
        <f t="shared" si="141"/>
        <v>20</v>
      </c>
      <c r="I2192" s="160">
        <f t="shared" si="142"/>
        <v>52</v>
      </c>
      <c r="J2192" s="160">
        <f t="shared" si="143"/>
        <v>2</v>
      </c>
    </row>
    <row r="2193" spans="2:10" x14ac:dyDescent="0.35">
      <c r="B2193" s="160">
        <f t="shared" si="135"/>
        <v>76</v>
      </c>
      <c r="C2193" s="160">
        <f t="shared" si="136"/>
        <v>93</v>
      </c>
      <c r="D2193" s="160">
        <f t="shared" si="137"/>
        <v>2</v>
      </c>
      <c r="E2193" s="160">
        <f t="shared" si="138"/>
        <v>17</v>
      </c>
      <c r="F2193" s="160">
        <f t="shared" si="139"/>
        <v>48</v>
      </c>
      <c r="G2193" s="160">
        <f t="shared" si="140"/>
        <v>1</v>
      </c>
      <c r="H2193" s="160">
        <f t="shared" si="141"/>
        <v>2</v>
      </c>
      <c r="I2193" s="160">
        <f t="shared" si="142"/>
        <v>5</v>
      </c>
      <c r="J2193" s="160">
        <f t="shared" si="143"/>
        <v>1</v>
      </c>
    </row>
    <row r="2194" spans="2:10" x14ac:dyDescent="0.35">
      <c r="B2194" s="160">
        <f t="shared" si="135"/>
        <v>76</v>
      </c>
      <c r="C2194" s="160">
        <f t="shared" si="136"/>
        <v>93</v>
      </c>
      <c r="D2194" s="160">
        <f t="shared" si="137"/>
        <v>2</v>
      </c>
      <c r="E2194" s="160">
        <f t="shared" si="138"/>
        <v>17</v>
      </c>
      <c r="F2194" s="160">
        <f t="shared" si="139"/>
        <v>48</v>
      </c>
      <c r="G2194" s="160">
        <f t="shared" si="140"/>
        <v>4</v>
      </c>
      <c r="H2194" s="160">
        <f t="shared" si="141"/>
        <v>2</v>
      </c>
      <c r="I2194" s="160">
        <f t="shared" si="142"/>
        <v>5</v>
      </c>
      <c r="J2194" s="160">
        <f t="shared" si="143"/>
        <v>1</v>
      </c>
    </row>
    <row r="2195" spans="2:10" x14ac:dyDescent="0.35">
      <c r="B2195" s="160">
        <f t="shared" si="135"/>
        <v>77</v>
      </c>
      <c r="C2195" s="160">
        <f t="shared" si="136"/>
        <v>10</v>
      </c>
      <c r="D2195" s="160">
        <f t="shared" si="137"/>
        <v>4</v>
      </c>
      <c r="E2195" s="160">
        <f t="shared" si="138"/>
        <v>15</v>
      </c>
      <c r="F2195" s="160">
        <f t="shared" si="139"/>
        <v>45</v>
      </c>
      <c r="G2195" s="160">
        <f t="shared" si="140"/>
        <v>1</v>
      </c>
      <c r="H2195" s="160">
        <f t="shared" si="141"/>
        <v>11</v>
      </c>
      <c r="I2195" s="160">
        <f t="shared" si="142"/>
        <v>9</v>
      </c>
      <c r="J2195" s="160">
        <f t="shared" si="143"/>
        <v>2</v>
      </c>
    </row>
    <row r="2196" spans="2:10" x14ac:dyDescent="0.35">
      <c r="B2196" s="160">
        <f t="shared" si="135"/>
        <v>77</v>
      </c>
      <c r="C2196" s="160">
        <f t="shared" si="136"/>
        <v>10</v>
      </c>
      <c r="D2196" s="160">
        <f t="shared" si="137"/>
        <v>4</v>
      </c>
      <c r="E2196" s="160">
        <f t="shared" si="138"/>
        <v>15</v>
      </c>
      <c r="F2196" s="160">
        <f t="shared" si="139"/>
        <v>45</v>
      </c>
      <c r="G2196" s="160">
        <f t="shared" si="140"/>
        <v>5</v>
      </c>
      <c r="H2196" s="160">
        <f t="shared" si="141"/>
        <v>2</v>
      </c>
      <c r="I2196" s="160">
        <f t="shared" si="142"/>
        <v>51</v>
      </c>
      <c r="J2196" s="160">
        <f t="shared" si="143"/>
        <v>2</v>
      </c>
    </row>
    <row r="2197" spans="2:10" x14ac:dyDescent="0.35">
      <c r="B2197" s="160">
        <f t="shared" si="135"/>
        <v>77</v>
      </c>
      <c r="C2197" s="160">
        <f t="shared" si="136"/>
        <v>42</v>
      </c>
      <c r="D2197" s="160">
        <f t="shared" si="137"/>
        <v>4</v>
      </c>
      <c r="E2197" s="160">
        <f t="shared" si="138"/>
        <v>4</v>
      </c>
      <c r="F2197" s="160">
        <f t="shared" si="139"/>
        <v>25</v>
      </c>
      <c r="G2197" s="160">
        <f t="shared" si="140"/>
        <v>1</v>
      </c>
      <c r="H2197" s="160">
        <f t="shared" si="141"/>
        <v>20</v>
      </c>
      <c r="I2197" s="160">
        <f t="shared" si="142"/>
        <v>31</v>
      </c>
      <c r="J2197" s="160">
        <f t="shared" si="143"/>
        <v>1</v>
      </c>
    </row>
    <row r="2198" spans="2:10" x14ac:dyDescent="0.35">
      <c r="B2198" s="160">
        <f t="shared" si="135"/>
        <v>77</v>
      </c>
      <c r="C2198" s="160">
        <f t="shared" si="136"/>
        <v>42</v>
      </c>
      <c r="D2198" s="160">
        <f t="shared" si="137"/>
        <v>4</v>
      </c>
      <c r="E2198" s="160">
        <f t="shared" si="138"/>
        <v>4</v>
      </c>
      <c r="F2198" s="160">
        <f t="shared" si="139"/>
        <v>25</v>
      </c>
      <c r="G2198" s="160">
        <f t="shared" si="140"/>
        <v>4</v>
      </c>
      <c r="H2198" s="160">
        <f t="shared" si="141"/>
        <v>24</v>
      </c>
      <c r="I2198" s="160">
        <f t="shared" si="142"/>
        <v>31</v>
      </c>
      <c r="J2198" s="160">
        <f t="shared" si="143"/>
        <v>1</v>
      </c>
    </row>
    <row r="2199" spans="2:10" x14ac:dyDescent="0.35">
      <c r="B2199" s="160">
        <f t="shared" si="135"/>
        <v>77</v>
      </c>
      <c r="C2199" s="160">
        <f t="shared" si="136"/>
        <v>42</v>
      </c>
      <c r="D2199" s="160">
        <f t="shared" si="137"/>
        <v>4</v>
      </c>
      <c r="E2199" s="160">
        <f t="shared" si="138"/>
        <v>15</v>
      </c>
      <c r="F2199" s="160">
        <f t="shared" si="139"/>
        <v>28</v>
      </c>
      <c r="G2199" s="160">
        <f t="shared" si="140"/>
        <v>1</v>
      </c>
      <c r="H2199" s="160">
        <f t="shared" si="141"/>
        <v>11</v>
      </c>
      <c r="I2199" s="160">
        <f t="shared" si="142"/>
        <v>6</v>
      </c>
      <c r="J2199" s="160">
        <f t="shared" si="143"/>
        <v>1</v>
      </c>
    </row>
    <row r="2200" spans="2:10" x14ac:dyDescent="0.35">
      <c r="B2200" s="160">
        <f t="shared" si="135"/>
        <v>77</v>
      </c>
      <c r="C2200" s="160">
        <f t="shared" si="136"/>
        <v>42</v>
      </c>
      <c r="D2200" s="160">
        <f t="shared" si="137"/>
        <v>4</v>
      </c>
      <c r="E2200" s="160">
        <f t="shared" si="138"/>
        <v>15</v>
      </c>
      <c r="F2200" s="160">
        <f t="shared" si="139"/>
        <v>28</v>
      </c>
      <c r="G2200" s="160">
        <f t="shared" si="140"/>
        <v>5</v>
      </c>
      <c r="H2200" s="160">
        <f t="shared" si="141"/>
        <v>8</v>
      </c>
      <c r="I2200" s="160">
        <f t="shared" si="142"/>
        <v>51</v>
      </c>
      <c r="J2200" s="160">
        <f t="shared" si="143"/>
        <v>1</v>
      </c>
    </row>
    <row r="2201" spans="2:10" x14ac:dyDescent="0.35">
      <c r="B2201" s="160">
        <f t="shared" ref="B2201:B2264" si="144">INDEX($A$2:$A$85,MATCH(I1086,$B$2:$B$85,0))</f>
        <v>77</v>
      </c>
      <c r="C2201" s="160">
        <f t="shared" ref="C2201:C2264" si="145">INDEX($D$2:$D$117,MATCH(J1086,$E$2:$E$117,0))</f>
        <v>20</v>
      </c>
      <c r="D2201" s="160">
        <f t="shared" ref="D2201:D2264" si="146">INDEX($P$2:$P$5,MATCH(K1086,$Q$2:$Q$5,0))</f>
        <v>3</v>
      </c>
      <c r="E2201" s="160">
        <f t="shared" ref="E2201:E2264" si="147">INDEX($G$2:$G$19,MATCH(L1086,$H$2:$H$19,0))</f>
        <v>15</v>
      </c>
      <c r="F2201" s="160">
        <f t="shared" ref="F2201:F2264" si="148">INDEX($J$2:$J$55,MATCH(M1086,$K$2:$K$55,0))</f>
        <v>51</v>
      </c>
      <c r="G2201" s="160">
        <f t="shared" ref="G2201:G2264" si="149">INDEX($M$2:$M$6,MATCH(N1086,$N$2:$N$6,0))</f>
        <v>2</v>
      </c>
      <c r="H2201" s="160">
        <f t="shared" ref="H2201:H2264" si="150">INDEX($S$2:$S$26,MATCH(O1086,$T$2:$T$26,0))</f>
        <v>1</v>
      </c>
      <c r="I2201" s="160">
        <f t="shared" ref="I2201:I2264" si="151">INDEX($V$2:$V$108,MATCH(P1086,$W$2:$W$108,0))</f>
        <v>27</v>
      </c>
      <c r="J2201" s="160">
        <f t="shared" ref="J2201:J2264" si="152">INDEX($Y$2:$Y$4,MATCH(Q1086,$Z$2:$Z$4,0))</f>
        <v>1</v>
      </c>
    </row>
    <row r="2202" spans="2:10" x14ac:dyDescent="0.35">
      <c r="B2202" s="160">
        <f t="shared" si="144"/>
        <v>77</v>
      </c>
      <c r="C2202" s="160">
        <f t="shared" si="145"/>
        <v>20</v>
      </c>
      <c r="D2202" s="160">
        <f t="shared" si="146"/>
        <v>3</v>
      </c>
      <c r="E2202" s="160">
        <f t="shared" si="147"/>
        <v>15</v>
      </c>
      <c r="F2202" s="160">
        <f t="shared" si="148"/>
        <v>51</v>
      </c>
      <c r="G2202" s="160">
        <f t="shared" si="149"/>
        <v>5</v>
      </c>
      <c r="H2202" s="160">
        <f t="shared" si="150"/>
        <v>19</v>
      </c>
      <c r="I2202" s="160">
        <f t="shared" si="151"/>
        <v>52</v>
      </c>
      <c r="J2202" s="160">
        <f t="shared" si="152"/>
        <v>1</v>
      </c>
    </row>
    <row r="2203" spans="2:10" x14ac:dyDescent="0.35">
      <c r="B2203" s="160">
        <f t="shared" si="144"/>
        <v>77</v>
      </c>
      <c r="C2203" s="160">
        <f t="shared" si="145"/>
        <v>20</v>
      </c>
      <c r="D2203" s="160">
        <f t="shared" si="146"/>
        <v>3</v>
      </c>
      <c r="E2203" s="160">
        <f t="shared" si="147"/>
        <v>18</v>
      </c>
      <c r="F2203" s="160">
        <f t="shared" si="148"/>
        <v>50</v>
      </c>
      <c r="G2203" s="160">
        <f t="shared" si="149"/>
        <v>2</v>
      </c>
      <c r="H2203" s="160">
        <f t="shared" si="150"/>
        <v>1</v>
      </c>
      <c r="I2203" s="160">
        <f t="shared" si="151"/>
        <v>20</v>
      </c>
      <c r="J2203" s="160">
        <f t="shared" si="152"/>
        <v>2</v>
      </c>
    </row>
    <row r="2204" spans="2:10" x14ac:dyDescent="0.35">
      <c r="B2204" s="160">
        <f t="shared" si="144"/>
        <v>77</v>
      </c>
      <c r="C2204" s="160">
        <f t="shared" si="145"/>
        <v>20</v>
      </c>
      <c r="D2204" s="160">
        <f t="shared" si="146"/>
        <v>3</v>
      </c>
      <c r="E2204" s="160">
        <f t="shared" si="147"/>
        <v>18</v>
      </c>
      <c r="F2204" s="160">
        <f t="shared" si="148"/>
        <v>50</v>
      </c>
      <c r="G2204" s="160">
        <f t="shared" si="149"/>
        <v>4</v>
      </c>
      <c r="H2204" s="160">
        <f t="shared" si="150"/>
        <v>7</v>
      </c>
      <c r="I2204" s="160">
        <f t="shared" si="151"/>
        <v>46</v>
      </c>
      <c r="J2204" s="160">
        <f t="shared" si="152"/>
        <v>2</v>
      </c>
    </row>
    <row r="2205" spans="2:10" x14ac:dyDescent="0.35">
      <c r="B2205" s="160">
        <f t="shared" si="144"/>
        <v>77</v>
      </c>
      <c r="C2205" s="160">
        <f t="shared" si="145"/>
        <v>46</v>
      </c>
      <c r="D2205" s="160">
        <f t="shared" si="146"/>
        <v>4</v>
      </c>
      <c r="E2205" s="160">
        <f t="shared" si="147"/>
        <v>15</v>
      </c>
      <c r="F2205" s="160">
        <f t="shared" si="148"/>
        <v>23</v>
      </c>
      <c r="G2205" s="160">
        <f t="shared" si="149"/>
        <v>5</v>
      </c>
      <c r="H2205" s="160">
        <f t="shared" si="150"/>
        <v>25</v>
      </c>
      <c r="I2205" s="160">
        <f t="shared" si="151"/>
        <v>68</v>
      </c>
      <c r="J2205" s="160">
        <f t="shared" si="152"/>
        <v>3</v>
      </c>
    </row>
    <row r="2206" spans="2:10" x14ac:dyDescent="0.35">
      <c r="B2206" s="160">
        <f t="shared" si="144"/>
        <v>78</v>
      </c>
      <c r="C2206" s="160">
        <f t="shared" si="145"/>
        <v>25</v>
      </c>
      <c r="D2206" s="160">
        <f t="shared" si="146"/>
        <v>2</v>
      </c>
      <c r="E2206" s="160">
        <f t="shared" si="147"/>
        <v>10</v>
      </c>
      <c r="F2206" s="160">
        <f t="shared" si="148"/>
        <v>50</v>
      </c>
      <c r="G2206" s="160">
        <f t="shared" si="149"/>
        <v>2</v>
      </c>
      <c r="H2206" s="160">
        <f t="shared" si="150"/>
        <v>10</v>
      </c>
      <c r="I2206" s="160">
        <f t="shared" si="151"/>
        <v>27</v>
      </c>
      <c r="J2206" s="160">
        <f t="shared" si="152"/>
        <v>2</v>
      </c>
    </row>
    <row r="2207" spans="2:10" x14ac:dyDescent="0.35">
      <c r="B2207" s="160">
        <f t="shared" si="144"/>
        <v>78</v>
      </c>
      <c r="C2207" s="160">
        <f t="shared" si="145"/>
        <v>25</v>
      </c>
      <c r="D2207" s="160">
        <f t="shared" si="146"/>
        <v>2</v>
      </c>
      <c r="E2207" s="160">
        <f t="shared" si="147"/>
        <v>10</v>
      </c>
      <c r="F2207" s="160">
        <f t="shared" si="148"/>
        <v>50</v>
      </c>
      <c r="G2207" s="160">
        <f t="shared" si="149"/>
        <v>4</v>
      </c>
      <c r="H2207" s="160">
        <f t="shared" si="150"/>
        <v>10</v>
      </c>
      <c r="I2207" s="160">
        <f t="shared" si="151"/>
        <v>27</v>
      </c>
      <c r="J2207" s="160">
        <f t="shared" si="152"/>
        <v>2</v>
      </c>
    </row>
    <row r="2208" spans="2:10" x14ac:dyDescent="0.35">
      <c r="B2208" s="160">
        <f t="shared" si="144"/>
        <v>78</v>
      </c>
      <c r="C2208" s="160">
        <f t="shared" si="145"/>
        <v>24</v>
      </c>
      <c r="D2208" s="160">
        <f t="shared" si="146"/>
        <v>2</v>
      </c>
      <c r="E2208" s="160">
        <f t="shared" si="147"/>
        <v>10</v>
      </c>
      <c r="F2208" s="160">
        <f t="shared" si="148"/>
        <v>50</v>
      </c>
      <c r="G2208" s="160">
        <f t="shared" si="149"/>
        <v>2</v>
      </c>
      <c r="H2208" s="160">
        <f t="shared" si="150"/>
        <v>23</v>
      </c>
      <c r="I2208" s="160">
        <f t="shared" si="151"/>
        <v>7</v>
      </c>
      <c r="J2208" s="160">
        <f t="shared" si="152"/>
        <v>2</v>
      </c>
    </row>
    <row r="2209" spans="2:10" x14ac:dyDescent="0.35">
      <c r="B2209" s="160">
        <f t="shared" si="144"/>
        <v>78</v>
      </c>
      <c r="C2209" s="160">
        <f t="shared" si="145"/>
        <v>24</v>
      </c>
      <c r="D2209" s="160">
        <f t="shared" si="146"/>
        <v>2</v>
      </c>
      <c r="E2209" s="160">
        <f t="shared" si="147"/>
        <v>10</v>
      </c>
      <c r="F2209" s="160">
        <f t="shared" si="148"/>
        <v>50</v>
      </c>
      <c r="G2209" s="160">
        <f t="shared" si="149"/>
        <v>5</v>
      </c>
      <c r="H2209" s="160">
        <f t="shared" si="150"/>
        <v>23</v>
      </c>
      <c r="I2209" s="160">
        <f t="shared" si="151"/>
        <v>7</v>
      </c>
      <c r="J2209" s="160">
        <f t="shared" si="152"/>
        <v>2</v>
      </c>
    </row>
    <row r="2210" spans="2:10" x14ac:dyDescent="0.35">
      <c r="B2210" s="160">
        <f t="shared" si="144"/>
        <v>78</v>
      </c>
      <c r="C2210" s="160">
        <f t="shared" si="145"/>
        <v>5</v>
      </c>
      <c r="D2210" s="160">
        <f t="shared" si="146"/>
        <v>4</v>
      </c>
      <c r="E2210" s="160">
        <f t="shared" si="147"/>
        <v>10</v>
      </c>
      <c r="F2210" s="160">
        <f t="shared" si="148"/>
        <v>25</v>
      </c>
      <c r="G2210" s="160">
        <f t="shared" si="149"/>
        <v>1</v>
      </c>
      <c r="H2210" s="160">
        <f t="shared" si="150"/>
        <v>2</v>
      </c>
      <c r="I2210" s="160">
        <f t="shared" si="151"/>
        <v>11</v>
      </c>
      <c r="J2210" s="160">
        <f t="shared" si="152"/>
        <v>2</v>
      </c>
    </row>
    <row r="2211" spans="2:10" x14ac:dyDescent="0.35">
      <c r="B2211" s="160">
        <f t="shared" si="144"/>
        <v>78</v>
      </c>
      <c r="C2211" s="160">
        <f t="shared" si="145"/>
        <v>5</v>
      </c>
      <c r="D2211" s="160">
        <f t="shared" si="146"/>
        <v>4</v>
      </c>
      <c r="E2211" s="160">
        <f t="shared" si="147"/>
        <v>10</v>
      </c>
      <c r="F2211" s="160">
        <f t="shared" si="148"/>
        <v>25</v>
      </c>
      <c r="G2211" s="160">
        <f t="shared" si="149"/>
        <v>4</v>
      </c>
      <c r="H2211" s="160">
        <f t="shared" si="150"/>
        <v>20</v>
      </c>
      <c r="I2211" s="160">
        <f t="shared" si="151"/>
        <v>11</v>
      </c>
      <c r="J2211" s="160">
        <f t="shared" si="152"/>
        <v>2</v>
      </c>
    </row>
    <row r="2212" spans="2:10" x14ac:dyDescent="0.35">
      <c r="B2212" s="160">
        <f t="shared" si="144"/>
        <v>78</v>
      </c>
      <c r="C2212" s="160">
        <f t="shared" si="145"/>
        <v>5</v>
      </c>
      <c r="D2212" s="160">
        <f t="shared" si="146"/>
        <v>4</v>
      </c>
      <c r="E2212" s="160">
        <f t="shared" si="147"/>
        <v>10</v>
      </c>
      <c r="F2212" s="160">
        <f t="shared" si="148"/>
        <v>26</v>
      </c>
      <c r="G2212" s="160">
        <f t="shared" si="149"/>
        <v>1</v>
      </c>
      <c r="H2212" s="160">
        <f t="shared" si="150"/>
        <v>11</v>
      </c>
      <c r="I2212" s="160">
        <f t="shared" si="151"/>
        <v>24</v>
      </c>
      <c r="J2212" s="160">
        <f t="shared" si="152"/>
        <v>2</v>
      </c>
    </row>
    <row r="2213" spans="2:10" x14ac:dyDescent="0.35">
      <c r="B2213" s="160">
        <f t="shared" si="144"/>
        <v>78</v>
      </c>
      <c r="C2213" s="160">
        <f t="shared" si="145"/>
        <v>5</v>
      </c>
      <c r="D2213" s="160">
        <f t="shared" si="146"/>
        <v>4</v>
      </c>
      <c r="E2213" s="160">
        <f t="shared" si="147"/>
        <v>10</v>
      </c>
      <c r="F2213" s="160">
        <f t="shared" si="148"/>
        <v>26</v>
      </c>
      <c r="G2213" s="160">
        <f t="shared" si="149"/>
        <v>3</v>
      </c>
      <c r="H2213" s="160">
        <f t="shared" si="150"/>
        <v>20</v>
      </c>
      <c r="I2213" s="160">
        <f t="shared" si="151"/>
        <v>45</v>
      </c>
      <c r="J2213" s="160">
        <f t="shared" si="152"/>
        <v>2</v>
      </c>
    </row>
    <row r="2214" spans="2:10" x14ac:dyDescent="0.35">
      <c r="B2214" s="160">
        <f t="shared" si="144"/>
        <v>78</v>
      </c>
      <c r="C2214" s="160">
        <f t="shared" si="145"/>
        <v>5</v>
      </c>
      <c r="D2214" s="160">
        <f t="shared" si="146"/>
        <v>4</v>
      </c>
      <c r="E2214" s="160">
        <f t="shared" si="147"/>
        <v>10</v>
      </c>
      <c r="F2214" s="160">
        <f t="shared" si="148"/>
        <v>27</v>
      </c>
      <c r="G2214" s="160">
        <f t="shared" si="149"/>
        <v>1</v>
      </c>
      <c r="H2214" s="160">
        <f t="shared" si="150"/>
        <v>2</v>
      </c>
      <c r="I2214" s="160">
        <f t="shared" si="151"/>
        <v>6</v>
      </c>
      <c r="J2214" s="160">
        <f t="shared" si="152"/>
        <v>1</v>
      </c>
    </row>
    <row r="2215" spans="2:10" x14ac:dyDescent="0.35">
      <c r="B2215" s="160">
        <f t="shared" si="144"/>
        <v>78</v>
      </c>
      <c r="C2215" s="160">
        <f t="shared" si="145"/>
        <v>5</v>
      </c>
      <c r="D2215" s="160">
        <f t="shared" si="146"/>
        <v>4</v>
      </c>
      <c r="E2215" s="160">
        <f t="shared" si="147"/>
        <v>10</v>
      </c>
      <c r="F2215" s="160">
        <f t="shared" si="148"/>
        <v>27</v>
      </c>
      <c r="G2215" s="160">
        <f t="shared" si="149"/>
        <v>3</v>
      </c>
      <c r="H2215" s="160">
        <f t="shared" si="150"/>
        <v>20</v>
      </c>
      <c r="I2215" s="160">
        <f t="shared" si="151"/>
        <v>41</v>
      </c>
      <c r="J2215" s="160">
        <f t="shared" si="152"/>
        <v>1</v>
      </c>
    </row>
    <row r="2216" spans="2:10" x14ac:dyDescent="0.35">
      <c r="B2216" s="160">
        <f t="shared" si="144"/>
        <v>78</v>
      </c>
      <c r="C2216" s="160">
        <f t="shared" si="145"/>
        <v>11</v>
      </c>
      <c r="D2216" s="160">
        <f t="shared" si="146"/>
        <v>4</v>
      </c>
      <c r="E2216" s="160">
        <f t="shared" si="147"/>
        <v>18</v>
      </c>
      <c r="F2216" s="160">
        <f t="shared" si="148"/>
        <v>27</v>
      </c>
      <c r="G2216" s="160">
        <f t="shared" si="149"/>
        <v>1</v>
      </c>
      <c r="H2216" s="160">
        <f t="shared" si="150"/>
        <v>1</v>
      </c>
      <c r="I2216" s="160">
        <f t="shared" si="151"/>
        <v>20</v>
      </c>
      <c r="J2216" s="160">
        <f t="shared" si="152"/>
        <v>1</v>
      </c>
    </row>
    <row r="2217" spans="2:10" x14ac:dyDescent="0.35">
      <c r="B2217" s="160">
        <f t="shared" si="144"/>
        <v>78</v>
      </c>
      <c r="C2217" s="160">
        <f t="shared" si="145"/>
        <v>11</v>
      </c>
      <c r="D2217" s="160">
        <f t="shared" si="146"/>
        <v>4</v>
      </c>
      <c r="E2217" s="160">
        <f t="shared" si="147"/>
        <v>18</v>
      </c>
      <c r="F2217" s="160">
        <f t="shared" si="148"/>
        <v>27</v>
      </c>
      <c r="G2217" s="160">
        <f t="shared" si="149"/>
        <v>2</v>
      </c>
      <c r="H2217" s="160">
        <f t="shared" si="150"/>
        <v>20</v>
      </c>
      <c r="I2217" s="160">
        <f t="shared" si="151"/>
        <v>20</v>
      </c>
      <c r="J2217" s="160">
        <f t="shared" si="152"/>
        <v>1</v>
      </c>
    </row>
    <row r="2218" spans="2:10" x14ac:dyDescent="0.35">
      <c r="B2218" s="160">
        <f t="shared" si="144"/>
        <v>79</v>
      </c>
      <c r="C2218" s="160">
        <f t="shared" si="145"/>
        <v>10</v>
      </c>
      <c r="D2218" s="160">
        <f t="shared" si="146"/>
        <v>4</v>
      </c>
      <c r="E2218" s="160">
        <f t="shared" si="147"/>
        <v>15</v>
      </c>
      <c r="F2218" s="160">
        <f t="shared" si="148"/>
        <v>46</v>
      </c>
      <c r="G2218" s="160">
        <f t="shared" si="149"/>
        <v>2</v>
      </c>
      <c r="H2218" s="160">
        <f t="shared" si="150"/>
        <v>11</v>
      </c>
      <c r="I2218" s="160">
        <f t="shared" si="151"/>
        <v>35</v>
      </c>
      <c r="J2218" s="160">
        <f t="shared" si="152"/>
        <v>1</v>
      </c>
    </row>
    <row r="2219" spans="2:10" x14ac:dyDescent="0.35">
      <c r="B2219" s="160">
        <f t="shared" si="144"/>
        <v>79</v>
      </c>
      <c r="C2219" s="160">
        <f t="shared" si="145"/>
        <v>10</v>
      </c>
      <c r="D2219" s="160">
        <f t="shared" si="146"/>
        <v>4</v>
      </c>
      <c r="E2219" s="160">
        <f t="shared" si="147"/>
        <v>15</v>
      </c>
      <c r="F2219" s="160">
        <f t="shared" si="148"/>
        <v>46</v>
      </c>
      <c r="G2219" s="160">
        <f t="shared" si="149"/>
        <v>4</v>
      </c>
      <c r="H2219" s="160">
        <f t="shared" si="150"/>
        <v>18</v>
      </c>
      <c r="I2219" s="160">
        <f t="shared" si="151"/>
        <v>12</v>
      </c>
      <c r="J2219" s="160">
        <f t="shared" si="152"/>
        <v>1</v>
      </c>
    </row>
    <row r="2220" spans="2:10" x14ac:dyDescent="0.35">
      <c r="B2220" s="160">
        <f t="shared" si="144"/>
        <v>79</v>
      </c>
      <c r="C2220" s="160">
        <f t="shared" si="145"/>
        <v>70</v>
      </c>
      <c r="D2220" s="160">
        <f t="shared" si="146"/>
        <v>4</v>
      </c>
      <c r="E2220" s="160">
        <f t="shared" si="147"/>
        <v>15</v>
      </c>
      <c r="F2220" s="160">
        <f t="shared" si="148"/>
        <v>26</v>
      </c>
      <c r="G2220" s="160">
        <f t="shared" si="149"/>
        <v>1</v>
      </c>
      <c r="H2220" s="160">
        <f t="shared" si="150"/>
        <v>2</v>
      </c>
      <c r="I2220" s="160">
        <f t="shared" si="151"/>
        <v>21</v>
      </c>
      <c r="J2220" s="160">
        <f t="shared" si="152"/>
        <v>2</v>
      </c>
    </row>
    <row r="2221" spans="2:10" x14ac:dyDescent="0.35">
      <c r="B2221" s="160">
        <f t="shared" si="144"/>
        <v>79</v>
      </c>
      <c r="C2221" s="160">
        <f t="shared" si="145"/>
        <v>70</v>
      </c>
      <c r="D2221" s="160">
        <f t="shared" si="146"/>
        <v>4</v>
      </c>
      <c r="E2221" s="160">
        <f t="shared" si="147"/>
        <v>15</v>
      </c>
      <c r="F2221" s="160">
        <f t="shared" si="148"/>
        <v>26</v>
      </c>
      <c r="G2221" s="160">
        <f t="shared" si="149"/>
        <v>5</v>
      </c>
      <c r="H2221" s="160">
        <f t="shared" si="150"/>
        <v>2</v>
      </c>
      <c r="I2221" s="160">
        <f t="shared" si="151"/>
        <v>34</v>
      </c>
      <c r="J2221" s="160">
        <f t="shared" si="152"/>
        <v>2</v>
      </c>
    </row>
    <row r="2222" spans="2:10" x14ac:dyDescent="0.35">
      <c r="B2222" s="160">
        <f t="shared" si="144"/>
        <v>79</v>
      </c>
      <c r="C2222" s="160">
        <f t="shared" si="145"/>
        <v>70</v>
      </c>
      <c r="D2222" s="160">
        <f t="shared" si="146"/>
        <v>4</v>
      </c>
      <c r="E2222" s="160">
        <f t="shared" si="147"/>
        <v>15</v>
      </c>
      <c r="F2222" s="160">
        <f t="shared" si="148"/>
        <v>27</v>
      </c>
      <c r="G2222" s="160">
        <f t="shared" si="149"/>
        <v>1</v>
      </c>
      <c r="H2222" s="160">
        <f t="shared" si="150"/>
        <v>11</v>
      </c>
      <c r="I2222" s="160">
        <f t="shared" si="151"/>
        <v>48</v>
      </c>
      <c r="J2222" s="160">
        <f t="shared" si="152"/>
        <v>2</v>
      </c>
    </row>
    <row r="2223" spans="2:10" x14ac:dyDescent="0.35">
      <c r="B2223" s="160">
        <f t="shared" si="144"/>
        <v>79</v>
      </c>
      <c r="C2223" s="160">
        <f t="shared" si="145"/>
        <v>70</v>
      </c>
      <c r="D2223" s="160">
        <f t="shared" si="146"/>
        <v>4</v>
      </c>
      <c r="E2223" s="160">
        <f t="shared" si="147"/>
        <v>15</v>
      </c>
      <c r="F2223" s="160">
        <f t="shared" si="148"/>
        <v>27</v>
      </c>
      <c r="G2223" s="160">
        <f t="shared" si="149"/>
        <v>4</v>
      </c>
      <c r="H2223" s="160">
        <f t="shared" si="150"/>
        <v>24</v>
      </c>
      <c r="I2223" s="160">
        <f t="shared" si="151"/>
        <v>24</v>
      </c>
      <c r="J2223" s="160">
        <f t="shared" si="152"/>
        <v>2</v>
      </c>
    </row>
    <row r="2224" spans="2:10" x14ac:dyDescent="0.35">
      <c r="B2224" s="160">
        <f t="shared" si="144"/>
        <v>79</v>
      </c>
      <c r="C2224" s="160">
        <f t="shared" si="145"/>
        <v>8</v>
      </c>
      <c r="D2224" s="160">
        <f t="shared" si="146"/>
        <v>1</v>
      </c>
      <c r="E2224" s="160">
        <f t="shared" si="147"/>
        <v>16</v>
      </c>
      <c r="F2224" s="160">
        <f t="shared" si="148"/>
        <v>48</v>
      </c>
      <c r="G2224" s="160">
        <f t="shared" si="149"/>
        <v>1</v>
      </c>
      <c r="H2224" s="160">
        <f t="shared" si="150"/>
        <v>18</v>
      </c>
      <c r="I2224" s="160">
        <f t="shared" si="151"/>
        <v>8</v>
      </c>
      <c r="J2224" s="160">
        <f t="shared" si="152"/>
        <v>1</v>
      </c>
    </row>
    <row r="2225" spans="2:10" x14ac:dyDescent="0.35">
      <c r="B2225" s="160">
        <f t="shared" si="144"/>
        <v>79</v>
      </c>
      <c r="C2225" s="160">
        <f t="shared" si="145"/>
        <v>8</v>
      </c>
      <c r="D2225" s="160">
        <f t="shared" si="146"/>
        <v>1</v>
      </c>
      <c r="E2225" s="160">
        <f t="shared" si="147"/>
        <v>16</v>
      </c>
      <c r="F2225" s="160">
        <f t="shared" si="148"/>
        <v>48</v>
      </c>
      <c r="G2225" s="160">
        <f t="shared" si="149"/>
        <v>2</v>
      </c>
      <c r="H2225" s="160">
        <f t="shared" si="150"/>
        <v>18</v>
      </c>
      <c r="I2225" s="160">
        <f t="shared" si="151"/>
        <v>8</v>
      </c>
      <c r="J2225" s="160">
        <f t="shared" si="152"/>
        <v>1</v>
      </c>
    </row>
    <row r="2226" spans="2:10" x14ac:dyDescent="0.35">
      <c r="B2226" s="160">
        <f t="shared" si="144"/>
        <v>79</v>
      </c>
      <c r="C2226" s="160">
        <f t="shared" si="145"/>
        <v>16</v>
      </c>
      <c r="D2226" s="160">
        <f t="shared" si="146"/>
        <v>3</v>
      </c>
      <c r="E2226" s="160">
        <f t="shared" si="147"/>
        <v>17</v>
      </c>
      <c r="F2226" s="160">
        <f t="shared" si="148"/>
        <v>42</v>
      </c>
      <c r="G2226" s="160">
        <f t="shared" si="149"/>
        <v>1</v>
      </c>
      <c r="H2226" s="160">
        <f t="shared" si="150"/>
        <v>3</v>
      </c>
      <c r="I2226" s="160">
        <f t="shared" si="151"/>
        <v>22</v>
      </c>
      <c r="J2226" s="160">
        <f t="shared" si="152"/>
        <v>1</v>
      </c>
    </row>
    <row r="2227" spans="2:10" x14ac:dyDescent="0.35">
      <c r="B2227" s="160">
        <f t="shared" si="144"/>
        <v>79</v>
      </c>
      <c r="C2227" s="160">
        <f t="shared" si="145"/>
        <v>16</v>
      </c>
      <c r="D2227" s="160">
        <f t="shared" si="146"/>
        <v>3</v>
      </c>
      <c r="E2227" s="160">
        <f t="shared" si="147"/>
        <v>17</v>
      </c>
      <c r="F2227" s="160">
        <f t="shared" si="148"/>
        <v>42</v>
      </c>
      <c r="G2227" s="160">
        <f t="shared" si="149"/>
        <v>4</v>
      </c>
      <c r="H2227" s="160">
        <f t="shared" si="150"/>
        <v>3</v>
      </c>
      <c r="I2227" s="160">
        <f t="shared" si="151"/>
        <v>22</v>
      </c>
      <c r="J2227" s="160">
        <f t="shared" si="152"/>
        <v>1</v>
      </c>
    </row>
    <row r="2228" spans="2:10" x14ac:dyDescent="0.35">
      <c r="B2228" s="160">
        <f t="shared" si="144"/>
        <v>79</v>
      </c>
      <c r="C2228" s="160">
        <f t="shared" si="145"/>
        <v>79</v>
      </c>
      <c r="D2228" s="160">
        <f t="shared" si="146"/>
        <v>2</v>
      </c>
      <c r="E2228" s="160">
        <f t="shared" si="147"/>
        <v>17</v>
      </c>
      <c r="F2228" s="160">
        <f t="shared" si="148"/>
        <v>47</v>
      </c>
      <c r="G2228" s="160">
        <f t="shared" si="149"/>
        <v>2</v>
      </c>
      <c r="H2228" s="160">
        <f t="shared" si="150"/>
        <v>11</v>
      </c>
      <c r="I2228" s="160">
        <f t="shared" si="151"/>
        <v>9</v>
      </c>
      <c r="J2228" s="160">
        <f t="shared" si="152"/>
        <v>2</v>
      </c>
    </row>
    <row r="2229" spans="2:10" x14ac:dyDescent="0.35">
      <c r="B2229" s="160">
        <f t="shared" si="144"/>
        <v>79</v>
      </c>
      <c r="C2229" s="160">
        <f t="shared" si="145"/>
        <v>79</v>
      </c>
      <c r="D2229" s="160">
        <f t="shared" si="146"/>
        <v>2</v>
      </c>
      <c r="E2229" s="160">
        <f t="shared" si="147"/>
        <v>17</v>
      </c>
      <c r="F2229" s="160">
        <f t="shared" si="148"/>
        <v>47</v>
      </c>
      <c r="G2229" s="160">
        <f t="shared" si="149"/>
        <v>5</v>
      </c>
      <c r="H2229" s="160">
        <f t="shared" si="150"/>
        <v>11</v>
      </c>
      <c r="I2229" s="160">
        <f t="shared" si="151"/>
        <v>9</v>
      </c>
      <c r="J2229" s="160">
        <f t="shared" si="152"/>
        <v>2</v>
      </c>
    </row>
    <row r="2230" spans="2:10" x14ac:dyDescent="0.35">
      <c r="B2230" s="160">
        <f t="shared" si="144"/>
        <v>80</v>
      </c>
      <c r="C2230" s="160">
        <f t="shared" si="145"/>
        <v>89</v>
      </c>
      <c r="D2230" s="160">
        <f t="shared" si="146"/>
        <v>3</v>
      </c>
      <c r="E2230" s="160">
        <f t="shared" si="147"/>
        <v>15</v>
      </c>
      <c r="F2230" s="160">
        <f t="shared" si="148"/>
        <v>42</v>
      </c>
      <c r="G2230" s="160">
        <f t="shared" si="149"/>
        <v>1</v>
      </c>
      <c r="H2230" s="160">
        <f t="shared" si="150"/>
        <v>1</v>
      </c>
      <c r="I2230" s="160">
        <f t="shared" si="151"/>
        <v>36</v>
      </c>
      <c r="J2230" s="160">
        <f t="shared" si="152"/>
        <v>1</v>
      </c>
    </row>
    <row r="2231" spans="2:10" x14ac:dyDescent="0.35">
      <c r="B2231" s="160">
        <f t="shared" si="144"/>
        <v>80</v>
      </c>
      <c r="C2231" s="160">
        <f t="shared" si="145"/>
        <v>89</v>
      </c>
      <c r="D2231" s="160">
        <f t="shared" si="146"/>
        <v>3</v>
      </c>
      <c r="E2231" s="160">
        <f t="shared" si="147"/>
        <v>15</v>
      </c>
      <c r="F2231" s="160">
        <f t="shared" si="148"/>
        <v>42</v>
      </c>
      <c r="G2231" s="160">
        <f t="shared" si="149"/>
        <v>4</v>
      </c>
      <c r="H2231" s="160">
        <f t="shared" si="150"/>
        <v>7</v>
      </c>
      <c r="I2231" s="160">
        <f t="shared" si="151"/>
        <v>30</v>
      </c>
      <c r="J2231" s="160">
        <f t="shared" si="152"/>
        <v>1</v>
      </c>
    </row>
    <row r="2232" spans="2:10" x14ac:dyDescent="0.35">
      <c r="B2232" s="160">
        <f t="shared" si="144"/>
        <v>80</v>
      </c>
      <c r="C2232" s="160">
        <f t="shared" si="145"/>
        <v>89</v>
      </c>
      <c r="D2232" s="160">
        <f t="shared" si="146"/>
        <v>3</v>
      </c>
      <c r="E2232" s="160">
        <f t="shared" si="147"/>
        <v>15</v>
      </c>
      <c r="F2232" s="160">
        <f t="shared" si="148"/>
        <v>43</v>
      </c>
      <c r="G2232" s="160">
        <f t="shared" si="149"/>
        <v>2</v>
      </c>
      <c r="H2232" s="160">
        <f t="shared" si="150"/>
        <v>17</v>
      </c>
      <c r="I2232" s="160">
        <f t="shared" si="151"/>
        <v>47</v>
      </c>
      <c r="J2232" s="160">
        <f t="shared" si="152"/>
        <v>1</v>
      </c>
    </row>
    <row r="2233" spans="2:10" x14ac:dyDescent="0.35">
      <c r="B2233" s="160">
        <f t="shared" si="144"/>
        <v>80</v>
      </c>
      <c r="C2233" s="160">
        <f t="shared" si="145"/>
        <v>89</v>
      </c>
      <c r="D2233" s="160">
        <f t="shared" si="146"/>
        <v>3</v>
      </c>
      <c r="E2233" s="160">
        <f t="shared" si="147"/>
        <v>15</v>
      </c>
      <c r="F2233" s="160">
        <f t="shared" si="148"/>
        <v>43</v>
      </c>
      <c r="G2233" s="160">
        <f t="shared" si="149"/>
        <v>4</v>
      </c>
      <c r="H2233" s="160">
        <f t="shared" si="150"/>
        <v>14</v>
      </c>
      <c r="I2233" s="160">
        <f t="shared" si="151"/>
        <v>30</v>
      </c>
      <c r="J2233" s="160">
        <f t="shared" si="152"/>
        <v>1</v>
      </c>
    </row>
    <row r="2234" spans="2:10" x14ac:dyDescent="0.35">
      <c r="B2234" s="160">
        <f t="shared" si="144"/>
        <v>80</v>
      </c>
      <c r="C2234" s="160">
        <f t="shared" si="145"/>
        <v>89</v>
      </c>
      <c r="D2234" s="160">
        <f t="shared" si="146"/>
        <v>3</v>
      </c>
      <c r="E2234" s="160">
        <f t="shared" si="147"/>
        <v>15</v>
      </c>
      <c r="F2234" s="160">
        <f t="shared" si="148"/>
        <v>44</v>
      </c>
      <c r="G2234" s="160">
        <f t="shared" si="149"/>
        <v>1</v>
      </c>
      <c r="H2234" s="160">
        <f t="shared" si="150"/>
        <v>7</v>
      </c>
      <c r="I2234" s="160">
        <f t="shared" si="151"/>
        <v>47</v>
      </c>
      <c r="J2234" s="160">
        <f t="shared" si="152"/>
        <v>1</v>
      </c>
    </row>
    <row r="2235" spans="2:10" x14ac:dyDescent="0.35">
      <c r="B2235" s="160">
        <f t="shared" si="144"/>
        <v>80</v>
      </c>
      <c r="C2235" s="160">
        <f t="shared" si="145"/>
        <v>89</v>
      </c>
      <c r="D2235" s="160">
        <f t="shared" si="146"/>
        <v>3</v>
      </c>
      <c r="E2235" s="160">
        <f t="shared" si="147"/>
        <v>15</v>
      </c>
      <c r="F2235" s="160">
        <f t="shared" si="148"/>
        <v>44</v>
      </c>
      <c r="G2235" s="160">
        <f t="shared" si="149"/>
        <v>5</v>
      </c>
      <c r="H2235" s="160">
        <f t="shared" si="150"/>
        <v>1</v>
      </c>
      <c r="I2235" s="160">
        <f t="shared" si="151"/>
        <v>48</v>
      </c>
      <c r="J2235" s="160">
        <f t="shared" si="152"/>
        <v>1</v>
      </c>
    </row>
    <row r="2236" spans="2:10" x14ac:dyDescent="0.35">
      <c r="B2236" s="160">
        <f t="shared" si="144"/>
        <v>80</v>
      </c>
      <c r="C2236" s="160">
        <f t="shared" si="145"/>
        <v>89</v>
      </c>
      <c r="D2236" s="160">
        <f t="shared" si="146"/>
        <v>3</v>
      </c>
      <c r="E2236" s="160">
        <f t="shared" si="147"/>
        <v>15</v>
      </c>
      <c r="F2236" s="160">
        <f t="shared" si="148"/>
        <v>27</v>
      </c>
      <c r="G2236" s="160">
        <f t="shared" si="149"/>
        <v>2</v>
      </c>
      <c r="H2236" s="160">
        <f t="shared" si="150"/>
        <v>1</v>
      </c>
      <c r="I2236" s="160">
        <f t="shared" si="151"/>
        <v>36</v>
      </c>
      <c r="J2236" s="160">
        <f t="shared" si="152"/>
        <v>2</v>
      </c>
    </row>
    <row r="2237" spans="2:10" x14ac:dyDescent="0.35">
      <c r="B2237" s="160">
        <f t="shared" si="144"/>
        <v>80</v>
      </c>
      <c r="C2237" s="160">
        <f t="shared" si="145"/>
        <v>89</v>
      </c>
      <c r="D2237" s="160">
        <f t="shared" si="146"/>
        <v>3</v>
      </c>
      <c r="E2237" s="160">
        <f t="shared" si="147"/>
        <v>15</v>
      </c>
      <c r="F2237" s="160">
        <f t="shared" si="148"/>
        <v>27</v>
      </c>
      <c r="G2237" s="160">
        <f t="shared" si="149"/>
        <v>5</v>
      </c>
      <c r="H2237" s="160">
        <f t="shared" si="150"/>
        <v>1</v>
      </c>
      <c r="I2237" s="160">
        <f t="shared" si="151"/>
        <v>42</v>
      </c>
      <c r="J2237" s="160">
        <f t="shared" si="152"/>
        <v>2</v>
      </c>
    </row>
    <row r="2238" spans="2:10" x14ac:dyDescent="0.35">
      <c r="B2238" s="160">
        <f t="shared" si="144"/>
        <v>81</v>
      </c>
      <c r="C2238" s="160">
        <f t="shared" si="145"/>
        <v>11</v>
      </c>
      <c r="D2238" s="160">
        <f t="shared" si="146"/>
        <v>4</v>
      </c>
      <c r="E2238" s="160">
        <f t="shared" si="147"/>
        <v>15</v>
      </c>
      <c r="F2238" s="160">
        <f t="shared" si="148"/>
        <v>50</v>
      </c>
      <c r="G2238" s="160">
        <f t="shared" si="149"/>
        <v>1</v>
      </c>
      <c r="H2238" s="160">
        <f t="shared" si="150"/>
        <v>2</v>
      </c>
      <c r="I2238" s="160">
        <f t="shared" si="151"/>
        <v>27</v>
      </c>
      <c r="J2238" s="160">
        <f t="shared" si="152"/>
        <v>1</v>
      </c>
    </row>
    <row r="2239" spans="2:10" x14ac:dyDescent="0.35">
      <c r="B2239" s="160">
        <f t="shared" si="144"/>
        <v>81</v>
      </c>
      <c r="C2239" s="160">
        <f t="shared" si="145"/>
        <v>11</v>
      </c>
      <c r="D2239" s="160">
        <f t="shared" si="146"/>
        <v>4</v>
      </c>
      <c r="E2239" s="160">
        <f t="shared" si="147"/>
        <v>15</v>
      </c>
      <c r="F2239" s="160">
        <f t="shared" si="148"/>
        <v>50</v>
      </c>
      <c r="G2239" s="160">
        <f t="shared" si="149"/>
        <v>4</v>
      </c>
      <c r="H2239" s="160">
        <f t="shared" si="150"/>
        <v>2</v>
      </c>
      <c r="I2239" s="160">
        <f t="shared" si="151"/>
        <v>27</v>
      </c>
      <c r="J2239" s="160">
        <f t="shared" si="152"/>
        <v>1</v>
      </c>
    </row>
    <row r="2240" spans="2:10" x14ac:dyDescent="0.35">
      <c r="B2240" s="160">
        <f t="shared" si="144"/>
        <v>81</v>
      </c>
      <c r="C2240" s="160">
        <f t="shared" si="145"/>
        <v>11</v>
      </c>
      <c r="D2240" s="160">
        <f t="shared" si="146"/>
        <v>4</v>
      </c>
      <c r="E2240" s="160">
        <f t="shared" si="147"/>
        <v>15</v>
      </c>
      <c r="F2240" s="160">
        <f t="shared" si="148"/>
        <v>51</v>
      </c>
      <c r="G2240" s="160">
        <f t="shared" si="149"/>
        <v>1</v>
      </c>
      <c r="H2240" s="160">
        <f t="shared" si="150"/>
        <v>11</v>
      </c>
      <c r="I2240" s="160">
        <f t="shared" si="151"/>
        <v>52</v>
      </c>
      <c r="J2240" s="160">
        <f t="shared" si="152"/>
        <v>1</v>
      </c>
    </row>
    <row r="2241" spans="2:10" x14ac:dyDescent="0.35">
      <c r="B2241" s="160">
        <f t="shared" si="144"/>
        <v>81</v>
      </c>
      <c r="C2241" s="160">
        <f t="shared" si="145"/>
        <v>11</v>
      </c>
      <c r="D2241" s="160">
        <f t="shared" si="146"/>
        <v>4</v>
      </c>
      <c r="E2241" s="160">
        <f t="shared" si="147"/>
        <v>15</v>
      </c>
      <c r="F2241" s="160">
        <f t="shared" si="148"/>
        <v>51</v>
      </c>
      <c r="G2241" s="160">
        <f t="shared" si="149"/>
        <v>5</v>
      </c>
      <c r="H2241" s="160">
        <f t="shared" si="150"/>
        <v>2</v>
      </c>
      <c r="I2241" s="160">
        <f t="shared" si="151"/>
        <v>38</v>
      </c>
      <c r="J2241" s="160">
        <f t="shared" si="152"/>
        <v>1</v>
      </c>
    </row>
    <row r="2242" spans="2:10" x14ac:dyDescent="0.35">
      <c r="B2242" s="160">
        <f t="shared" si="144"/>
        <v>81</v>
      </c>
      <c r="C2242" s="160">
        <f t="shared" si="145"/>
        <v>11</v>
      </c>
      <c r="D2242" s="160">
        <f t="shared" si="146"/>
        <v>4</v>
      </c>
      <c r="E2242" s="160">
        <f t="shared" si="147"/>
        <v>15</v>
      </c>
      <c r="F2242" s="160">
        <f t="shared" si="148"/>
        <v>52</v>
      </c>
      <c r="G2242" s="160">
        <f t="shared" si="149"/>
        <v>2</v>
      </c>
      <c r="H2242" s="160">
        <f t="shared" si="150"/>
        <v>2</v>
      </c>
      <c r="I2242" s="160">
        <f t="shared" si="151"/>
        <v>11</v>
      </c>
      <c r="J2242" s="160">
        <f t="shared" si="152"/>
        <v>1</v>
      </c>
    </row>
    <row r="2243" spans="2:10" x14ac:dyDescent="0.35">
      <c r="B2243" s="160">
        <f t="shared" si="144"/>
        <v>81</v>
      </c>
      <c r="C2243" s="160">
        <f t="shared" si="145"/>
        <v>11</v>
      </c>
      <c r="D2243" s="160">
        <f t="shared" si="146"/>
        <v>4</v>
      </c>
      <c r="E2243" s="160">
        <f t="shared" si="147"/>
        <v>15</v>
      </c>
      <c r="F2243" s="160">
        <f t="shared" si="148"/>
        <v>52</v>
      </c>
      <c r="G2243" s="160">
        <f t="shared" si="149"/>
        <v>5</v>
      </c>
      <c r="H2243" s="160">
        <f t="shared" si="150"/>
        <v>20</v>
      </c>
      <c r="I2243" s="160">
        <f t="shared" si="151"/>
        <v>35</v>
      </c>
      <c r="J2243" s="160">
        <f t="shared" si="152"/>
        <v>1</v>
      </c>
    </row>
    <row r="2244" spans="2:10" x14ac:dyDescent="0.35">
      <c r="B2244" s="160">
        <f t="shared" si="144"/>
        <v>81</v>
      </c>
      <c r="C2244" s="160">
        <f t="shared" si="145"/>
        <v>20</v>
      </c>
      <c r="D2244" s="160">
        <f t="shared" si="146"/>
        <v>3</v>
      </c>
      <c r="E2244" s="160">
        <f t="shared" si="147"/>
        <v>15</v>
      </c>
      <c r="F2244" s="160">
        <f t="shared" si="148"/>
        <v>49</v>
      </c>
      <c r="G2244" s="160">
        <f t="shared" si="149"/>
        <v>2</v>
      </c>
      <c r="H2244" s="160">
        <f t="shared" si="150"/>
        <v>10</v>
      </c>
      <c r="I2244" s="160">
        <f t="shared" si="151"/>
        <v>52</v>
      </c>
      <c r="J2244" s="160">
        <f t="shared" si="152"/>
        <v>1</v>
      </c>
    </row>
    <row r="2245" spans="2:10" x14ac:dyDescent="0.35">
      <c r="B2245" s="160">
        <f t="shared" si="144"/>
        <v>81</v>
      </c>
      <c r="C2245" s="160">
        <f t="shared" si="145"/>
        <v>20</v>
      </c>
      <c r="D2245" s="160">
        <f t="shared" si="146"/>
        <v>3</v>
      </c>
      <c r="E2245" s="160">
        <f t="shared" si="147"/>
        <v>15</v>
      </c>
      <c r="F2245" s="160">
        <f t="shared" si="148"/>
        <v>49</v>
      </c>
      <c r="G2245" s="160">
        <f t="shared" si="149"/>
        <v>5</v>
      </c>
      <c r="H2245" s="160">
        <f t="shared" si="150"/>
        <v>10</v>
      </c>
      <c r="I2245" s="160">
        <f t="shared" si="151"/>
        <v>52</v>
      </c>
      <c r="J2245" s="160">
        <f t="shared" si="152"/>
        <v>1</v>
      </c>
    </row>
    <row r="2246" spans="2:10" x14ac:dyDescent="0.35">
      <c r="B2246" s="160">
        <f t="shared" si="144"/>
        <v>81</v>
      </c>
      <c r="C2246" s="160">
        <f t="shared" si="145"/>
        <v>33</v>
      </c>
      <c r="D2246" s="160">
        <f t="shared" si="146"/>
        <v>3</v>
      </c>
      <c r="E2246" s="160">
        <f t="shared" si="147"/>
        <v>15</v>
      </c>
      <c r="F2246" s="160">
        <f t="shared" si="148"/>
        <v>41</v>
      </c>
      <c r="G2246" s="160">
        <f t="shared" si="149"/>
        <v>2</v>
      </c>
      <c r="H2246" s="160">
        <f t="shared" si="150"/>
        <v>1</v>
      </c>
      <c r="I2246" s="160">
        <f t="shared" si="151"/>
        <v>49</v>
      </c>
      <c r="J2246" s="160">
        <f t="shared" si="152"/>
        <v>2</v>
      </c>
    </row>
    <row r="2247" spans="2:10" x14ac:dyDescent="0.35">
      <c r="B2247" s="160">
        <f t="shared" si="144"/>
        <v>81</v>
      </c>
      <c r="C2247" s="160">
        <f t="shared" si="145"/>
        <v>33</v>
      </c>
      <c r="D2247" s="160">
        <f t="shared" si="146"/>
        <v>3</v>
      </c>
      <c r="E2247" s="160">
        <f t="shared" si="147"/>
        <v>15</v>
      </c>
      <c r="F2247" s="160">
        <f t="shared" si="148"/>
        <v>41</v>
      </c>
      <c r="G2247" s="160">
        <f t="shared" si="149"/>
        <v>4</v>
      </c>
      <c r="H2247" s="160">
        <f t="shared" si="150"/>
        <v>1</v>
      </c>
      <c r="I2247" s="160">
        <f t="shared" si="151"/>
        <v>49</v>
      </c>
      <c r="J2247" s="160">
        <f t="shared" si="152"/>
        <v>2</v>
      </c>
    </row>
    <row r="2248" spans="2:10" x14ac:dyDescent="0.35">
      <c r="B2248" s="160">
        <f t="shared" si="144"/>
        <v>81</v>
      </c>
      <c r="C2248" s="160">
        <f t="shared" si="145"/>
        <v>46</v>
      </c>
      <c r="D2248" s="160">
        <f t="shared" si="146"/>
        <v>4</v>
      </c>
      <c r="E2248" s="160">
        <f t="shared" si="147"/>
        <v>15</v>
      </c>
      <c r="F2248" s="160">
        <f t="shared" si="148"/>
        <v>24</v>
      </c>
      <c r="G2248" s="160">
        <f t="shared" si="149"/>
        <v>5</v>
      </c>
      <c r="H2248" s="160">
        <f t="shared" si="150"/>
        <v>25</v>
      </c>
      <c r="I2248" s="160">
        <f t="shared" si="151"/>
        <v>43</v>
      </c>
      <c r="J2248" s="160">
        <f t="shared" si="152"/>
        <v>3</v>
      </c>
    </row>
    <row r="2249" spans="2:10" x14ac:dyDescent="0.35">
      <c r="B2249" s="160">
        <f t="shared" si="144"/>
        <v>82</v>
      </c>
      <c r="C2249" s="160">
        <f t="shared" si="145"/>
        <v>30</v>
      </c>
      <c r="D2249" s="160">
        <f t="shared" si="146"/>
        <v>4</v>
      </c>
      <c r="E2249" s="160">
        <f t="shared" si="147"/>
        <v>8</v>
      </c>
      <c r="F2249" s="160">
        <f t="shared" si="148"/>
        <v>42</v>
      </c>
      <c r="G2249" s="160">
        <f t="shared" si="149"/>
        <v>2</v>
      </c>
      <c r="H2249" s="160">
        <f t="shared" si="150"/>
        <v>24</v>
      </c>
      <c r="I2249" s="160">
        <f t="shared" si="151"/>
        <v>19</v>
      </c>
      <c r="J2249" s="160">
        <f t="shared" si="152"/>
        <v>2</v>
      </c>
    </row>
    <row r="2250" spans="2:10" x14ac:dyDescent="0.35">
      <c r="B2250" s="160">
        <f t="shared" si="144"/>
        <v>82</v>
      </c>
      <c r="C2250" s="160">
        <f t="shared" si="145"/>
        <v>30</v>
      </c>
      <c r="D2250" s="160">
        <f t="shared" si="146"/>
        <v>4</v>
      </c>
      <c r="E2250" s="160">
        <f t="shared" si="147"/>
        <v>8</v>
      </c>
      <c r="F2250" s="160">
        <f t="shared" si="148"/>
        <v>42</v>
      </c>
      <c r="G2250" s="160">
        <f t="shared" si="149"/>
        <v>4</v>
      </c>
      <c r="H2250" s="160">
        <f t="shared" si="150"/>
        <v>20</v>
      </c>
      <c r="I2250" s="160">
        <f t="shared" si="151"/>
        <v>4</v>
      </c>
      <c r="J2250" s="160">
        <f t="shared" si="152"/>
        <v>2</v>
      </c>
    </row>
    <row r="2251" spans="2:10" x14ac:dyDescent="0.35">
      <c r="B2251" s="160">
        <f t="shared" si="144"/>
        <v>82</v>
      </c>
      <c r="C2251" s="160">
        <f t="shared" si="145"/>
        <v>30</v>
      </c>
      <c r="D2251" s="160">
        <f t="shared" si="146"/>
        <v>3</v>
      </c>
      <c r="E2251" s="160">
        <f t="shared" si="147"/>
        <v>18</v>
      </c>
      <c r="F2251" s="160">
        <f t="shared" si="148"/>
        <v>43</v>
      </c>
      <c r="G2251" s="160">
        <f t="shared" si="149"/>
        <v>2</v>
      </c>
      <c r="H2251" s="160">
        <f t="shared" si="150"/>
        <v>23</v>
      </c>
      <c r="I2251" s="160">
        <f t="shared" si="151"/>
        <v>18</v>
      </c>
      <c r="J2251" s="160">
        <f t="shared" si="152"/>
        <v>1</v>
      </c>
    </row>
    <row r="2252" spans="2:10" x14ac:dyDescent="0.35">
      <c r="B2252" s="160">
        <f t="shared" si="144"/>
        <v>82</v>
      </c>
      <c r="C2252" s="160">
        <f t="shared" si="145"/>
        <v>30</v>
      </c>
      <c r="D2252" s="160">
        <f t="shared" si="146"/>
        <v>3</v>
      </c>
      <c r="E2252" s="160">
        <f t="shared" si="147"/>
        <v>18</v>
      </c>
      <c r="F2252" s="160">
        <f t="shared" si="148"/>
        <v>43</v>
      </c>
      <c r="G2252" s="160">
        <f t="shared" si="149"/>
        <v>4</v>
      </c>
      <c r="H2252" s="160">
        <f t="shared" si="150"/>
        <v>10</v>
      </c>
      <c r="I2252" s="160">
        <f t="shared" si="151"/>
        <v>18</v>
      </c>
      <c r="J2252" s="160">
        <f t="shared" si="152"/>
        <v>1</v>
      </c>
    </row>
    <row r="2253" spans="2:10" x14ac:dyDescent="0.35">
      <c r="B2253" s="160">
        <f t="shared" si="144"/>
        <v>82</v>
      </c>
      <c r="C2253" s="160">
        <f t="shared" si="145"/>
        <v>30</v>
      </c>
      <c r="D2253" s="160">
        <f t="shared" si="146"/>
        <v>3</v>
      </c>
      <c r="E2253" s="160">
        <f t="shared" si="147"/>
        <v>18</v>
      </c>
      <c r="F2253" s="160">
        <f t="shared" si="148"/>
        <v>42</v>
      </c>
      <c r="G2253" s="160">
        <f t="shared" si="149"/>
        <v>2</v>
      </c>
      <c r="H2253" s="160">
        <f t="shared" si="150"/>
        <v>23</v>
      </c>
      <c r="I2253" s="160">
        <f t="shared" si="151"/>
        <v>19</v>
      </c>
      <c r="J2253" s="160">
        <f t="shared" si="152"/>
        <v>2</v>
      </c>
    </row>
    <row r="2254" spans="2:10" x14ac:dyDescent="0.35">
      <c r="B2254" s="160">
        <f t="shared" si="144"/>
        <v>82</v>
      </c>
      <c r="C2254" s="160">
        <f t="shared" si="145"/>
        <v>30</v>
      </c>
      <c r="D2254" s="160">
        <f t="shared" si="146"/>
        <v>3</v>
      </c>
      <c r="E2254" s="160">
        <f t="shared" si="147"/>
        <v>18</v>
      </c>
      <c r="F2254" s="160">
        <f t="shared" si="148"/>
        <v>42</v>
      </c>
      <c r="G2254" s="160">
        <f t="shared" si="149"/>
        <v>4</v>
      </c>
      <c r="H2254" s="160">
        <f t="shared" si="150"/>
        <v>25</v>
      </c>
      <c r="I2254" s="160">
        <f t="shared" si="151"/>
        <v>19</v>
      </c>
      <c r="J2254" s="160">
        <f t="shared" si="152"/>
        <v>2</v>
      </c>
    </row>
    <row r="2255" spans="2:10" x14ac:dyDescent="0.35">
      <c r="B2255" s="160">
        <f t="shared" si="144"/>
        <v>82</v>
      </c>
      <c r="C2255" s="160">
        <f t="shared" si="145"/>
        <v>30</v>
      </c>
      <c r="D2255" s="160">
        <f t="shared" si="146"/>
        <v>4</v>
      </c>
      <c r="E2255" s="160">
        <f t="shared" si="147"/>
        <v>10</v>
      </c>
      <c r="F2255" s="160">
        <f t="shared" si="148"/>
        <v>43</v>
      </c>
      <c r="G2255" s="160">
        <f t="shared" si="149"/>
        <v>1</v>
      </c>
      <c r="H2255" s="160">
        <f t="shared" si="150"/>
        <v>24</v>
      </c>
      <c r="I2255" s="160">
        <f t="shared" si="151"/>
        <v>19</v>
      </c>
      <c r="J2255" s="160">
        <f t="shared" si="152"/>
        <v>2</v>
      </c>
    </row>
    <row r="2256" spans="2:10" x14ac:dyDescent="0.35">
      <c r="B2256" s="160">
        <f t="shared" si="144"/>
        <v>82</v>
      </c>
      <c r="C2256" s="160">
        <f t="shared" si="145"/>
        <v>30</v>
      </c>
      <c r="D2256" s="160">
        <f t="shared" si="146"/>
        <v>4</v>
      </c>
      <c r="E2256" s="160">
        <f t="shared" si="147"/>
        <v>10</v>
      </c>
      <c r="F2256" s="160">
        <f t="shared" si="148"/>
        <v>43</v>
      </c>
      <c r="G2256" s="160">
        <f t="shared" si="149"/>
        <v>3</v>
      </c>
      <c r="H2256" s="160">
        <f t="shared" si="150"/>
        <v>20</v>
      </c>
      <c r="I2256" s="160">
        <f t="shared" si="151"/>
        <v>98</v>
      </c>
      <c r="J2256" s="160">
        <f t="shared" si="152"/>
        <v>2</v>
      </c>
    </row>
    <row r="2257" spans="2:10" x14ac:dyDescent="0.35">
      <c r="B2257" s="160">
        <f t="shared" si="144"/>
        <v>82</v>
      </c>
      <c r="C2257" s="160">
        <f t="shared" si="145"/>
        <v>30</v>
      </c>
      <c r="D2257" s="160">
        <f t="shared" si="146"/>
        <v>4</v>
      </c>
      <c r="E2257" s="160">
        <f t="shared" si="147"/>
        <v>10</v>
      </c>
      <c r="F2257" s="160">
        <f t="shared" si="148"/>
        <v>44</v>
      </c>
      <c r="G2257" s="160">
        <f t="shared" si="149"/>
        <v>1</v>
      </c>
      <c r="H2257" s="160">
        <f t="shared" si="150"/>
        <v>8</v>
      </c>
      <c r="I2257" s="160">
        <f t="shared" si="151"/>
        <v>28</v>
      </c>
      <c r="J2257" s="160">
        <f t="shared" si="152"/>
        <v>1</v>
      </c>
    </row>
    <row r="2258" spans="2:10" x14ac:dyDescent="0.35">
      <c r="B2258" s="160">
        <f t="shared" si="144"/>
        <v>82</v>
      </c>
      <c r="C2258" s="160">
        <f t="shared" si="145"/>
        <v>30</v>
      </c>
      <c r="D2258" s="160">
        <f t="shared" si="146"/>
        <v>4</v>
      </c>
      <c r="E2258" s="160">
        <f t="shared" si="147"/>
        <v>10</v>
      </c>
      <c r="F2258" s="160">
        <f t="shared" si="148"/>
        <v>44</v>
      </c>
      <c r="G2258" s="160">
        <f t="shared" si="149"/>
        <v>4</v>
      </c>
      <c r="H2258" s="160">
        <f t="shared" si="150"/>
        <v>24</v>
      </c>
      <c r="I2258" s="160">
        <f t="shared" si="151"/>
        <v>29</v>
      </c>
      <c r="J2258" s="160">
        <f t="shared" si="152"/>
        <v>1</v>
      </c>
    </row>
    <row r="2259" spans="2:10" x14ac:dyDescent="0.35">
      <c r="B2259" s="160">
        <f t="shared" si="144"/>
        <v>82</v>
      </c>
      <c r="C2259" s="160">
        <f t="shared" si="145"/>
        <v>8</v>
      </c>
      <c r="D2259" s="160">
        <f t="shared" si="146"/>
        <v>1</v>
      </c>
      <c r="E2259" s="160">
        <f t="shared" si="147"/>
        <v>16</v>
      </c>
      <c r="F2259" s="160">
        <f t="shared" si="148"/>
        <v>48</v>
      </c>
      <c r="G2259" s="160">
        <f t="shared" si="149"/>
        <v>1</v>
      </c>
      <c r="H2259" s="160">
        <f t="shared" si="150"/>
        <v>18</v>
      </c>
      <c r="I2259" s="160">
        <f t="shared" si="151"/>
        <v>8</v>
      </c>
      <c r="J2259" s="160">
        <f t="shared" si="152"/>
        <v>1</v>
      </c>
    </row>
    <row r="2260" spans="2:10" x14ac:dyDescent="0.35">
      <c r="B2260" s="160">
        <f t="shared" si="144"/>
        <v>82</v>
      </c>
      <c r="C2260" s="160">
        <f t="shared" si="145"/>
        <v>8</v>
      </c>
      <c r="D2260" s="160">
        <f t="shared" si="146"/>
        <v>1</v>
      </c>
      <c r="E2260" s="160">
        <f t="shared" si="147"/>
        <v>16</v>
      </c>
      <c r="F2260" s="160">
        <f t="shared" si="148"/>
        <v>48</v>
      </c>
      <c r="G2260" s="160">
        <f t="shared" si="149"/>
        <v>2</v>
      </c>
      <c r="H2260" s="160">
        <f t="shared" si="150"/>
        <v>18</v>
      </c>
      <c r="I2260" s="160">
        <f t="shared" si="151"/>
        <v>8</v>
      </c>
      <c r="J2260" s="160">
        <f t="shared" si="152"/>
        <v>1</v>
      </c>
    </row>
    <row r="2261" spans="2:10" x14ac:dyDescent="0.35">
      <c r="B2261" s="160">
        <f t="shared" si="144"/>
        <v>82</v>
      </c>
      <c r="C2261" s="160">
        <f t="shared" si="145"/>
        <v>29</v>
      </c>
      <c r="D2261" s="160">
        <f t="shared" si="146"/>
        <v>2</v>
      </c>
      <c r="E2261" s="160">
        <f t="shared" si="147"/>
        <v>17</v>
      </c>
      <c r="F2261" s="160">
        <f t="shared" si="148"/>
        <v>42</v>
      </c>
      <c r="G2261" s="160">
        <f t="shared" si="149"/>
        <v>2</v>
      </c>
      <c r="H2261" s="160">
        <f t="shared" si="150"/>
        <v>2</v>
      </c>
      <c r="I2261" s="160">
        <f t="shared" si="151"/>
        <v>22</v>
      </c>
      <c r="J2261" s="160">
        <f t="shared" si="152"/>
        <v>2</v>
      </c>
    </row>
    <row r="2262" spans="2:10" x14ac:dyDescent="0.35">
      <c r="B2262" s="160">
        <f t="shared" si="144"/>
        <v>82</v>
      </c>
      <c r="C2262" s="160">
        <f t="shared" si="145"/>
        <v>29</v>
      </c>
      <c r="D2262" s="160">
        <f t="shared" si="146"/>
        <v>2</v>
      </c>
      <c r="E2262" s="160">
        <f t="shared" si="147"/>
        <v>17</v>
      </c>
      <c r="F2262" s="160">
        <f t="shared" si="148"/>
        <v>42</v>
      </c>
      <c r="G2262" s="160">
        <f t="shared" si="149"/>
        <v>4</v>
      </c>
      <c r="H2262" s="160">
        <f t="shared" si="150"/>
        <v>2</v>
      </c>
      <c r="I2262" s="160">
        <f t="shared" si="151"/>
        <v>22</v>
      </c>
      <c r="J2262" s="160">
        <f t="shared" si="152"/>
        <v>2</v>
      </c>
    </row>
    <row r="2263" spans="2:10" x14ac:dyDescent="0.35">
      <c r="B2263" s="160">
        <f t="shared" si="144"/>
        <v>83</v>
      </c>
      <c r="C2263" s="160">
        <f t="shared" si="145"/>
        <v>69</v>
      </c>
      <c r="D2263" s="160">
        <f t="shared" si="146"/>
        <v>4</v>
      </c>
      <c r="E2263" s="160">
        <f t="shared" si="147"/>
        <v>18</v>
      </c>
      <c r="F2263" s="160">
        <f t="shared" si="148"/>
        <v>42</v>
      </c>
      <c r="G2263" s="160">
        <f t="shared" si="149"/>
        <v>1</v>
      </c>
      <c r="H2263" s="160">
        <f t="shared" si="150"/>
        <v>8</v>
      </c>
      <c r="I2263" s="160">
        <f t="shared" si="151"/>
        <v>20</v>
      </c>
      <c r="J2263" s="160">
        <f t="shared" si="152"/>
        <v>1</v>
      </c>
    </row>
    <row r="2264" spans="2:10" x14ac:dyDescent="0.35">
      <c r="B2264" s="160">
        <f t="shared" si="144"/>
        <v>83</v>
      </c>
      <c r="C2264" s="160">
        <f t="shared" si="145"/>
        <v>69</v>
      </c>
      <c r="D2264" s="160">
        <f t="shared" si="146"/>
        <v>4</v>
      </c>
      <c r="E2264" s="160">
        <f t="shared" si="147"/>
        <v>18</v>
      </c>
      <c r="F2264" s="160">
        <f t="shared" si="148"/>
        <v>42</v>
      </c>
      <c r="G2264" s="160">
        <f t="shared" si="149"/>
        <v>4</v>
      </c>
      <c r="H2264" s="160">
        <f t="shared" si="150"/>
        <v>18</v>
      </c>
      <c r="I2264" s="160">
        <f t="shared" si="151"/>
        <v>33</v>
      </c>
      <c r="J2264" s="160">
        <f t="shared" si="152"/>
        <v>1</v>
      </c>
    </row>
    <row r="2265" spans="2:10" x14ac:dyDescent="0.35">
      <c r="B2265" s="160">
        <f t="shared" ref="B2265:B2287" si="153">INDEX($A$2:$A$85,MATCH(I1150,$B$2:$B$85,0))</f>
        <v>83</v>
      </c>
      <c r="C2265" s="160">
        <f t="shared" ref="C2265:C2287" si="154">INDEX($D$2:$D$117,MATCH(J1150,$E$2:$E$117,0))</f>
        <v>69</v>
      </c>
      <c r="D2265" s="160">
        <f t="shared" ref="D2265:D2287" si="155">INDEX($P$2:$P$5,MATCH(K1150,$Q$2:$Q$5,0))</f>
        <v>4</v>
      </c>
      <c r="E2265" s="160">
        <f t="shared" ref="E2265:E2287" si="156">INDEX($G$2:$G$19,MATCH(L1150,$H$2:$H$19,0))</f>
        <v>18</v>
      </c>
      <c r="F2265" s="160">
        <f t="shared" ref="F2265:F2287" si="157">INDEX($J$2:$J$55,MATCH(M1150,$K$2:$K$55,0))</f>
        <v>43</v>
      </c>
      <c r="G2265" s="160">
        <f t="shared" ref="G2265:G2287" si="158">INDEX($M$2:$M$6,MATCH(N1150,$N$2:$N$6,0))</f>
        <v>3</v>
      </c>
      <c r="H2265" s="160">
        <f t="shared" ref="H2265:H2287" si="159">INDEX($S$2:$S$26,MATCH(O1150,$T$2:$T$26,0))</f>
        <v>20</v>
      </c>
      <c r="I2265" s="160">
        <f t="shared" ref="I2265:I2287" si="160">INDEX($V$2:$V$108,MATCH(P1150,$W$2:$W$108,0))</f>
        <v>47</v>
      </c>
      <c r="J2265" s="160">
        <f t="shared" ref="J2265:J2287" si="161">INDEX($Y$2:$Y$4,MATCH(Q1150,$Z$2:$Z$4,0))</f>
        <v>2</v>
      </c>
    </row>
    <row r="2266" spans="2:10" x14ac:dyDescent="0.35">
      <c r="B2266" s="160">
        <f t="shared" si="153"/>
        <v>83</v>
      </c>
      <c r="C2266" s="160">
        <f t="shared" si="154"/>
        <v>69</v>
      </c>
      <c r="D2266" s="160">
        <f t="shared" si="155"/>
        <v>4</v>
      </c>
      <c r="E2266" s="160">
        <f t="shared" si="156"/>
        <v>18</v>
      </c>
      <c r="F2266" s="160">
        <f t="shared" si="157"/>
        <v>43</v>
      </c>
      <c r="G2266" s="160">
        <f t="shared" si="158"/>
        <v>5</v>
      </c>
      <c r="H2266" s="160">
        <f t="shared" si="159"/>
        <v>2</v>
      </c>
      <c r="I2266" s="160">
        <f t="shared" si="160"/>
        <v>20</v>
      </c>
      <c r="J2266" s="160">
        <f t="shared" si="161"/>
        <v>2</v>
      </c>
    </row>
    <row r="2267" spans="2:10" x14ac:dyDescent="0.35">
      <c r="B2267" s="160">
        <f t="shared" si="153"/>
        <v>83</v>
      </c>
      <c r="C2267" s="160">
        <f t="shared" si="154"/>
        <v>69</v>
      </c>
      <c r="D2267" s="160">
        <f t="shared" si="155"/>
        <v>3</v>
      </c>
      <c r="E2267" s="160">
        <f t="shared" si="156"/>
        <v>15</v>
      </c>
      <c r="F2267" s="160">
        <f t="shared" si="157"/>
        <v>27</v>
      </c>
      <c r="G2267" s="160">
        <f t="shared" si="158"/>
        <v>2</v>
      </c>
      <c r="H2267" s="160">
        <f t="shared" si="159"/>
        <v>10</v>
      </c>
      <c r="I2267" s="160">
        <f t="shared" si="160"/>
        <v>34</v>
      </c>
      <c r="J2267" s="160">
        <f t="shared" si="161"/>
        <v>1</v>
      </c>
    </row>
    <row r="2268" spans="2:10" x14ac:dyDescent="0.35">
      <c r="B2268" s="160">
        <f t="shared" si="153"/>
        <v>83</v>
      </c>
      <c r="C2268" s="160">
        <f t="shared" si="154"/>
        <v>69</v>
      </c>
      <c r="D2268" s="160">
        <f t="shared" si="155"/>
        <v>3</v>
      </c>
      <c r="E2268" s="160">
        <f t="shared" si="156"/>
        <v>15</v>
      </c>
      <c r="F2268" s="160">
        <f t="shared" si="157"/>
        <v>27</v>
      </c>
      <c r="G2268" s="160">
        <f t="shared" si="158"/>
        <v>5</v>
      </c>
      <c r="H2268" s="160">
        <f t="shared" si="159"/>
        <v>10</v>
      </c>
      <c r="I2268" s="160">
        <f t="shared" si="160"/>
        <v>38</v>
      </c>
      <c r="J2268" s="160">
        <f t="shared" si="161"/>
        <v>1</v>
      </c>
    </row>
    <row r="2269" spans="2:10" x14ac:dyDescent="0.35">
      <c r="B2269" s="160">
        <f t="shared" si="153"/>
        <v>83</v>
      </c>
      <c r="C2269" s="160">
        <f t="shared" si="154"/>
        <v>76</v>
      </c>
      <c r="D2269" s="160">
        <f t="shared" si="155"/>
        <v>3</v>
      </c>
      <c r="E2269" s="160">
        <f t="shared" si="156"/>
        <v>15</v>
      </c>
      <c r="F2269" s="160">
        <f t="shared" si="157"/>
        <v>5</v>
      </c>
      <c r="G2269" s="160">
        <f t="shared" si="158"/>
        <v>1</v>
      </c>
      <c r="H2269" s="160">
        <f t="shared" si="159"/>
        <v>1</v>
      </c>
      <c r="I2269" s="160">
        <f t="shared" si="160"/>
        <v>22</v>
      </c>
      <c r="J2269" s="160">
        <f t="shared" si="161"/>
        <v>1</v>
      </c>
    </row>
    <row r="2270" spans="2:10" x14ac:dyDescent="0.35">
      <c r="B2270" s="160">
        <f t="shared" si="153"/>
        <v>83</v>
      </c>
      <c r="C2270" s="160">
        <f t="shared" si="154"/>
        <v>76</v>
      </c>
      <c r="D2270" s="160">
        <f t="shared" si="155"/>
        <v>3</v>
      </c>
      <c r="E2270" s="160">
        <f t="shared" si="156"/>
        <v>15</v>
      </c>
      <c r="F2270" s="160">
        <f t="shared" si="157"/>
        <v>5</v>
      </c>
      <c r="G2270" s="160">
        <f t="shared" si="158"/>
        <v>5</v>
      </c>
      <c r="H2270" s="160">
        <f t="shared" si="159"/>
        <v>1</v>
      </c>
      <c r="I2270" s="160">
        <f t="shared" si="160"/>
        <v>21</v>
      </c>
      <c r="J2270" s="160">
        <f t="shared" si="161"/>
        <v>1</v>
      </c>
    </row>
    <row r="2271" spans="2:10" x14ac:dyDescent="0.35">
      <c r="B2271" s="160">
        <f t="shared" si="153"/>
        <v>83</v>
      </c>
      <c r="C2271" s="160">
        <f t="shared" si="154"/>
        <v>51</v>
      </c>
      <c r="D2271" s="160">
        <f t="shared" si="155"/>
        <v>1</v>
      </c>
      <c r="E2271" s="160">
        <f t="shared" si="156"/>
        <v>16</v>
      </c>
      <c r="F2271" s="160">
        <f t="shared" si="157"/>
        <v>48</v>
      </c>
      <c r="G2271" s="160">
        <f t="shared" si="158"/>
        <v>1</v>
      </c>
      <c r="H2271" s="160">
        <f t="shared" si="159"/>
        <v>2</v>
      </c>
      <c r="I2271" s="160">
        <f t="shared" si="160"/>
        <v>8</v>
      </c>
      <c r="J2271" s="160">
        <f t="shared" si="161"/>
        <v>2</v>
      </c>
    </row>
    <row r="2272" spans="2:10" x14ac:dyDescent="0.35">
      <c r="B2272" s="160">
        <f t="shared" si="153"/>
        <v>83</v>
      </c>
      <c r="C2272" s="160">
        <f t="shared" si="154"/>
        <v>51</v>
      </c>
      <c r="D2272" s="160">
        <f t="shared" si="155"/>
        <v>1</v>
      </c>
      <c r="E2272" s="160">
        <f t="shared" si="156"/>
        <v>16</v>
      </c>
      <c r="F2272" s="160">
        <f t="shared" si="157"/>
        <v>48</v>
      </c>
      <c r="G2272" s="160">
        <f t="shared" si="158"/>
        <v>2</v>
      </c>
      <c r="H2272" s="160">
        <f t="shared" si="159"/>
        <v>2</v>
      </c>
      <c r="I2272" s="160">
        <f t="shared" si="160"/>
        <v>8</v>
      </c>
      <c r="J2272" s="160">
        <f t="shared" si="161"/>
        <v>2</v>
      </c>
    </row>
    <row r="2273" spans="2:10" x14ac:dyDescent="0.35">
      <c r="B2273" s="160">
        <f t="shared" si="153"/>
        <v>83</v>
      </c>
      <c r="C2273" s="160">
        <f t="shared" si="154"/>
        <v>2</v>
      </c>
      <c r="D2273" s="160">
        <f t="shared" si="155"/>
        <v>2</v>
      </c>
      <c r="E2273" s="160">
        <f t="shared" si="156"/>
        <v>17</v>
      </c>
      <c r="F2273" s="160">
        <f t="shared" si="157"/>
        <v>42</v>
      </c>
      <c r="G2273" s="160">
        <f t="shared" si="158"/>
        <v>1</v>
      </c>
      <c r="H2273" s="160">
        <f t="shared" si="159"/>
        <v>22</v>
      </c>
      <c r="I2273" s="160">
        <f t="shared" si="160"/>
        <v>22</v>
      </c>
      <c r="J2273" s="160">
        <f t="shared" si="161"/>
        <v>1</v>
      </c>
    </row>
    <row r="2274" spans="2:10" x14ac:dyDescent="0.35">
      <c r="B2274" s="160">
        <f t="shared" si="153"/>
        <v>83</v>
      </c>
      <c r="C2274" s="160">
        <f t="shared" si="154"/>
        <v>2</v>
      </c>
      <c r="D2274" s="160">
        <f t="shared" si="155"/>
        <v>2</v>
      </c>
      <c r="E2274" s="160">
        <f t="shared" si="156"/>
        <v>17</v>
      </c>
      <c r="F2274" s="160">
        <f t="shared" si="157"/>
        <v>42</v>
      </c>
      <c r="G2274" s="160">
        <f t="shared" si="158"/>
        <v>4</v>
      </c>
      <c r="H2274" s="160">
        <f t="shared" si="159"/>
        <v>22</v>
      </c>
      <c r="I2274" s="160">
        <f t="shared" si="160"/>
        <v>22</v>
      </c>
      <c r="J2274" s="160">
        <f t="shared" si="161"/>
        <v>1</v>
      </c>
    </row>
    <row r="2275" spans="2:10" x14ac:dyDescent="0.35">
      <c r="B2275" s="160">
        <f t="shared" si="153"/>
        <v>83</v>
      </c>
      <c r="C2275" s="160">
        <f t="shared" si="154"/>
        <v>2</v>
      </c>
      <c r="D2275" s="160">
        <f t="shared" si="155"/>
        <v>2</v>
      </c>
      <c r="E2275" s="160">
        <f t="shared" si="156"/>
        <v>17</v>
      </c>
      <c r="F2275" s="160">
        <f t="shared" si="157"/>
        <v>47</v>
      </c>
      <c r="G2275" s="160">
        <f t="shared" si="158"/>
        <v>1</v>
      </c>
      <c r="H2275" s="160">
        <f t="shared" si="159"/>
        <v>15</v>
      </c>
      <c r="I2275" s="160">
        <f t="shared" si="160"/>
        <v>9</v>
      </c>
      <c r="J2275" s="160">
        <f t="shared" si="161"/>
        <v>1</v>
      </c>
    </row>
    <row r="2276" spans="2:10" x14ac:dyDescent="0.35">
      <c r="B2276" s="160">
        <f t="shared" si="153"/>
        <v>83</v>
      </c>
      <c r="C2276" s="160">
        <f t="shared" si="154"/>
        <v>2</v>
      </c>
      <c r="D2276" s="160">
        <f t="shared" si="155"/>
        <v>2</v>
      </c>
      <c r="E2276" s="160">
        <f t="shared" si="156"/>
        <v>17</v>
      </c>
      <c r="F2276" s="160">
        <f t="shared" si="157"/>
        <v>47</v>
      </c>
      <c r="G2276" s="160">
        <f t="shared" si="158"/>
        <v>4</v>
      </c>
      <c r="H2276" s="160">
        <f t="shared" si="159"/>
        <v>15</v>
      </c>
      <c r="I2276" s="160">
        <f t="shared" si="160"/>
        <v>9</v>
      </c>
      <c r="J2276" s="160">
        <f t="shared" si="161"/>
        <v>1</v>
      </c>
    </row>
    <row r="2277" spans="2:10" x14ac:dyDescent="0.35">
      <c r="B2277" s="160">
        <f t="shared" si="153"/>
        <v>84</v>
      </c>
      <c r="C2277" s="160">
        <f t="shared" si="154"/>
        <v>111</v>
      </c>
      <c r="D2277" s="160">
        <f t="shared" si="155"/>
        <v>4</v>
      </c>
      <c r="E2277" s="160">
        <f t="shared" si="156"/>
        <v>8</v>
      </c>
      <c r="F2277" s="160">
        <f t="shared" si="157"/>
        <v>42</v>
      </c>
      <c r="G2277" s="160">
        <f t="shared" si="158"/>
        <v>1</v>
      </c>
      <c r="H2277" s="160">
        <f t="shared" si="159"/>
        <v>18</v>
      </c>
      <c r="I2277" s="160">
        <f t="shared" si="160"/>
        <v>29</v>
      </c>
      <c r="J2277" s="160">
        <f t="shared" si="161"/>
        <v>1</v>
      </c>
    </row>
    <row r="2278" spans="2:10" x14ac:dyDescent="0.35">
      <c r="B2278" s="160">
        <f t="shared" si="153"/>
        <v>84</v>
      </c>
      <c r="C2278" s="160">
        <f t="shared" si="154"/>
        <v>111</v>
      </c>
      <c r="D2278" s="160">
        <f t="shared" si="155"/>
        <v>4</v>
      </c>
      <c r="E2278" s="160">
        <f t="shared" si="156"/>
        <v>8</v>
      </c>
      <c r="F2278" s="160">
        <f t="shared" si="157"/>
        <v>42</v>
      </c>
      <c r="G2278" s="160">
        <f t="shared" si="158"/>
        <v>4</v>
      </c>
      <c r="H2278" s="160">
        <f t="shared" si="159"/>
        <v>11</v>
      </c>
      <c r="I2278" s="160">
        <f t="shared" si="160"/>
        <v>29</v>
      </c>
      <c r="J2278" s="160">
        <f t="shared" si="161"/>
        <v>1</v>
      </c>
    </row>
    <row r="2279" spans="2:10" x14ac:dyDescent="0.35">
      <c r="B2279" s="160">
        <f t="shared" si="153"/>
        <v>84</v>
      </c>
      <c r="C2279" s="160">
        <f t="shared" si="154"/>
        <v>111</v>
      </c>
      <c r="D2279" s="160">
        <f t="shared" si="155"/>
        <v>4</v>
      </c>
      <c r="E2279" s="160">
        <f t="shared" si="156"/>
        <v>8</v>
      </c>
      <c r="F2279" s="160">
        <f t="shared" si="157"/>
        <v>43</v>
      </c>
      <c r="G2279" s="160">
        <f t="shared" si="158"/>
        <v>2</v>
      </c>
      <c r="H2279" s="160">
        <f t="shared" si="159"/>
        <v>11</v>
      </c>
      <c r="I2279" s="160">
        <f t="shared" si="160"/>
        <v>29</v>
      </c>
      <c r="J2279" s="160">
        <f t="shared" si="161"/>
        <v>1</v>
      </c>
    </row>
    <row r="2280" spans="2:10" x14ac:dyDescent="0.35">
      <c r="B2280" s="160">
        <f t="shared" si="153"/>
        <v>84</v>
      </c>
      <c r="C2280" s="160">
        <f t="shared" si="154"/>
        <v>111</v>
      </c>
      <c r="D2280" s="160">
        <f t="shared" si="155"/>
        <v>4</v>
      </c>
      <c r="E2280" s="160">
        <f t="shared" si="156"/>
        <v>8</v>
      </c>
      <c r="F2280" s="160">
        <f t="shared" si="157"/>
        <v>43</v>
      </c>
      <c r="G2280" s="160">
        <f t="shared" si="158"/>
        <v>5</v>
      </c>
      <c r="H2280" s="160">
        <f t="shared" si="159"/>
        <v>2</v>
      </c>
      <c r="I2280" s="160">
        <f t="shared" si="160"/>
        <v>29</v>
      </c>
      <c r="J2280" s="160">
        <f t="shared" si="161"/>
        <v>1</v>
      </c>
    </row>
    <row r="2281" spans="2:10" x14ac:dyDescent="0.35">
      <c r="B2281" s="160">
        <f t="shared" si="153"/>
        <v>84</v>
      </c>
      <c r="C2281" s="160">
        <f t="shared" si="154"/>
        <v>111</v>
      </c>
      <c r="D2281" s="160">
        <f t="shared" si="155"/>
        <v>4</v>
      </c>
      <c r="E2281" s="160">
        <f t="shared" si="156"/>
        <v>8</v>
      </c>
      <c r="F2281" s="160">
        <f t="shared" si="157"/>
        <v>44</v>
      </c>
      <c r="G2281" s="160">
        <f t="shared" si="158"/>
        <v>2</v>
      </c>
      <c r="H2281" s="160">
        <f t="shared" si="159"/>
        <v>2</v>
      </c>
      <c r="I2281" s="160">
        <f t="shared" si="160"/>
        <v>18</v>
      </c>
      <c r="J2281" s="160">
        <f t="shared" si="161"/>
        <v>1</v>
      </c>
    </row>
    <row r="2282" spans="2:10" x14ac:dyDescent="0.35">
      <c r="B2282" s="160">
        <f t="shared" si="153"/>
        <v>84</v>
      </c>
      <c r="C2282" s="160">
        <f t="shared" si="154"/>
        <v>111</v>
      </c>
      <c r="D2282" s="160">
        <f t="shared" si="155"/>
        <v>4</v>
      </c>
      <c r="E2282" s="160">
        <f t="shared" si="156"/>
        <v>8</v>
      </c>
      <c r="F2282" s="160">
        <f t="shared" si="157"/>
        <v>44</v>
      </c>
      <c r="G2282" s="160">
        <f t="shared" si="158"/>
        <v>4</v>
      </c>
      <c r="H2282" s="160">
        <f t="shared" si="159"/>
        <v>18</v>
      </c>
      <c r="I2282" s="160">
        <f t="shared" si="160"/>
        <v>18</v>
      </c>
      <c r="J2282" s="160">
        <f t="shared" si="161"/>
        <v>1</v>
      </c>
    </row>
    <row r="2283" spans="2:10" x14ac:dyDescent="0.35">
      <c r="B2283" s="160">
        <f t="shared" si="153"/>
        <v>84</v>
      </c>
      <c r="C2283" s="160">
        <f t="shared" si="154"/>
        <v>111</v>
      </c>
      <c r="D2283" s="160">
        <f t="shared" si="155"/>
        <v>4</v>
      </c>
      <c r="E2283" s="160">
        <f t="shared" si="156"/>
        <v>8</v>
      </c>
      <c r="F2283" s="160">
        <f t="shared" si="157"/>
        <v>45</v>
      </c>
      <c r="G2283" s="160">
        <f t="shared" si="158"/>
        <v>3</v>
      </c>
      <c r="H2283" s="160">
        <f t="shared" si="159"/>
        <v>24</v>
      </c>
      <c r="I2283" s="160">
        <f t="shared" si="160"/>
        <v>29</v>
      </c>
      <c r="J2283" s="160">
        <f t="shared" si="161"/>
        <v>1</v>
      </c>
    </row>
    <row r="2284" spans="2:10" x14ac:dyDescent="0.35">
      <c r="B2284" s="160">
        <f t="shared" si="153"/>
        <v>84</v>
      </c>
      <c r="C2284" s="160">
        <f t="shared" si="154"/>
        <v>111</v>
      </c>
      <c r="D2284" s="160">
        <f t="shared" si="155"/>
        <v>4</v>
      </c>
      <c r="E2284" s="160">
        <f t="shared" si="156"/>
        <v>8</v>
      </c>
      <c r="F2284" s="160">
        <f t="shared" si="157"/>
        <v>45</v>
      </c>
      <c r="G2284" s="160">
        <f t="shared" si="158"/>
        <v>5</v>
      </c>
      <c r="H2284" s="160">
        <f t="shared" si="159"/>
        <v>20</v>
      </c>
      <c r="I2284" s="160">
        <f t="shared" si="160"/>
        <v>29</v>
      </c>
      <c r="J2284" s="160">
        <f t="shared" si="161"/>
        <v>1</v>
      </c>
    </row>
    <row r="2285" spans="2:10" x14ac:dyDescent="0.35">
      <c r="B2285" s="160">
        <f t="shared" si="153"/>
        <v>84</v>
      </c>
      <c r="C2285" s="160">
        <f t="shared" si="154"/>
        <v>87</v>
      </c>
      <c r="D2285" s="160">
        <f t="shared" si="155"/>
        <v>4</v>
      </c>
      <c r="E2285" s="160">
        <f t="shared" si="156"/>
        <v>8</v>
      </c>
      <c r="F2285" s="160">
        <f t="shared" si="157"/>
        <v>28</v>
      </c>
      <c r="G2285" s="160">
        <f t="shared" si="158"/>
        <v>1</v>
      </c>
      <c r="H2285" s="160">
        <f t="shared" si="159"/>
        <v>2</v>
      </c>
      <c r="I2285" s="160">
        <f t="shared" si="160"/>
        <v>10</v>
      </c>
      <c r="J2285" s="160">
        <f t="shared" si="161"/>
        <v>1</v>
      </c>
    </row>
    <row r="2286" spans="2:10" x14ac:dyDescent="0.35">
      <c r="B2286" s="160">
        <f t="shared" si="153"/>
        <v>84</v>
      </c>
      <c r="C2286" s="160">
        <f t="shared" si="154"/>
        <v>87</v>
      </c>
      <c r="D2286" s="160">
        <f t="shared" si="155"/>
        <v>4</v>
      </c>
      <c r="E2286" s="160">
        <f t="shared" si="156"/>
        <v>8</v>
      </c>
      <c r="F2286" s="160">
        <f t="shared" si="157"/>
        <v>28</v>
      </c>
      <c r="G2286" s="160">
        <f t="shared" si="158"/>
        <v>4</v>
      </c>
      <c r="H2286" s="160">
        <f t="shared" si="159"/>
        <v>2</v>
      </c>
      <c r="I2286" s="160">
        <f t="shared" si="160"/>
        <v>10</v>
      </c>
      <c r="J2286" s="160">
        <f t="shared" si="161"/>
        <v>1</v>
      </c>
    </row>
    <row r="2287" spans="2:10" x14ac:dyDescent="0.35">
      <c r="B2287" s="160">
        <f t="shared" si="153"/>
        <v>84</v>
      </c>
      <c r="C2287" s="160">
        <f t="shared" si="154"/>
        <v>22</v>
      </c>
      <c r="D2287" s="160">
        <f t="shared" si="155"/>
        <v>4</v>
      </c>
      <c r="E2287" s="160">
        <f t="shared" si="156"/>
        <v>8</v>
      </c>
      <c r="F2287" s="160">
        <f t="shared" si="157"/>
        <v>4</v>
      </c>
      <c r="G2287" s="160">
        <f t="shared" si="158"/>
        <v>2</v>
      </c>
      <c r="H2287" s="160">
        <f t="shared" si="159"/>
        <v>24</v>
      </c>
      <c r="I2287" s="160">
        <f t="shared" si="160"/>
        <v>17</v>
      </c>
      <c r="J2287" s="160">
        <f t="shared" si="161"/>
        <v>3</v>
      </c>
    </row>
    <row r="2288" spans="2:10" x14ac:dyDescent="0.35">
      <c r="B2288" s="157"/>
    </row>
    <row r="2289" spans="2:2" x14ac:dyDescent="0.35">
      <c r="B2289" s="157"/>
    </row>
    <row r="2290" spans="2:2" x14ac:dyDescent="0.35">
      <c r="B2290" s="157"/>
    </row>
  </sheetData>
  <mergeCells count="6">
    <mergeCell ref="I58:I60"/>
    <mergeCell ref="J58:J60"/>
    <mergeCell ref="N58:Q58"/>
    <mergeCell ref="K58:K60"/>
    <mergeCell ref="L58:L60"/>
    <mergeCell ref="M58:M60"/>
  </mergeCells>
  <phoneticPr fontId="25" type="noConversion"/>
  <conditionalFormatting sqref="E2:E112">
    <cfRule type="duplicateValues" dxfId="1" priority="6"/>
  </conditionalFormatting>
  <conditionalFormatting sqref="E2:E113">
    <cfRule type="duplicateValues" dxfId="0" priority="2"/>
  </conditionalFormatting>
  <hyperlinks>
    <hyperlink ref="I116" r:id="rId1" display="Arnah  Ritonga, S.Si, M.Si" xr:uid="{FA2B0C6E-8B8D-454F-9883-3C3607001B36}"/>
    <hyperlink ref="I117:I130" r:id="rId2" display="Arnah  Ritonga, S.Si, M.Si" xr:uid="{0185EB39-D52D-402B-8BF9-FD623A9CB4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A6B5-83F9-429A-B451-86025F82B4A9}">
  <dimension ref="A1:S2233"/>
  <sheetViews>
    <sheetView topLeftCell="A1165" workbookViewId="0">
      <selection activeCell="F1146" sqref="F1146:Q1146"/>
    </sheetView>
  </sheetViews>
  <sheetFormatPr defaultRowHeight="14.5" x14ac:dyDescent="0.35"/>
  <cols>
    <col min="1" max="1" width="20.7265625" bestFit="1" customWidth="1"/>
    <col min="2" max="2" width="18.7265625" bestFit="1" customWidth="1"/>
    <col min="3" max="3" width="13.08984375" bestFit="1" customWidth="1"/>
    <col min="4" max="4" width="11.81640625" bestFit="1" customWidth="1"/>
    <col min="6" max="6" width="21.08984375" bestFit="1" customWidth="1"/>
    <col min="7" max="7" width="11.90625" bestFit="1" customWidth="1"/>
    <col min="8" max="8" width="10.90625" bestFit="1" customWidth="1"/>
    <col min="11" max="11" width="11.90625" bestFit="1" customWidth="1"/>
    <col min="12" max="12" width="10.90625" bestFit="1" customWidth="1"/>
    <col min="16" max="16" width="13.08984375" bestFit="1" customWidth="1"/>
  </cols>
  <sheetData>
    <row r="1" spans="1:19" x14ac:dyDescent="0.35">
      <c r="A1" s="208" t="s">
        <v>513</v>
      </c>
      <c r="B1" s="208" t="s">
        <v>514</v>
      </c>
      <c r="C1" s="208" t="s">
        <v>10</v>
      </c>
      <c r="D1" s="208" t="s">
        <v>11</v>
      </c>
      <c r="E1" s="208" t="s">
        <v>12</v>
      </c>
      <c r="F1" s="208" t="s">
        <v>16</v>
      </c>
      <c r="G1" s="208" t="s">
        <v>17</v>
      </c>
      <c r="H1" s="208" t="s">
        <v>18</v>
      </c>
      <c r="I1" s="208" t="s">
        <v>19</v>
      </c>
      <c r="K1" s="319" t="s">
        <v>539</v>
      </c>
      <c r="L1" s="320"/>
      <c r="M1" s="320"/>
      <c r="N1" s="320"/>
      <c r="O1" s="320"/>
      <c r="P1" s="320"/>
      <c r="Q1" s="320"/>
      <c r="R1" s="320"/>
      <c r="S1" s="320"/>
    </row>
    <row r="2" spans="1:19" x14ac:dyDescent="0.35">
      <c r="A2" s="202">
        <v>1</v>
      </c>
      <c r="B2" s="202">
        <v>17</v>
      </c>
      <c r="C2" s="202">
        <v>2</v>
      </c>
      <c r="D2" s="202">
        <v>8</v>
      </c>
      <c r="E2" s="202">
        <v>48</v>
      </c>
      <c r="F2" s="202">
        <v>1</v>
      </c>
      <c r="G2" s="202">
        <v>2</v>
      </c>
      <c r="H2" s="202">
        <v>1</v>
      </c>
      <c r="I2" s="202">
        <v>2</v>
      </c>
    </row>
    <row r="3" spans="1:19" x14ac:dyDescent="0.35">
      <c r="A3" s="202">
        <v>1</v>
      </c>
      <c r="B3" s="202">
        <v>17</v>
      </c>
      <c r="C3" s="202">
        <v>2</v>
      </c>
      <c r="D3" s="202">
        <v>8</v>
      </c>
      <c r="E3" s="202">
        <v>48</v>
      </c>
      <c r="F3" s="202">
        <v>3</v>
      </c>
      <c r="G3" s="202">
        <v>11</v>
      </c>
      <c r="H3" s="202">
        <v>2</v>
      </c>
      <c r="I3" s="202">
        <v>2</v>
      </c>
      <c r="K3" s="208" t="s">
        <v>513</v>
      </c>
      <c r="L3" s="208" t="s">
        <v>514</v>
      </c>
      <c r="M3" s="208" t="s">
        <v>10</v>
      </c>
      <c r="N3" s="208" t="s">
        <v>11</v>
      </c>
      <c r="O3" s="208" t="s">
        <v>12</v>
      </c>
      <c r="P3" s="208" t="s">
        <v>16</v>
      </c>
      <c r="Q3" s="208" t="s">
        <v>17</v>
      </c>
      <c r="R3" s="208" t="s">
        <v>18</v>
      </c>
      <c r="S3" s="208" t="s">
        <v>19</v>
      </c>
    </row>
    <row r="4" spans="1:19" x14ac:dyDescent="0.35">
      <c r="A4" s="202">
        <v>1</v>
      </c>
      <c r="B4" s="202">
        <v>17</v>
      </c>
      <c r="C4" s="202">
        <v>2</v>
      </c>
      <c r="D4" s="202">
        <v>8</v>
      </c>
      <c r="E4" s="202">
        <v>49</v>
      </c>
      <c r="F4" s="202">
        <v>1</v>
      </c>
      <c r="G4" s="202">
        <v>11</v>
      </c>
      <c r="H4" s="202">
        <v>3</v>
      </c>
      <c r="I4" s="202">
        <v>2</v>
      </c>
      <c r="K4" s="202">
        <v>52</v>
      </c>
      <c r="L4" s="202">
        <v>82</v>
      </c>
      <c r="M4" s="202">
        <v>2</v>
      </c>
      <c r="N4" s="202">
        <v>13</v>
      </c>
      <c r="O4" s="202">
        <v>44</v>
      </c>
      <c r="P4" s="202">
        <v>2</v>
      </c>
      <c r="Q4" s="202">
        <v>3</v>
      </c>
      <c r="R4" s="202">
        <v>23</v>
      </c>
      <c r="S4" s="202">
        <v>2</v>
      </c>
    </row>
    <row r="5" spans="1:19" x14ac:dyDescent="0.35">
      <c r="A5" s="202">
        <v>1</v>
      </c>
      <c r="B5" s="202">
        <v>17</v>
      </c>
      <c r="C5" s="202">
        <v>2</v>
      </c>
      <c r="D5" s="202">
        <v>8</v>
      </c>
      <c r="E5" s="202">
        <v>49</v>
      </c>
      <c r="F5" s="202">
        <v>3</v>
      </c>
      <c r="G5" s="202">
        <v>20</v>
      </c>
      <c r="H5" s="202">
        <v>3</v>
      </c>
      <c r="I5" s="202">
        <v>2</v>
      </c>
      <c r="K5" s="202">
        <v>40</v>
      </c>
      <c r="L5" s="202">
        <v>33</v>
      </c>
      <c r="M5" s="202">
        <v>4</v>
      </c>
      <c r="N5" s="202">
        <v>17</v>
      </c>
      <c r="O5" s="202">
        <v>27</v>
      </c>
      <c r="P5" s="202">
        <v>1</v>
      </c>
      <c r="Q5" s="202">
        <v>7</v>
      </c>
      <c r="R5" s="202">
        <v>17</v>
      </c>
      <c r="S5" s="202">
        <v>2</v>
      </c>
    </row>
    <row r="6" spans="1:19" x14ac:dyDescent="0.35">
      <c r="A6" s="202">
        <v>1</v>
      </c>
      <c r="B6" s="202">
        <v>17</v>
      </c>
      <c r="C6" s="202">
        <v>2</v>
      </c>
      <c r="D6" s="202">
        <v>8</v>
      </c>
      <c r="E6" s="202">
        <v>50</v>
      </c>
      <c r="F6" s="202">
        <v>2</v>
      </c>
      <c r="G6" s="202">
        <v>11</v>
      </c>
      <c r="H6" s="202">
        <v>4</v>
      </c>
      <c r="I6" s="202">
        <v>2</v>
      </c>
      <c r="K6" s="202">
        <v>48</v>
      </c>
      <c r="L6" s="202">
        <v>42</v>
      </c>
      <c r="M6" s="202">
        <v>2</v>
      </c>
      <c r="N6" s="202">
        <v>16</v>
      </c>
      <c r="O6" s="202">
        <v>1</v>
      </c>
      <c r="P6" s="202">
        <v>3</v>
      </c>
      <c r="Q6" s="202">
        <v>20</v>
      </c>
      <c r="R6" s="202">
        <v>8</v>
      </c>
      <c r="S6" s="202">
        <v>1</v>
      </c>
    </row>
    <row r="7" spans="1:19" x14ac:dyDescent="0.35">
      <c r="A7" s="202">
        <v>1</v>
      </c>
      <c r="B7" s="202">
        <v>17</v>
      </c>
      <c r="C7" s="202">
        <v>2</v>
      </c>
      <c r="D7" s="202">
        <v>8</v>
      </c>
      <c r="E7" s="202">
        <v>50</v>
      </c>
      <c r="F7" s="202">
        <v>4</v>
      </c>
      <c r="G7" s="202">
        <v>11</v>
      </c>
      <c r="H7" s="202">
        <v>4</v>
      </c>
      <c r="I7" s="202">
        <v>2</v>
      </c>
      <c r="K7" s="202">
        <v>69</v>
      </c>
      <c r="L7" s="202">
        <v>10</v>
      </c>
      <c r="M7" s="202">
        <v>3</v>
      </c>
      <c r="N7" s="202">
        <v>8</v>
      </c>
      <c r="O7" s="202">
        <v>25</v>
      </c>
      <c r="P7" s="202">
        <v>5</v>
      </c>
      <c r="Q7" s="202">
        <v>2</v>
      </c>
      <c r="R7" s="202">
        <v>37</v>
      </c>
      <c r="S7" s="202">
        <v>2</v>
      </c>
    </row>
    <row r="8" spans="1:19" x14ac:dyDescent="0.35">
      <c r="A8" s="202">
        <v>1</v>
      </c>
      <c r="B8" s="202">
        <v>17</v>
      </c>
      <c r="C8" s="202">
        <v>2</v>
      </c>
      <c r="D8" s="202">
        <v>8</v>
      </c>
      <c r="E8" s="202">
        <v>51</v>
      </c>
      <c r="F8" s="202">
        <v>2</v>
      </c>
      <c r="G8" s="202">
        <v>20</v>
      </c>
      <c r="H8" s="202">
        <v>3</v>
      </c>
      <c r="I8" s="202">
        <v>2</v>
      </c>
      <c r="K8" s="202">
        <v>14</v>
      </c>
      <c r="L8" s="202">
        <v>55</v>
      </c>
      <c r="M8" s="202">
        <v>4</v>
      </c>
      <c r="N8" s="202">
        <v>15</v>
      </c>
      <c r="O8" s="202">
        <v>42</v>
      </c>
      <c r="P8" s="202">
        <v>2</v>
      </c>
      <c r="Q8" s="202">
        <v>1</v>
      </c>
      <c r="R8" s="202">
        <v>3</v>
      </c>
      <c r="S8" s="202">
        <v>1</v>
      </c>
    </row>
    <row r="9" spans="1:19" x14ac:dyDescent="0.35">
      <c r="A9" s="202">
        <v>1</v>
      </c>
      <c r="B9" s="202">
        <v>17</v>
      </c>
      <c r="C9" s="202">
        <v>2</v>
      </c>
      <c r="D9" s="202">
        <v>8</v>
      </c>
      <c r="E9" s="202">
        <v>51</v>
      </c>
      <c r="F9" s="202">
        <v>4</v>
      </c>
      <c r="G9" s="202">
        <v>20</v>
      </c>
      <c r="H9" s="202">
        <v>3</v>
      </c>
      <c r="I9" s="202">
        <v>2</v>
      </c>
      <c r="K9" s="202">
        <v>47</v>
      </c>
      <c r="L9" s="202">
        <v>17</v>
      </c>
      <c r="M9" s="202">
        <v>2</v>
      </c>
      <c r="N9" s="202">
        <v>8</v>
      </c>
      <c r="O9" s="202">
        <v>47</v>
      </c>
      <c r="P9" s="202">
        <v>3</v>
      </c>
      <c r="Q9" s="202">
        <v>11</v>
      </c>
      <c r="R9" s="202">
        <v>46</v>
      </c>
      <c r="S9" s="202">
        <v>2</v>
      </c>
    </row>
    <row r="10" spans="1:19" x14ac:dyDescent="0.35">
      <c r="A10" s="202">
        <v>1</v>
      </c>
      <c r="B10" s="202">
        <v>25</v>
      </c>
      <c r="C10" s="202">
        <v>2</v>
      </c>
      <c r="D10" s="202">
        <v>10</v>
      </c>
      <c r="E10" s="202">
        <v>48</v>
      </c>
      <c r="F10" s="202">
        <v>2</v>
      </c>
      <c r="G10" s="202">
        <v>10</v>
      </c>
      <c r="H10" s="202">
        <v>5</v>
      </c>
      <c r="I10" s="202">
        <v>1</v>
      </c>
      <c r="K10" s="202">
        <v>65</v>
      </c>
      <c r="L10" s="202">
        <v>24</v>
      </c>
      <c r="M10" s="202">
        <v>4</v>
      </c>
      <c r="N10" s="202">
        <v>1</v>
      </c>
      <c r="O10" s="202">
        <v>49</v>
      </c>
      <c r="P10" s="202">
        <v>3</v>
      </c>
      <c r="Q10" s="202">
        <v>8</v>
      </c>
      <c r="R10" s="202">
        <v>7</v>
      </c>
      <c r="S10" s="202">
        <v>1</v>
      </c>
    </row>
    <row r="11" spans="1:19" x14ac:dyDescent="0.35">
      <c r="A11" s="202">
        <v>1</v>
      </c>
      <c r="B11" s="202">
        <v>25</v>
      </c>
      <c r="C11" s="202">
        <v>2</v>
      </c>
      <c r="D11" s="202">
        <v>10</v>
      </c>
      <c r="E11" s="202">
        <v>48</v>
      </c>
      <c r="F11" s="202">
        <v>5</v>
      </c>
      <c r="G11" s="202">
        <v>1</v>
      </c>
      <c r="H11" s="202">
        <v>6</v>
      </c>
      <c r="I11" s="202">
        <v>1</v>
      </c>
      <c r="K11" s="202">
        <v>61</v>
      </c>
      <c r="L11" s="202">
        <v>27</v>
      </c>
      <c r="M11" s="202">
        <v>2</v>
      </c>
      <c r="N11" s="202">
        <v>16</v>
      </c>
      <c r="O11" s="202">
        <v>45</v>
      </c>
      <c r="P11" s="202">
        <v>1</v>
      </c>
      <c r="Q11" s="202">
        <v>9</v>
      </c>
      <c r="R11" s="202">
        <v>22</v>
      </c>
      <c r="S11" s="202">
        <v>2</v>
      </c>
    </row>
    <row r="12" spans="1:19" x14ac:dyDescent="0.35">
      <c r="A12" s="202">
        <v>1</v>
      </c>
      <c r="B12" s="202">
        <v>24</v>
      </c>
      <c r="C12" s="202">
        <v>2</v>
      </c>
      <c r="D12" s="202">
        <v>10</v>
      </c>
      <c r="E12" s="202">
        <v>49</v>
      </c>
      <c r="F12" s="202">
        <v>3</v>
      </c>
      <c r="G12" s="202">
        <v>14</v>
      </c>
      <c r="H12" s="202">
        <v>7</v>
      </c>
      <c r="I12" s="202">
        <v>1</v>
      </c>
      <c r="K12" s="202">
        <v>6</v>
      </c>
      <c r="L12" s="202">
        <v>18</v>
      </c>
      <c r="M12" s="202">
        <v>2</v>
      </c>
      <c r="N12" s="202">
        <v>18</v>
      </c>
      <c r="O12" s="202">
        <v>49</v>
      </c>
      <c r="P12" s="202">
        <v>5</v>
      </c>
      <c r="Q12" s="202">
        <v>2</v>
      </c>
      <c r="R12" s="202">
        <v>22</v>
      </c>
      <c r="S12" s="202">
        <v>1</v>
      </c>
    </row>
    <row r="13" spans="1:19" x14ac:dyDescent="0.35">
      <c r="A13" s="202">
        <v>1</v>
      </c>
      <c r="B13" s="202">
        <v>24</v>
      </c>
      <c r="C13" s="202">
        <v>2</v>
      </c>
      <c r="D13" s="202">
        <v>10</v>
      </c>
      <c r="E13" s="202">
        <v>49</v>
      </c>
      <c r="F13" s="202">
        <v>4</v>
      </c>
      <c r="G13" s="202">
        <v>23</v>
      </c>
      <c r="H13" s="202">
        <v>7</v>
      </c>
      <c r="I13" s="202">
        <v>1</v>
      </c>
      <c r="K13" s="202">
        <v>68</v>
      </c>
      <c r="L13" s="202">
        <v>48</v>
      </c>
      <c r="M13" s="202">
        <v>3</v>
      </c>
      <c r="N13" s="202">
        <v>15</v>
      </c>
      <c r="O13" s="202">
        <v>50</v>
      </c>
      <c r="P13" s="202">
        <v>3</v>
      </c>
      <c r="Q13" s="202">
        <v>2</v>
      </c>
      <c r="R13" s="202">
        <v>9</v>
      </c>
      <c r="S13" s="202">
        <v>1</v>
      </c>
    </row>
    <row r="14" spans="1:19" x14ac:dyDescent="0.35">
      <c r="A14" s="202">
        <v>1</v>
      </c>
      <c r="B14" s="202">
        <v>5</v>
      </c>
      <c r="C14" s="202">
        <v>2</v>
      </c>
      <c r="D14" s="202">
        <v>16</v>
      </c>
      <c r="E14" s="202">
        <v>43</v>
      </c>
      <c r="F14" s="202">
        <v>4</v>
      </c>
      <c r="G14" s="202">
        <v>11</v>
      </c>
      <c r="H14" s="202">
        <v>8</v>
      </c>
      <c r="I14" s="202">
        <v>2</v>
      </c>
      <c r="K14" s="202">
        <v>27</v>
      </c>
      <c r="L14" s="202">
        <v>71</v>
      </c>
      <c r="M14" s="202">
        <v>3</v>
      </c>
      <c r="N14" s="202">
        <v>15</v>
      </c>
      <c r="O14" s="202">
        <v>1</v>
      </c>
      <c r="P14" s="202">
        <v>5</v>
      </c>
      <c r="Q14" s="202">
        <v>20</v>
      </c>
      <c r="R14" s="202">
        <v>24</v>
      </c>
      <c r="S14" s="202">
        <v>2</v>
      </c>
    </row>
    <row r="15" spans="1:19" x14ac:dyDescent="0.35">
      <c r="A15" s="202">
        <v>1</v>
      </c>
      <c r="B15" s="202">
        <v>5</v>
      </c>
      <c r="C15" s="202">
        <v>2</v>
      </c>
      <c r="D15" s="202">
        <v>16</v>
      </c>
      <c r="E15" s="202">
        <v>43</v>
      </c>
      <c r="F15" s="202">
        <v>5</v>
      </c>
      <c r="G15" s="202">
        <v>8</v>
      </c>
      <c r="H15" s="202">
        <v>8</v>
      </c>
      <c r="I15" s="202">
        <v>2</v>
      </c>
      <c r="K15" s="202">
        <v>47</v>
      </c>
      <c r="L15" s="202">
        <v>11</v>
      </c>
      <c r="M15" s="202">
        <v>3</v>
      </c>
      <c r="N15" s="202">
        <v>8</v>
      </c>
      <c r="O15" s="202">
        <v>42</v>
      </c>
      <c r="P15" s="202">
        <v>2</v>
      </c>
      <c r="Q15" s="202">
        <v>18</v>
      </c>
      <c r="R15" s="202">
        <v>7</v>
      </c>
      <c r="S15" s="202">
        <v>2</v>
      </c>
    </row>
    <row r="16" spans="1:19" x14ac:dyDescent="0.35">
      <c r="A16" s="202">
        <v>1</v>
      </c>
      <c r="B16" s="202">
        <v>16</v>
      </c>
      <c r="C16" s="202">
        <v>3</v>
      </c>
      <c r="D16" s="202">
        <v>17</v>
      </c>
      <c r="E16" s="202">
        <v>47</v>
      </c>
      <c r="F16" s="202">
        <v>1</v>
      </c>
      <c r="G16" s="202">
        <v>3</v>
      </c>
      <c r="H16" s="202">
        <v>9</v>
      </c>
      <c r="I16" s="202">
        <v>1</v>
      </c>
      <c r="K16" s="202">
        <v>42</v>
      </c>
      <c r="L16" s="202">
        <v>48</v>
      </c>
      <c r="M16" s="202">
        <v>2</v>
      </c>
      <c r="N16" s="202">
        <v>16</v>
      </c>
      <c r="O16" s="202">
        <v>48</v>
      </c>
      <c r="P16" s="202">
        <v>4</v>
      </c>
      <c r="Q16" s="202">
        <v>13</v>
      </c>
      <c r="R16" s="202">
        <v>12</v>
      </c>
      <c r="S16" s="202">
        <v>1</v>
      </c>
    </row>
    <row r="17" spans="1:19" x14ac:dyDescent="0.35">
      <c r="A17" s="202">
        <v>1</v>
      </c>
      <c r="B17" s="202">
        <v>16</v>
      </c>
      <c r="C17" s="202">
        <v>3</v>
      </c>
      <c r="D17" s="202">
        <v>17</v>
      </c>
      <c r="E17" s="202">
        <v>47</v>
      </c>
      <c r="F17" s="202">
        <v>4</v>
      </c>
      <c r="G17" s="202">
        <v>3</v>
      </c>
      <c r="H17" s="202">
        <v>9</v>
      </c>
      <c r="I17" s="202">
        <v>1</v>
      </c>
      <c r="K17" s="202">
        <v>66</v>
      </c>
      <c r="L17" s="202">
        <v>25</v>
      </c>
      <c r="M17" s="202">
        <v>3</v>
      </c>
      <c r="N17" s="202">
        <v>17</v>
      </c>
      <c r="O17" s="202">
        <v>49</v>
      </c>
      <c r="P17" s="202">
        <v>1</v>
      </c>
      <c r="Q17" s="202">
        <v>1</v>
      </c>
      <c r="R17" s="202">
        <v>15</v>
      </c>
      <c r="S17" s="202">
        <v>2</v>
      </c>
    </row>
    <row r="18" spans="1:19" x14ac:dyDescent="0.35">
      <c r="A18" s="202">
        <v>2</v>
      </c>
      <c r="B18" s="202">
        <v>44</v>
      </c>
      <c r="C18" s="202">
        <v>4</v>
      </c>
      <c r="D18" s="202">
        <v>15</v>
      </c>
      <c r="E18" s="202">
        <v>26</v>
      </c>
      <c r="F18" s="202">
        <v>1</v>
      </c>
      <c r="G18" s="202">
        <v>11</v>
      </c>
      <c r="H18" s="202">
        <v>10</v>
      </c>
      <c r="I18" s="202">
        <v>2</v>
      </c>
      <c r="K18" s="202">
        <v>57</v>
      </c>
      <c r="L18" s="202">
        <v>42</v>
      </c>
      <c r="M18" s="202">
        <v>1</v>
      </c>
      <c r="N18" s="202">
        <v>17</v>
      </c>
      <c r="O18" s="202">
        <v>53</v>
      </c>
      <c r="P18" s="202">
        <v>3</v>
      </c>
      <c r="Q18" s="202">
        <v>2</v>
      </c>
      <c r="R18" s="202">
        <v>44</v>
      </c>
      <c r="S18" s="202">
        <v>2</v>
      </c>
    </row>
    <row r="19" spans="1:19" x14ac:dyDescent="0.35">
      <c r="A19" s="202">
        <v>2</v>
      </c>
      <c r="B19" s="202">
        <v>44</v>
      </c>
      <c r="C19" s="202">
        <v>4</v>
      </c>
      <c r="D19" s="202">
        <v>15</v>
      </c>
      <c r="E19" s="202">
        <v>26</v>
      </c>
      <c r="F19" s="202">
        <v>4</v>
      </c>
      <c r="G19" s="202">
        <v>2</v>
      </c>
      <c r="H19" s="202">
        <v>11</v>
      </c>
      <c r="I19" s="202">
        <v>2</v>
      </c>
      <c r="K19" s="202">
        <v>82</v>
      </c>
      <c r="L19" s="202">
        <v>17</v>
      </c>
      <c r="M19" s="202">
        <v>3</v>
      </c>
      <c r="N19" s="202">
        <v>10</v>
      </c>
      <c r="O19" s="202">
        <v>49</v>
      </c>
      <c r="P19" s="202">
        <v>3</v>
      </c>
      <c r="Q19" s="202">
        <v>23</v>
      </c>
      <c r="R19" s="202">
        <v>7</v>
      </c>
      <c r="S19" s="202">
        <v>2</v>
      </c>
    </row>
    <row r="20" spans="1:19" x14ac:dyDescent="0.35">
      <c r="A20" s="202">
        <v>2</v>
      </c>
      <c r="B20" s="202">
        <v>44</v>
      </c>
      <c r="C20" s="202">
        <v>4</v>
      </c>
      <c r="D20" s="202">
        <v>15</v>
      </c>
      <c r="E20" s="202">
        <v>27</v>
      </c>
      <c r="F20" s="202">
        <v>1</v>
      </c>
      <c r="G20" s="202">
        <v>2</v>
      </c>
      <c r="H20" s="202">
        <v>12</v>
      </c>
      <c r="I20" s="202">
        <v>2</v>
      </c>
      <c r="K20" s="202">
        <v>32</v>
      </c>
      <c r="L20" s="202">
        <v>67</v>
      </c>
      <c r="M20" s="202">
        <v>4</v>
      </c>
      <c r="N20" s="202">
        <v>10</v>
      </c>
      <c r="O20" s="202">
        <v>48</v>
      </c>
      <c r="P20" s="202">
        <v>1</v>
      </c>
      <c r="Q20" s="202">
        <v>11</v>
      </c>
      <c r="R20" s="202">
        <v>38</v>
      </c>
      <c r="S20" s="202">
        <v>2</v>
      </c>
    </row>
    <row r="21" spans="1:19" x14ac:dyDescent="0.35">
      <c r="A21" s="202">
        <v>2</v>
      </c>
      <c r="B21" s="202">
        <v>44</v>
      </c>
      <c r="C21" s="202">
        <v>4</v>
      </c>
      <c r="D21" s="202">
        <v>15</v>
      </c>
      <c r="E21" s="202">
        <v>27</v>
      </c>
      <c r="F21" s="202">
        <v>4</v>
      </c>
      <c r="G21" s="202">
        <v>11</v>
      </c>
      <c r="H21" s="202">
        <v>2</v>
      </c>
      <c r="I21" s="202">
        <v>2</v>
      </c>
      <c r="K21" s="202">
        <v>73</v>
      </c>
      <c r="L21" s="202">
        <v>10</v>
      </c>
      <c r="M21" s="202">
        <v>4</v>
      </c>
      <c r="N21" s="202">
        <v>2</v>
      </c>
      <c r="O21" s="202">
        <v>50</v>
      </c>
      <c r="P21" s="202">
        <v>3</v>
      </c>
      <c r="Q21" s="202">
        <v>23</v>
      </c>
      <c r="R21" s="202">
        <v>21</v>
      </c>
      <c r="S21" s="202">
        <v>2</v>
      </c>
    </row>
    <row r="22" spans="1:19" x14ac:dyDescent="0.35">
      <c r="A22" s="202">
        <v>2</v>
      </c>
      <c r="B22" s="202">
        <v>24</v>
      </c>
      <c r="C22" s="202">
        <v>2</v>
      </c>
      <c r="D22" s="202">
        <v>11</v>
      </c>
      <c r="E22" s="202">
        <v>49</v>
      </c>
      <c r="F22" s="202">
        <v>1</v>
      </c>
      <c r="G22" s="202">
        <v>25</v>
      </c>
      <c r="H22" s="202">
        <v>7</v>
      </c>
      <c r="I22" s="202">
        <v>2</v>
      </c>
      <c r="K22" s="202">
        <v>39</v>
      </c>
      <c r="L22" s="202">
        <v>25</v>
      </c>
      <c r="M22" s="202">
        <v>3</v>
      </c>
      <c r="N22" s="202">
        <v>8</v>
      </c>
      <c r="O22" s="202">
        <v>47</v>
      </c>
      <c r="P22" s="202">
        <v>3</v>
      </c>
      <c r="Q22" s="202">
        <v>20</v>
      </c>
      <c r="R22" s="202">
        <v>5</v>
      </c>
      <c r="S22" s="202">
        <v>1</v>
      </c>
    </row>
    <row r="23" spans="1:19" x14ac:dyDescent="0.35">
      <c r="A23" s="202">
        <v>2</v>
      </c>
      <c r="B23" s="202">
        <v>24</v>
      </c>
      <c r="C23" s="202">
        <v>2</v>
      </c>
      <c r="D23" s="202">
        <v>11</v>
      </c>
      <c r="E23" s="202">
        <v>49</v>
      </c>
      <c r="F23" s="202">
        <v>3</v>
      </c>
      <c r="G23" s="202">
        <v>25</v>
      </c>
      <c r="H23" s="202">
        <v>7</v>
      </c>
      <c r="I23" s="202">
        <v>2</v>
      </c>
      <c r="K23" s="202">
        <v>36</v>
      </c>
      <c r="L23" s="202">
        <v>51</v>
      </c>
      <c r="M23" s="202">
        <v>1</v>
      </c>
      <c r="N23" s="202">
        <v>17</v>
      </c>
      <c r="O23" s="202">
        <v>47</v>
      </c>
      <c r="P23" s="202">
        <v>2</v>
      </c>
      <c r="Q23" s="202">
        <v>7</v>
      </c>
      <c r="R23" s="202">
        <v>22</v>
      </c>
      <c r="S23" s="202">
        <v>1</v>
      </c>
    </row>
    <row r="24" spans="1:19" x14ac:dyDescent="0.35">
      <c r="A24" s="202">
        <v>2</v>
      </c>
      <c r="B24" s="202">
        <v>25</v>
      </c>
      <c r="C24" s="202">
        <v>2</v>
      </c>
      <c r="D24" s="202">
        <v>11</v>
      </c>
      <c r="E24" s="202">
        <v>51</v>
      </c>
      <c r="F24" s="202">
        <v>1</v>
      </c>
      <c r="G24" s="202">
        <v>25</v>
      </c>
      <c r="H24" s="202">
        <v>13</v>
      </c>
      <c r="I24" s="202">
        <v>2</v>
      </c>
      <c r="K24" s="202">
        <v>43</v>
      </c>
      <c r="L24" s="202">
        <v>29</v>
      </c>
      <c r="M24" s="202">
        <v>2</v>
      </c>
      <c r="N24" s="202">
        <v>15</v>
      </c>
      <c r="O24" s="202">
        <v>48</v>
      </c>
      <c r="P24" s="202">
        <v>2</v>
      </c>
      <c r="Q24" s="202">
        <v>2</v>
      </c>
      <c r="R24" s="202">
        <v>88</v>
      </c>
      <c r="S24" s="202">
        <v>1</v>
      </c>
    </row>
    <row r="25" spans="1:19" x14ac:dyDescent="0.35">
      <c r="A25" s="202">
        <v>2</v>
      </c>
      <c r="B25" s="202">
        <v>25</v>
      </c>
      <c r="C25" s="202">
        <v>2</v>
      </c>
      <c r="D25" s="202">
        <v>11</v>
      </c>
      <c r="E25" s="202">
        <v>51</v>
      </c>
      <c r="F25" s="202">
        <v>4</v>
      </c>
      <c r="G25" s="202">
        <v>21</v>
      </c>
      <c r="H25" s="202">
        <v>14</v>
      </c>
      <c r="I25" s="202">
        <v>2</v>
      </c>
      <c r="K25" s="202">
        <v>49</v>
      </c>
      <c r="L25" s="202">
        <v>20</v>
      </c>
      <c r="M25" s="202">
        <v>3</v>
      </c>
      <c r="N25" s="202">
        <v>8</v>
      </c>
      <c r="O25" s="202">
        <v>1</v>
      </c>
      <c r="P25" s="202">
        <v>3</v>
      </c>
      <c r="Q25" s="202">
        <v>11</v>
      </c>
      <c r="R25" s="202">
        <v>35</v>
      </c>
      <c r="S25" s="202">
        <v>1</v>
      </c>
    </row>
    <row r="26" spans="1:19" x14ac:dyDescent="0.35">
      <c r="A26" s="202">
        <v>2</v>
      </c>
      <c r="B26" s="202">
        <v>25</v>
      </c>
      <c r="C26" s="202">
        <v>2</v>
      </c>
      <c r="D26" s="202">
        <v>2</v>
      </c>
      <c r="E26" s="202">
        <v>48</v>
      </c>
      <c r="F26" s="202">
        <v>2</v>
      </c>
      <c r="G26" s="202">
        <v>1</v>
      </c>
      <c r="H26" s="202">
        <v>15</v>
      </c>
      <c r="I26" s="202">
        <v>2</v>
      </c>
      <c r="K26" s="202">
        <v>68</v>
      </c>
      <c r="L26" s="202">
        <v>10</v>
      </c>
      <c r="M26" s="202">
        <v>2</v>
      </c>
      <c r="N26" s="202">
        <v>16</v>
      </c>
      <c r="O26" s="202">
        <v>27</v>
      </c>
      <c r="P26" s="202">
        <v>4</v>
      </c>
      <c r="Q26" s="202">
        <v>1</v>
      </c>
      <c r="R26" s="202">
        <v>29</v>
      </c>
      <c r="S26" s="202">
        <v>2</v>
      </c>
    </row>
    <row r="27" spans="1:19" x14ac:dyDescent="0.35">
      <c r="A27" s="202">
        <v>2</v>
      </c>
      <c r="B27" s="202">
        <v>25</v>
      </c>
      <c r="C27" s="202">
        <v>2</v>
      </c>
      <c r="D27" s="202">
        <v>2</v>
      </c>
      <c r="E27" s="202">
        <v>48</v>
      </c>
      <c r="F27" s="202">
        <v>3</v>
      </c>
      <c r="G27" s="202">
        <v>21</v>
      </c>
      <c r="H27" s="202">
        <v>16</v>
      </c>
      <c r="I27" s="202">
        <v>2</v>
      </c>
      <c r="K27" s="202">
        <v>19</v>
      </c>
      <c r="L27" s="202">
        <v>89</v>
      </c>
      <c r="M27" s="202">
        <v>4</v>
      </c>
      <c r="N27" s="202">
        <v>8</v>
      </c>
      <c r="O27" s="202">
        <v>42</v>
      </c>
      <c r="P27" s="202">
        <v>1</v>
      </c>
      <c r="Q27" s="202">
        <v>20</v>
      </c>
      <c r="R27" s="202">
        <v>39</v>
      </c>
      <c r="S27" s="202">
        <v>2</v>
      </c>
    </row>
    <row r="28" spans="1:19" x14ac:dyDescent="0.35">
      <c r="A28" s="202">
        <v>2</v>
      </c>
      <c r="B28" s="202">
        <v>22</v>
      </c>
      <c r="C28" s="202">
        <v>4</v>
      </c>
      <c r="D28" s="202">
        <v>15</v>
      </c>
      <c r="E28" s="202">
        <v>1</v>
      </c>
      <c r="F28" s="202">
        <v>1</v>
      </c>
      <c r="G28" s="202">
        <v>24</v>
      </c>
      <c r="H28" s="202">
        <v>17</v>
      </c>
      <c r="I28" s="202">
        <v>3</v>
      </c>
      <c r="K28" s="202">
        <v>52</v>
      </c>
      <c r="L28" s="202">
        <v>43</v>
      </c>
      <c r="M28" s="202">
        <v>4</v>
      </c>
      <c r="N28" s="202">
        <v>8</v>
      </c>
      <c r="O28" s="202">
        <v>33</v>
      </c>
      <c r="P28" s="202">
        <v>5</v>
      </c>
      <c r="Q28" s="202">
        <v>20</v>
      </c>
      <c r="R28" s="202">
        <v>5</v>
      </c>
      <c r="S28" s="202">
        <v>2</v>
      </c>
    </row>
    <row r="29" spans="1:19" x14ac:dyDescent="0.35">
      <c r="A29" s="202">
        <v>3</v>
      </c>
      <c r="B29" s="202">
        <v>37</v>
      </c>
      <c r="C29" s="202">
        <v>4</v>
      </c>
      <c r="D29" s="202">
        <v>8</v>
      </c>
      <c r="E29" s="202">
        <v>27</v>
      </c>
      <c r="F29" s="202">
        <v>2</v>
      </c>
      <c r="G29" s="202">
        <v>11</v>
      </c>
      <c r="H29" s="202">
        <v>18</v>
      </c>
      <c r="I29" s="202">
        <v>1</v>
      </c>
      <c r="K29" s="202">
        <v>74</v>
      </c>
      <c r="L29" s="202">
        <v>82</v>
      </c>
      <c r="M29" s="202">
        <v>3</v>
      </c>
      <c r="N29" s="202">
        <v>8</v>
      </c>
      <c r="O29" s="202">
        <v>49</v>
      </c>
      <c r="P29" s="202">
        <v>4</v>
      </c>
      <c r="Q29" s="202">
        <v>11</v>
      </c>
      <c r="R29" s="202">
        <v>3</v>
      </c>
      <c r="S29" s="202">
        <v>2</v>
      </c>
    </row>
    <row r="30" spans="1:19" x14ac:dyDescent="0.35">
      <c r="A30" s="202">
        <v>3</v>
      </c>
      <c r="B30" s="202">
        <v>37</v>
      </c>
      <c r="C30" s="202">
        <v>4</v>
      </c>
      <c r="D30" s="202">
        <v>8</v>
      </c>
      <c r="E30" s="202">
        <v>27</v>
      </c>
      <c r="F30" s="202">
        <v>4</v>
      </c>
      <c r="G30" s="202">
        <v>2</v>
      </c>
      <c r="H30" s="202">
        <v>18</v>
      </c>
      <c r="I30" s="202">
        <v>1</v>
      </c>
      <c r="K30" s="202">
        <v>51</v>
      </c>
      <c r="L30" s="202">
        <v>88</v>
      </c>
      <c r="M30" s="202">
        <v>2</v>
      </c>
      <c r="N30" s="202">
        <v>13</v>
      </c>
      <c r="O30" s="202">
        <v>27</v>
      </c>
      <c r="P30" s="202">
        <v>1</v>
      </c>
      <c r="Q30" s="202">
        <v>20</v>
      </c>
      <c r="R30" s="202">
        <v>6</v>
      </c>
      <c r="S30" s="202">
        <v>1</v>
      </c>
    </row>
    <row r="31" spans="1:19" x14ac:dyDescent="0.35">
      <c r="A31" s="202">
        <v>3</v>
      </c>
      <c r="B31" s="202">
        <v>37</v>
      </c>
      <c r="C31" s="202">
        <v>4</v>
      </c>
      <c r="D31" s="202">
        <v>8</v>
      </c>
      <c r="E31" s="202">
        <v>28</v>
      </c>
      <c r="F31" s="202">
        <v>1</v>
      </c>
      <c r="G31" s="202">
        <v>2</v>
      </c>
      <c r="H31" s="202">
        <v>19</v>
      </c>
      <c r="I31" s="202">
        <v>1</v>
      </c>
      <c r="K31" s="202">
        <v>1</v>
      </c>
      <c r="L31" s="202">
        <v>17</v>
      </c>
      <c r="M31" s="202">
        <v>2</v>
      </c>
      <c r="N31" s="202">
        <v>10</v>
      </c>
      <c r="O31" s="202">
        <v>43</v>
      </c>
      <c r="P31" s="202">
        <v>3</v>
      </c>
      <c r="Q31" s="202">
        <v>11</v>
      </c>
      <c r="R31" s="202">
        <v>47</v>
      </c>
      <c r="S31" s="202">
        <v>2</v>
      </c>
    </row>
    <row r="32" spans="1:19" x14ac:dyDescent="0.35">
      <c r="A32" s="202">
        <v>3</v>
      </c>
      <c r="B32" s="202">
        <v>37</v>
      </c>
      <c r="C32" s="202">
        <v>4</v>
      </c>
      <c r="D32" s="202">
        <v>8</v>
      </c>
      <c r="E32" s="202">
        <v>28</v>
      </c>
      <c r="F32" s="202">
        <v>5</v>
      </c>
      <c r="G32" s="202">
        <v>2</v>
      </c>
      <c r="H32" s="202">
        <v>19</v>
      </c>
      <c r="I32" s="202">
        <v>1</v>
      </c>
      <c r="K32" s="202">
        <v>33</v>
      </c>
      <c r="L32" s="202">
        <v>105</v>
      </c>
      <c r="M32" s="202">
        <v>4</v>
      </c>
      <c r="N32" s="202">
        <v>8</v>
      </c>
      <c r="O32" s="202">
        <v>28</v>
      </c>
      <c r="P32" s="202">
        <v>2</v>
      </c>
      <c r="Q32" s="202">
        <v>20</v>
      </c>
      <c r="R32" s="202">
        <v>21</v>
      </c>
      <c r="S32" s="202">
        <v>2</v>
      </c>
    </row>
    <row r="33" spans="1:19" x14ac:dyDescent="0.35">
      <c r="A33" s="202">
        <v>3</v>
      </c>
      <c r="B33" s="202">
        <v>1</v>
      </c>
      <c r="C33" s="202">
        <v>4</v>
      </c>
      <c r="D33" s="202">
        <v>8</v>
      </c>
      <c r="E33" s="202">
        <v>27</v>
      </c>
      <c r="F33" s="202">
        <v>1</v>
      </c>
      <c r="G33" s="202">
        <v>20</v>
      </c>
      <c r="H33" s="202">
        <v>1</v>
      </c>
      <c r="I33" s="202">
        <v>2</v>
      </c>
      <c r="K33" s="202">
        <v>50</v>
      </c>
      <c r="L33" s="202">
        <v>48</v>
      </c>
      <c r="M33" s="202">
        <v>2</v>
      </c>
      <c r="N33" s="202">
        <v>9</v>
      </c>
      <c r="O33" s="202">
        <v>42</v>
      </c>
      <c r="P33" s="202">
        <v>2</v>
      </c>
      <c r="Q33" s="202">
        <v>20</v>
      </c>
      <c r="R33" s="202">
        <v>19</v>
      </c>
      <c r="S33" s="202">
        <v>1</v>
      </c>
    </row>
    <row r="34" spans="1:19" x14ac:dyDescent="0.35">
      <c r="A34" s="202">
        <v>3</v>
      </c>
      <c r="B34" s="202">
        <v>1</v>
      </c>
      <c r="C34" s="202">
        <v>4</v>
      </c>
      <c r="D34" s="202">
        <v>8</v>
      </c>
      <c r="E34" s="202">
        <v>27</v>
      </c>
      <c r="F34" s="202">
        <v>3</v>
      </c>
      <c r="G34" s="202">
        <v>20</v>
      </c>
      <c r="H34" s="202">
        <v>1</v>
      </c>
      <c r="I34" s="202">
        <v>2</v>
      </c>
      <c r="K34" s="202">
        <v>35</v>
      </c>
      <c r="L34" s="202">
        <v>80</v>
      </c>
      <c r="M34" s="202">
        <v>2</v>
      </c>
      <c r="N34" s="202">
        <v>18</v>
      </c>
      <c r="O34" s="202">
        <v>26</v>
      </c>
      <c r="P34" s="202">
        <v>1</v>
      </c>
      <c r="Q34" s="202">
        <v>2</v>
      </c>
      <c r="R34" s="202">
        <v>7</v>
      </c>
      <c r="S34" s="202">
        <v>2</v>
      </c>
    </row>
    <row r="35" spans="1:19" x14ac:dyDescent="0.35">
      <c r="A35" s="202">
        <v>3</v>
      </c>
      <c r="B35" s="202">
        <v>38</v>
      </c>
      <c r="C35" s="202">
        <v>4</v>
      </c>
      <c r="D35" s="202">
        <v>8</v>
      </c>
      <c r="E35" s="202">
        <v>42</v>
      </c>
      <c r="F35" s="202">
        <v>1</v>
      </c>
      <c r="G35" s="202">
        <v>2</v>
      </c>
      <c r="H35" s="202">
        <v>3</v>
      </c>
      <c r="I35" s="202">
        <v>2</v>
      </c>
      <c r="K35" s="202">
        <v>32</v>
      </c>
      <c r="L35" s="202">
        <v>24</v>
      </c>
      <c r="M35" s="202">
        <v>2</v>
      </c>
      <c r="N35" s="202">
        <v>8</v>
      </c>
      <c r="O35" s="202">
        <v>45</v>
      </c>
      <c r="P35" s="202">
        <v>1</v>
      </c>
      <c r="Q35" s="202">
        <v>2</v>
      </c>
      <c r="R35" s="202">
        <v>8</v>
      </c>
      <c r="S35" s="202">
        <v>2</v>
      </c>
    </row>
    <row r="36" spans="1:19" x14ac:dyDescent="0.35">
      <c r="A36" s="202">
        <v>3</v>
      </c>
      <c r="B36" s="202">
        <v>38</v>
      </c>
      <c r="C36" s="202">
        <v>4</v>
      </c>
      <c r="D36" s="202">
        <v>8</v>
      </c>
      <c r="E36" s="202">
        <v>42</v>
      </c>
      <c r="F36" s="202">
        <v>3</v>
      </c>
      <c r="G36" s="202">
        <v>2</v>
      </c>
      <c r="H36" s="202">
        <v>3</v>
      </c>
      <c r="I36" s="202">
        <v>2</v>
      </c>
      <c r="K36" s="202">
        <v>54</v>
      </c>
      <c r="L36" s="202">
        <v>11</v>
      </c>
      <c r="M36" s="202">
        <v>4</v>
      </c>
      <c r="N36" s="202">
        <v>15</v>
      </c>
      <c r="O36" s="202">
        <v>43</v>
      </c>
      <c r="P36" s="202">
        <v>2</v>
      </c>
      <c r="Q36" s="202">
        <v>20</v>
      </c>
      <c r="R36" s="202">
        <v>31</v>
      </c>
      <c r="S36" s="202">
        <v>2</v>
      </c>
    </row>
    <row r="37" spans="1:19" x14ac:dyDescent="0.35">
      <c r="A37" s="202">
        <v>3</v>
      </c>
      <c r="B37" s="202">
        <v>38</v>
      </c>
      <c r="C37" s="202">
        <v>4</v>
      </c>
      <c r="D37" s="202">
        <v>8</v>
      </c>
      <c r="E37" s="202">
        <v>43</v>
      </c>
      <c r="F37" s="202">
        <v>2</v>
      </c>
      <c r="G37" s="202">
        <v>2</v>
      </c>
      <c r="H37" s="202">
        <v>17</v>
      </c>
      <c r="I37" s="202">
        <v>2</v>
      </c>
      <c r="K37" s="202">
        <v>44</v>
      </c>
      <c r="L37" s="202">
        <v>87</v>
      </c>
      <c r="M37" s="202">
        <v>4</v>
      </c>
      <c r="N37" s="202">
        <v>15</v>
      </c>
      <c r="O37" s="202">
        <v>3</v>
      </c>
      <c r="P37" s="202">
        <v>4</v>
      </c>
      <c r="Q37" s="202">
        <v>20</v>
      </c>
      <c r="R37" s="202">
        <v>52</v>
      </c>
      <c r="S37" s="202">
        <v>1</v>
      </c>
    </row>
    <row r="38" spans="1:19" x14ac:dyDescent="0.35">
      <c r="A38" s="202">
        <v>3</v>
      </c>
      <c r="B38" s="202">
        <v>38</v>
      </c>
      <c r="C38" s="202">
        <v>4</v>
      </c>
      <c r="D38" s="202">
        <v>8</v>
      </c>
      <c r="E38" s="202">
        <v>43</v>
      </c>
      <c r="F38" s="202">
        <v>4</v>
      </c>
      <c r="G38" s="202">
        <v>2</v>
      </c>
      <c r="H38" s="202">
        <v>17</v>
      </c>
      <c r="I38" s="202">
        <v>2</v>
      </c>
      <c r="K38" s="202">
        <v>59</v>
      </c>
      <c r="L38" s="202">
        <v>17</v>
      </c>
      <c r="M38" s="202">
        <v>4</v>
      </c>
      <c r="N38" s="202">
        <v>15</v>
      </c>
      <c r="O38" s="202">
        <v>48</v>
      </c>
      <c r="P38" s="202">
        <v>4</v>
      </c>
      <c r="Q38" s="202">
        <v>10</v>
      </c>
      <c r="R38" s="202">
        <v>38</v>
      </c>
      <c r="S38" s="202">
        <v>2</v>
      </c>
    </row>
    <row r="39" spans="1:19" x14ac:dyDescent="0.35">
      <c r="A39" s="202">
        <v>3</v>
      </c>
      <c r="B39" s="202">
        <v>38</v>
      </c>
      <c r="C39" s="202">
        <v>4</v>
      </c>
      <c r="D39" s="202">
        <v>8</v>
      </c>
      <c r="E39" s="202">
        <v>44</v>
      </c>
      <c r="F39" s="202">
        <v>2</v>
      </c>
      <c r="G39" s="202">
        <v>11</v>
      </c>
      <c r="H39" s="202">
        <v>17</v>
      </c>
      <c r="I39" s="202">
        <v>2</v>
      </c>
      <c r="K39" s="202">
        <v>84</v>
      </c>
      <c r="L39" s="202">
        <v>25</v>
      </c>
      <c r="M39" s="202">
        <v>2</v>
      </c>
      <c r="N39" s="202">
        <v>18</v>
      </c>
      <c r="O39" s="202">
        <v>26</v>
      </c>
      <c r="P39" s="202">
        <v>2</v>
      </c>
      <c r="Q39" s="202">
        <v>1</v>
      </c>
      <c r="R39" s="202">
        <v>1</v>
      </c>
      <c r="S39" s="202">
        <v>2</v>
      </c>
    </row>
    <row r="40" spans="1:19" x14ac:dyDescent="0.35">
      <c r="A40" s="202">
        <v>3</v>
      </c>
      <c r="B40" s="202">
        <v>38</v>
      </c>
      <c r="C40" s="202">
        <v>4</v>
      </c>
      <c r="D40" s="202">
        <v>8</v>
      </c>
      <c r="E40" s="202">
        <v>44</v>
      </c>
      <c r="F40" s="202">
        <v>4</v>
      </c>
      <c r="G40" s="202">
        <v>11</v>
      </c>
      <c r="H40" s="202">
        <v>17</v>
      </c>
      <c r="I40" s="202">
        <v>2</v>
      </c>
      <c r="K40" s="202">
        <v>41</v>
      </c>
      <c r="L40" s="202">
        <v>78</v>
      </c>
      <c r="M40" s="202">
        <v>3</v>
      </c>
      <c r="N40" s="202">
        <v>11</v>
      </c>
      <c r="O40" s="202">
        <v>43</v>
      </c>
      <c r="P40" s="202">
        <v>1</v>
      </c>
      <c r="Q40" s="202">
        <v>18</v>
      </c>
      <c r="R40" s="202">
        <v>42</v>
      </c>
      <c r="S40" s="202">
        <v>1</v>
      </c>
    </row>
    <row r="41" spans="1:19" x14ac:dyDescent="0.35">
      <c r="A41" s="202">
        <v>3</v>
      </c>
      <c r="B41" s="202">
        <v>38</v>
      </c>
      <c r="C41" s="202">
        <v>4</v>
      </c>
      <c r="D41" s="202">
        <v>8</v>
      </c>
      <c r="E41" s="202">
        <v>45</v>
      </c>
      <c r="F41" s="202">
        <v>3</v>
      </c>
      <c r="G41" s="202">
        <v>11</v>
      </c>
      <c r="H41" s="202">
        <v>3</v>
      </c>
      <c r="I41" s="202">
        <v>2</v>
      </c>
      <c r="K41" s="202">
        <v>5</v>
      </c>
      <c r="L41" s="202">
        <v>26</v>
      </c>
      <c r="M41" s="202">
        <v>2</v>
      </c>
      <c r="N41" s="202">
        <v>8</v>
      </c>
      <c r="O41" s="202">
        <v>25</v>
      </c>
      <c r="P41" s="202">
        <v>5</v>
      </c>
      <c r="Q41" s="202">
        <v>2</v>
      </c>
      <c r="R41" s="202">
        <v>48</v>
      </c>
      <c r="S41" s="202">
        <v>1</v>
      </c>
    </row>
    <row r="42" spans="1:19" x14ac:dyDescent="0.35">
      <c r="A42" s="202">
        <v>3</v>
      </c>
      <c r="B42" s="202">
        <v>38</v>
      </c>
      <c r="C42" s="202">
        <v>4</v>
      </c>
      <c r="D42" s="202">
        <v>8</v>
      </c>
      <c r="E42" s="202">
        <v>45</v>
      </c>
      <c r="F42" s="202">
        <v>5</v>
      </c>
      <c r="G42" s="202">
        <v>2</v>
      </c>
      <c r="H42" s="202">
        <v>3</v>
      </c>
      <c r="I42" s="202">
        <v>2</v>
      </c>
      <c r="K42" s="202">
        <v>72</v>
      </c>
      <c r="L42" s="202">
        <v>88</v>
      </c>
      <c r="M42" s="202">
        <v>2</v>
      </c>
      <c r="N42" s="202">
        <v>17</v>
      </c>
      <c r="O42" s="202">
        <v>25</v>
      </c>
      <c r="P42" s="202">
        <v>2</v>
      </c>
      <c r="Q42" s="202">
        <v>8</v>
      </c>
      <c r="R42" s="202">
        <v>84</v>
      </c>
      <c r="S42" s="202">
        <v>1</v>
      </c>
    </row>
    <row r="43" spans="1:19" x14ac:dyDescent="0.35">
      <c r="A43" s="202">
        <v>4</v>
      </c>
      <c r="B43" s="202">
        <v>17</v>
      </c>
      <c r="C43" s="202">
        <v>2</v>
      </c>
      <c r="D43" s="202">
        <v>18</v>
      </c>
      <c r="E43" s="202">
        <v>50</v>
      </c>
      <c r="F43" s="202">
        <v>1</v>
      </c>
      <c r="G43" s="202">
        <v>20</v>
      </c>
      <c r="H43" s="202">
        <v>20</v>
      </c>
      <c r="I43" s="202">
        <v>1</v>
      </c>
      <c r="K43" s="202">
        <v>83</v>
      </c>
      <c r="L43" s="202">
        <v>50</v>
      </c>
      <c r="M43" s="202">
        <v>4</v>
      </c>
      <c r="N43" s="202">
        <v>13</v>
      </c>
      <c r="O43" s="202">
        <v>48</v>
      </c>
      <c r="P43" s="202">
        <v>5</v>
      </c>
      <c r="Q43" s="202">
        <v>2</v>
      </c>
      <c r="R43" s="202">
        <v>4</v>
      </c>
      <c r="S43" s="202">
        <v>2</v>
      </c>
    </row>
    <row r="44" spans="1:19" x14ac:dyDescent="0.35">
      <c r="A44" s="202">
        <v>4</v>
      </c>
      <c r="B44" s="202">
        <v>17</v>
      </c>
      <c r="C44" s="202">
        <v>2</v>
      </c>
      <c r="D44" s="202">
        <v>18</v>
      </c>
      <c r="E44" s="202">
        <v>50</v>
      </c>
      <c r="F44" s="202">
        <v>4</v>
      </c>
      <c r="G44" s="202">
        <v>18</v>
      </c>
      <c r="H44" s="202">
        <v>20</v>
      </c>
      <c r="I44" s="202">
        <v>1</v>
      </c>
      <c r="K44" s="202">
        <v>20</v>
      </c>
      <c r="L44" s="202">
        <v>64</v>
      </c>
      <c r="M44" s="202">
        <v>2</v>
      </c>
      <c r="N44" s="202">
        <v>18</v>
      </c>
      <c r="O44" s="202">
        <v>1</v>
      </c>
      <c r="P44" s="202">
        <v>2</v>
      </c>
      <c r="Q44" s="202">
        <v>24</v>
      </c>
      <c r="R44" s="202">
        <v>2</v>
      </c>
      <c r="S44" s="202">
        <v>2</v>
      </c>
    </row>
    <row r="45" spans="1:19" x14ac:dyDescent="0.35">
      <c r="A45" s="202">
        <v>4</v>
      </c>
      <c r="B45" s="202">
        <v>11</v>
      </c>
      <c r="C45" s="202">
        <v>2</v>
      </c>
      <c r="D45" s="202">
        <v>10</v>
      </c>
      <c r="E45" s="202">
        <v>48</v>
      </c>
      <c r="F45" s="202">
        <v>2</v>
      </c>
      <c r="G45" s="202">
        <v>2</v>
      </c>
      <c r="H45" s="202">
        <v>21</v>
      </c>
      <c r="I45" s="202">
        <v>2</v>
      </c>
      <c r="K45" s="202">
        <v>76</v>
      </c>
      <c r="L45" s="202">
        <v>10</v>
      </c>
      <c r="M45" s="202">
        <v>4</v>
      </c>
      <c r="N45" s="202">
        <v>18</v>
      </c>
      <c r="O45" s="202">
        <v>1</v>
      </c>
      <c r="P45" s="202">
        <v>4</v>
      </c>
      <c r="Q45" s="202">
        <v>1</v>
      </c>
      <c r="R45" s="202">
        <v>2</v>
      </c>
      <c r="S45" s="202">
        <v>2</v>
      </c>
    </row>
    <row r="46" spans="1:19" x14ac:dyDescent="0.35">
      <c r="A46" s="202">
        <v>4</v>
      </c>
      <c r="B46" s="202">
        <v>11</v>
      </c>
      <c r="C46" s="202">
        <v>2</v>
      </c>
      <c r="D46" s="202">
        <v>10</v>
      </c>
      <c r="E46" s="202">
        <v>48</v>
      </c>
      <c r="F46" s="202">
        <v>5</v>
      </c>
      <c r="G46" s="202">
        <v>2</v>
      </c>
      <c r="H46" s="202">
        <v>22</v>
      </c>
      <c r="I46" s="202">
        <v>2</v>
      </c>
      <c r="K46" s="202">
        <v>32</v>
      </c>
      <c r="L46" s="202">
        <v>42</v>
      </c>
      <c r="M46" s="202">
        <v>2</v>
      </c>
      <c r="N46" s="202">
        <v>10</v>
      </c>
      <c r="O46" s="202">
        <v>42</v>
      </c>
      <c r="P46" s="202">
        <v>3</v>
      </c>
      <c r="Q46" s="202">
        <v>1</v>
      </c>
      <c r="R46" s="202">
        <v>37</v>
      </c>
      <c r="S46" s="202">
        <v>2</v>
      </c>
    </row>
    <row r="47" spans="1:19" x14ac:dyDescent="0.35">
      <c r="A47" s="202">
        <v>4</v>
      </c>
      <c r="B47" s="202">
        <v>18</v>
      </c>
      <c r="C47" s="202">
        <v>2</v>
      </c>
      <c r="D47" s="202">
        <v>10</v>
      </c>
      <c r="E47" s="202">
        <v>43</v>
      </c>
      <c r="F47" s="202">
        <v>1</v>
      </c>
      <c r="G47" s="202">
        <v>2</v>
      </c>
      <c r="H47" s="202">
        <v>23</v>
      </c>
      <c r="I47" s="202">
        <v>2</v>
      </c>
      <c r="K47" s="202">
        <v>69</v>
      </c>
      <c r="L47" s="202">
        <v>24</v>
      </c>
      <c r="M47" s="202">
        <v>2</v>
      </c>
      <c r="N47" s="202">
        <v>16</v>
      </c>
      <c r="O47" s="202">
        <v>42</v>
      </c>
      <c r="P47" s="202">
        <v>3</v>
      </c>
      <c r="Q47" s="202">
        <v>2</v>
      </c>
      <c r="R47" s="202">
        <v>37</v>
      </c>
      <c r="S47" s="202">
        <v>2</v>
      </c>
    </row>
    <row r="48" spans="1:19" x14ac:dyDescent="0.35">
      <c r="A48" s="202">
        <v>4</v>
      </c>
      <c r="B48" s="202">
        <v>18</v>
      </c>
      <c r="C48" s="202">
        <v>2</v>
      </c>
      <c r="D48" s="202">
        <v>10</v>
      </c>
      <c r="E48" s="202">
        <v>43</v>
      </c>
      <c r="F48" s="202">
        <v>5</v>
      </c>
      <c r="G48" s="202">
        <v>20</v>
      </c>
      <c r="H48" s="202">
        <v>12</v>
      </c>
      <c r="I48" s="202">
        <v>2</v>
      </c>
      <c r="K48" s="202">
        <v>14</v>
      </c>
      <c r="L48" s="202">
        <v>25</v>
      </c>
      <c r="M48" s="202">
        <v>3</v>
      </c>
      <c r="N48" s="202">
        <v>15</v>
      </c>
      <c r="O48" s="202">
        <v>37</v>
      </c>
      <c r="P48" s="202">
        <v>1</v>
      </c>
      <c r="Q48" s="202">
        <v>1</v>
      </c>
      <c r="R48" s="202">
        <v>101</v>
      </c>
      <c r="S48" s="202">
        <v>1</v>
      </c>
    </row>
    <row r="49" spans="1:19" x14ac:dyDescent="0.35">
      <c r="A49" s="202">
        <v>4</v>
      </c>
      <c r="B49" s="202">
        <v>18</v>
      </c>
      <c r="C49" s="202">
        <v>2</v>
      </c>
      <c r="D49" s="202">
        <v>10</v>
      </c>
      <c r="E49" s="202">
        <v>44</v>
      </c>
      <c r="F49" s="202">
        <v>2</v>
      </c>
      <c r="G49" s="202">
        <v>20</v>
      </c>
      <c r="H49" s="202">
        <v>24</v>
      </c>
      <c r="I49" s="202">
        <v>1</v>
      </c>
      <c r="K49" s="202">
        <v>58</v>
      </c>
      <c r="L49" s="202">
        <v>24</v>
      </c>
      <c r="M49" s="202">
        <v>2</v>
      </c>
      <c r="N49" s="202">
        <v>15</v>
      </c>
      <c r="O49" s="202">
        <v>48</v>
      </c>
      <c r="P49" s="202">
        <v>1</v>
      </c>
      <c r="Q49" s="202">
        <v>20</v>
      </c>
      <c r="R49" s="202">
        <v>24</v>
      </c>
      <c r="S49" s="202">
        <v>1</v>
      </c>
    </row>
    <row r="50" spans="1:19" x14ac:dyDescent="0.35">
      <c r="A50" s="202">
        <v>4</v>
      </c>
      <c r="B50" s="202">
        <v>18</v>
      </c>
      <c r="C50" s="202">
        <v>2</v>
      </c>
      <c r="D50" s="202">
        <v>10</v>
      </c>
      <c r="E50" s="202">
        <v>44</v>
      </c>
      <c r="F50" s="202">
        <v>5</v>
      </c>
      <c r="G50" s="202">
        <v>20</v>
      </c>
      <c r="H50" s="202">
        <v>21</v>
      </c>
      <c r="I50" s="202">
        <v>1</v>
      </c>
      <c r="K50" s="202">
        <v>79</v>
      </c>
      <c r="L50" s="202">
        <v>42</v>
      </c>
      <c r="M50" s="202">
        <v>2</v>
      </c>
      <c r="N50" s="202">
        <v>10</v>
      </c>
      <c r="O50" s="202">
        <v>48</v>
      </c>
      <c r="P50" s="202">
        <v>5</v>
      </c>
      <c r="Q50" s="202">
        <v>2</v>
      </c>
      <c r="R50" s="202">
        <v>7</v>
      </c>
      <c r="S50" s="202">
        <v>2</v>
      </c>
    </row>
    <row r="51" spans="1:19" x14ac:dyDescent="0.35">
      <c r="A51" s="202">
        <v>4</v>
      </c>
      <c r="B51" s="202">
        <v>55</v>
      </c>
      <c r="C51" s="202">
        <v>2</v>
      </c>
      <c r="D51" s="202">
        <v>10</v>
      </c>
      <c r="E51" s="202">
        <v>1</v>
      </c>
      <c r="F51" s="202">
        <v>4</v>
      </c>
      <c r="G51" s="202">
        <v>2</v>
      </c>
      <c r="H51" s="202">
        <v>12</v>
      </c>
      <c r="I51" s="202">
        <v>1</v>
      </c>
      <c r="K51" s="202">
        <v>42</v>
      </c>
      <c r="L51" s="202">
        <v>93</v>
      </c>
      <c r="M51" s="202">
        <v>3</v>
      </c>
      <c r="N51" s="202">
        <v>15</v>
      </c>
      <c r="O51" s="202">
        <v>48</v>
      </c>
      <c r="P51" s="202">
        <v>4</v>
      </c>
      <c r="Q51" s="202">
        <v>20</v>
      </c>
      <c r="R51" s="202">
        <v>4</v>
      </c>
      <c r="S51" s="202">
        <v>1</v>
      </c>
    </row>
    <row r="52" spans="1:19" x14ac:dyDescent="0.35">
      <c r="A52" s="202">
        <v>4</v>
      </c>
      <c r="B52" s="202">
        <v>55</v>
      </c>
      <c r="C52" s="202">
        <v>2</v>
      </c>
      <c r="D52" s="202">
        <v>10</v>
      </c>
      <c r="E52" s="202">
        <v>1</v>
      </c>
      <c r="F52" s="202">
        <v>5</v>
      </c>
      <c r="G52" s="202">
        <v>5</v>
      </c>
      <c r="H52" s="202">
        <v>24</v>
      </c>
      <c r="I52" s="202">
        <v>1</v>
      </c>
      <c r="K52" s="202">
        <v>82</v>
      </c>
      <c r="L52" s="202">
        <v>44</v>
      </c>
      <c r="M52" s="202">
        <v>4</v>
      </c>
      <c r="N52" s="202">
        <v>15</v>
      </c>
      <c r="O52" s="202">
        <v>10</v>
      </c>
      <c r="P52" s="202">
        <v>1</v>
      </c>
      <c r="Q52" s="202">
        <v>2</v>
      </c>
      <c r="R52" s="202">
        <v>40</v>
      </c>
      <c r="S52" s="202">
        <v>2</v>
      </c>
    </row>
    <row r="53" spans="1:19" x14ac:dyDescent="0.35">
      <c r="A53" s="202">
        <v>4</v>
      </c>
      <c r="B53" s="202">
        <v>24</v>
      </c>
      <c r="C53" s="202">
        <v>2</v>
      </c>
      <c r="D53" s="202">
        <v>1</v>
      </c>
      <c r="E53" s="202">
        <v>49</v>
      </c>
      <c r="F53" s="202">
        <v>3</v>
      </c>
      <c r="G53" s="202">
        <v>25</v>
      </c>
      <c r="H53" s="202">
        <v>7</v>
      </c>
      <c r="I53" s="202">
        <v>2</v>
      </c>
      <c r="K53" s="202">
        <v>14</v>
      </c>
      <c r="L53" s="202">
        <v>99</v>
      </c>
      <c r="M53" s="202">
        <v>4</v>
      </c>
      <c r="N53" s="202">
        <v>18</v>
      </c>
      <c r="O53" s="202">
        <v>29</v>
      </c>
      <c r="P53" s="202">
        <v>2</v>
      </c>
      <c r="Q53" s="202">
        <v>25</v>
      </c>
      <c r="R53" s="202">
        <v>28</v>
      </c>
      <c r="S53" s="202">
        <v>2</v>
      </c>
    </row>
    <row r="54" spans="1:19" x14ac:dyDescent="0.35">
      <c r="A54" s="202">
        <v>4</v>
      </c>
      <c r="B54" s="202">
        <v>24</v>
      </c>
      <c r="C54" s="202">
        <v>2</v>
      </c>
      <c r="D54" s="202">
        <v>1</v>
      </c>
      <c r="E54" s="202">
        <v>49</v>
      </c>
      <c r="F54" s="202">
        <v>5</v>
      </c>
      <c r="G54" s="202">
        <v>23</v>
      </c>
      <c r="H54" s="202">
        <v>7</v>
      </c>
      <c r="I54" s="202">
        <v>2</v>
      </c>
      <c r="K54" s="202">
        <v>48</v>
      </c>
      <c r="L54" s="202">
        <v>108</v>
      </c>
      <c r="M54" s="202">
        <v>4</v>
      </c>
      <c r="N54" s="202">
        <v>8</v>
      </c>
      <c r="O54" s="202">
        <v>48</v>
      </c>
      <c r="P54" s="202">
        <v>3</v>
      </c>
      <c r="Q54" s="202">
        <v>24</v>
      </c>
      <c r="R54" s="202">
        <v>19</v>
      </c>
      <c r="S54" s="202">
        <v>1</v>
      </c>
    </row>
    <row r="55" spans="1:19" x14ac:dyDescent="0.35">
      <c r="A55" s="202">
        <v>4</v>
      </c>
      <c r="B55" s="202">
        <v>24</v>
      </c>
      <c r="C55" s="202">
        <v>2</v>
      </c>
      <c r="D55" s="202">
        <v>1</v>
      </c>
      <c r="E55" s="202">
        <v>51</v>
      </c>
      <c r="F55" s="202">
        <v>2</v>
      </c>
      <c r="G55" s="202">
        <v>25</v>
      </c>
      <c r="H55" s="202">
        <v>7</v>
      </c>
      <c r="I55" s="202">
        <v>2</v>
      </c>
      <c r="K55" s="202">
        <v>82</v>
      </c>
      <c r="L55" s="202">
        <v>32</v>
      </c>
      <c r="M55" s="202">
        <v>3</v>
      </c>
      <c r="N55" s="202">
        <v>15</v>
      </c>
      <c r="O55" s="202">
        <v>48</v>
      </c>
      <c r="P55" s="202">
        <v>5</v>
      </c>
      <c r="Q55" s="202">
        <v>20</v>
      </c>
      <c r="R55" s="202">
        <v>43</v>
      </c>
      <c r="S55" s="202">
        <v>2</v>
      </c>
    </row>
    <row r="56" spans="1:19" x14ac:dyDescent="0.35">
      <c r="A56" s="202">
        <v>4</v>
      </c>
      <c r="B56" s="202">
        <v>24</v>
      </c>
      <c r="C56" s="202">
        <v>2</v>
      </c>
      <c r="D56" s="202">
        <v>1</v>
      </c>
      <c r="E56" s="202">
        <v>51</v>
      </c>
      <c r="F56" s="202">
        <v>5</v>
      </c>
      <c r="G56" s="202">
        <v>23</v>
      </c>
      <c r="H56" s="202">
        <v>7</v>
      </c>
      <c r="I56" s="202">
        <v>2</v>
      </c>
      <c r="K56" s="202">
        <v>4</v>
      </c>
      <c r="L56" s="202">
        <v>17</v>
      </c>
      <c r="M56" s="202">
        <v>4</v>
      </c>
      <c r="N56" s="202">
        <v>18</v>
      </c>
      <c r="O56" s="202">
        <v>25</v>
      </c>
      <c r="P56" s="202">
        <v>5</v>
      </c>
      <c r="Q56" s="202">
        <v>11</v>
      </c>
      <c r="R56" s="202">
        <v>27</v>
      </c>
      <c r="S56" s="202">
        <v>2</v>
      </c>
    </row>
    <row r="57" spans="1:19" x14ac:dyDescent="0.35">
      <c r="A57" s="202">
        <v>5</v>
      </c>
      <c r="B57" s="202">
        <v>20</v>
      </c>
      <c r="C57" s="202">
        <v>3</v>
      </c>
      <c r="D57" s="202">
        <v>10</v>
      </c>
      <c r="E57" s="202">
        <v>50</v>
      </c>
      <c r="F57" s="202">
        <v>2</v>
      </c>
      <c r="G57" s="202">
        <v>19</v>
      </c>
      <c r="H57" s="202">
        <v>27</v>
      </c>
      <c r="I57" s="202">
        <v>2</v>
      </c>
      <c r="K57" s="202">
        <v>71</v>
      </c>
      <c r="L57" s="202">
        <v>25</v>
      </c>
      <c r="M57" s="202">
        <v>2</v>
      </c>
      <c r="N57" s="202">
        <v>8</v>
      </c>
      <c r="O57" s="202">
        <v>45</v>
      </c>
      <c r="P57" s="202">
        <v>3</v>
      </c>
      <c r="Q57" s="202">
        <v>2</v>
      </c>
      <c r="R57" s="202">
        <v>3</v>
      </c>
      <c r="S57" s="202">
        <v>1</v>
      </c>
    </row>
    <row r="58" spans="1:19" x14ac:dyDescent="0.35">
      <c r="A58" s="202">
        <v>5</v>
      </c>
      <c r="B58" s="202">
        <v>20</v>
      </c>
      <c r="C58" s="202">
        <v>3</v>
      </c>
      <c r="D58" s="202">
        <v>10</v>
      </c>
      <c r="E58" s="202">
        <v>50</v>
      </c>
      <c r="F58" s="202">
        <v>5</v>
      </c>
      <c r="G58" s="202">
        <v>19</v>
      </c>
      <c r="H58" s="202">
        <v>99</v>
      </c>
      <c r="I58" s="202">
        <v>2</v>
      </c>
      <c r="K58" s="202">
        <v>42</v>
      </c>
      <c r="L58" s="202">
        <v>83</v>
      </c>
      <c r="M58" s="202">
        <v>3</v>
      </c>
      <c r="N58" s="202">
        <v>15</v>
      </c>
      <c r="O58" s="202">
        <v>26</v>
      </c>
      <c r="P58" s="202">
        <v>1</v>
      </c>
      <c r="Q58" s="202">
        <v>23</v>
      </c>
      <c r="R58" s="202">
        <v>51</v>
      </c>
      <c r="S58" s="202">
        <v>2</v>
      </c>
    </row>
    <row r="59" spans="1:19" x14ac:dyDescent="0.35">
      <c r="A59" s="202">
        <v>5</v>
      </c>
      <c r="B59" s="202">
        <v>20</v>
      </c>
      <c r="C59" s="202">
        <v>3</v>
      </c>
      <c r="D59" s="202">
        <v>15</v>
      </c>
      <c r="E59" s="202">
        <v>50</v>
      </c>
      <c r="F59" s="202">
        <v>2</v>
      </c>
      <c r="G59" s="202">
        <v>1</v>
      </c>
      <c r="H59" s="202">
        <v>28</v>
      </c>
      <c r="I59" s="202">
        <v>1</v>
      </c>
      <c r="K59" s="202">
        <v>24</v>
      </c>
      <c r="L59" s="202">
        <v>25</v>
      </c>
      <c r="M59" s="202">
        <v>2</v>
      </c>
      <c r="N59" s="202">
        <v>18</v>
      </c>
      <c r="O59" s="202">
        <v>27</v>
      </c>
      <c r="P59" s="202">
        <v>2</v>
      </c>
      <c r="Q59" s="202">
        <v>1</v>
      </c>
      <c r="R59" s="202">
        <v>22</v>
      </c>
      <c r="S59" s="202">
        <v>2</v>
      </c>
    </row>
    <row r="60" spans="1:19" x14ac:dyDescent="0.35">
      <c r="A60" s="202">
        <v>5</v>
      </c>
      <c r="B60" s="202">
        <v>20</v>
      </c>
      <c r="C60" s="202">
        <v>3</v>
      </c>
      <c r="D60" s="202">
        <v>15</v>
      </c>
      <c r="E60" s="202">
        <v>50</v>
      </c>
      <c r="F60" s="202">
        <v>4</v>
      </c>
      <c r="G60" s="202">
        <v>10</v>
      </c>
      <c r="H60" s="202">
        <v>27</v>
      </c>
      <c r="I60" s="202">
        <v>1</v>
      </c>
      <c r="K60" s="202">
        <v>33</v>
      </c>
      <c r="L60" s="202">
        <v>17</v>
      </c>
      <c r="M60" s="202">
        <v>2</v>
      </c>
      <c r="N60" s="202">
        <v>8</v>
      </c>
      <c r="O60" s="202">
        <v>43</v>
      </c>
      <c r="P60" s="202">
        <v>2</v>
      </c>
      <c r="Q60" s="202">
        <v>2</v>
      </c>
      <c r="R60" s="202">
        <v>31</v>
      </c>
      <c r="S60" s="202">
        <v>1</v>
      </c>
    </row>
    <row r="61" spans="1:19" x14ac:dyDescent="0.35">
      <c r="A61" s="202">
        <v>5</v>
      </c>
      <c r="B61" s="202">
        <v>47</v>
      </c>
      <c r="C61" s="202">
        <v>1</v>
      </c>
      <c r="D61" s="202">
        <v>10</v>
      </c>
      <c r="E61" s="202">
        <v>42</v>
      </c>
      <c r="F61" s="202">
        <v>3</v>
      </c>
      <c r="G61" s="202">
        <v>25</v>
      </c>
      <c r="H61" s="202">
        <v>29</v>
      </c>
      <c r="I61" s="202">
        <v>2</v>
      </c>
      <c r="K61" s="202">
        <v>34</v>
      </c>
      <c r="L61" s="202">
        <v>109</v>
      </c>
      <c r="M61" s="202">
        <v>2</v>
      </c>
      <c r="N61" s="202">
        <v>15</v>
      </c>
      <c r="O61" s="202">
        <v>26</v>
      </c>
      <c r="P61" s="202">
        <v>1</v>
      </c>
      <c r="Q61" s="202">
        <v>21</v>
      </c>
      <c r="R61" s="202">
        <v>41</v>
      </c>
      <c r="S61" s="202">
        <v>1</v>
      </c>
    </row>
    <row r="62" spans="1:19" x14ac:dyDescent="0.35">
      <c r="A62" s="202">
        <v>5</v>
      </c>
      <c r="B62" s="202">
        <v>47</v>
      </c>
      <c r="C62" s="202">
        <v>1</v>
      </c>
      <c r="D62" s="202">
        <v>10</v>
      </c>
      <c r="E62" s="202">
        <v>42</v>
      </c>
      <c r="F62" s="202">
        <v>5</v>
      </c>
      <c r="G62" s="202">
        <v>10</v>
      </c>
      <c r="H62" s="202">
        <v>18</v>
      </c>
      <c r="I62" s="202">
        <v>2</v>
      </c>
      <c r="K62" s="202">
        <v>17</v>
      </c>
      <c r="L62" s="202">
        <v>25</v>
      </c>
      <c r="M62" s="202">
        <v>4</v>
      </c>
      <c r="N62" s="202">
        <v>18</v>
      </c>
      <c r="O62" s="202">
        <v>27</v>
      </c>
      <c r="P62" s="202">
        <v>2</v>
      </c>
      <c r="Q62" s="202">
        <v>17</v>
      </c>
      <c r="R62" s="202">
        <v>69</v>
      </c>
      <c r="S62" s="202">
        <v>2</v>
      </c>
    </row>
    <row r="63" spans="1:19" x14ac:dyDescent="0.35">
      <c r="A63" s="202">
        <v>5</v>
      </c>
      <c r="B63" s="202">
        <v>31</v>
      </c>
      <c r="C63" s="202">
        <v>4</v>
      </c>
      <c r="D63" s="202">
        <v>10</v>
      </c>
      <c r="E63" s="202">
        <v>50</v>
      </c>
      <c r="F63" s="202">
        <v>1</v>
      </c>
      <c r="G63" s="202">
        <v>8</v>
      </c>
      <c r="H63" s="202">
        <v>99</v>
      </c>
      <c r="I63" s="202">
        <v>2</v>
      </c>
      <c r="K63" s="202">
        <v>31</v>
      </c>
      <c r="L63" s="202">
        <v>17</v>
      </c>
      <c r="M63" s="202">
        <v>4</v>
      </c>
      <c r="N63" s="202">
        <v>10</v>
      </c>
      <c r="O63" s="202">
        <v>48</v>
      </c>
      <c r="P63" s="202">
        <v>2</v>
      </c>
      <c r="Q63" s="202">
        <v>18</v>
      </c>
      <c r="R63" s="202">
        <v>38</v>
      </c>
      <c r="S63" s="202">
        <v>1</v>
      </c>
    </row>
    <row r="64" spans="1:19" x14ac:dyDescent="0.35">
      <c r="A64" s="202">
        <v>5</v>
      </c>
      <c r="B64" s="202">
        <v>31</v>
      </c>
      <c r="C64" s="202">
        <v>4</v>
      </c>
      <c r="D64" s="202">
        <v>10</v>
      </c>
      <c r="E64" s="202">
        <v>50</v>
      </c>
      <c r="F64" s="202">
        <v>4</v>
      </c>
      <c r="G64" s="202">
        <v>20</v>
      </c>
      <c r="H64" s="202">
        <v>17</v>
      </c>
      <c r="I64" s="202">
        <v>2</v>
      </c>
      <c r="K64" s="202">
        <v>16</v>
      </c>
      <c r="L64" s="202">
        <v>51</v>
      </c>
      <c r="M64" s="202">
        <v>3</v>
      </c>
      <c r="N64" s="202">
        <v>15</v>
      </c>
      <c r="O64" s="202">
        <v>43</v>
      </c>
      <c r="P64" s="202">
        <v>4</v>
      </c>
      <c r="Q64" s="202">
        <v>8</v>
      </c>
      <c r="R64" s="202">
        <v>16</v>
      </c>
      <c r="S64" s="202">
        <v>2</v>
      </c>
    </row>
    <row r="65" spans="1:19" x14ac:dyDescent="0.35">
      <c r="A65" s="202">
        <v>5</v>
      </c>
      <c r="B65" s="202">
        <v>27</v>
      </c>
      <c r="C65" s="202">
        <v>3</v>
      </c>
      <c r="D65" s="202">
        <v>10</v>
      </c>
      <c r="E65" s="202">
        <v>42</v>
      </c>
      <c r="F65" s="202">
        <v>2</v>
      </c>
      <c r="G65" s="202">
        <v>7</v>
      </c>
      <c r="H65" s="202">
        <v>27</v>
      </c>
      <c r="I65" s="202">
        <v>1</v>
      </c>
      <c r="K65" s="202">
        <v>25</v>
      </c>
      <c r="L65" s="202">
        <v>87</v>
      </c>
      <c r="M65" s="202">
        <v>4</v>
      </c>
      <c r="N65" s="202">
        <v>8</v>
      </c>
      <c r="O65" s="202">
        <v>48</v>
      </c>
      <c r="P65" s="202">
        <v>2</v>
      </c>
      <c r="Q65" s="202">
        <v>25</v>
      </c>
      <c r="R65" s="202">
        <v>62</v>
      </c>
      <c r="S65" s="202">
        <v>1</v>
      </c>
    </row>
    <row r="66" spans="1:19" x14ac:dyDescent="0.35">
      <c r="A66" s="202">
        <v>5</v>
      </c>
      <c r="B66" s="202">
        <v>27</v>
      </c>
      <c r="C66" s="202">
        <v>3</v>
      </c>
      <c r="D66" s="202">
        <v>10</v>
      </c>
      <c r="E66" s="202">
        <v>42</v>
      </c>
      <c r="F66" s="202">
        <v>3</v>
      </c>
      <c r="G66" s="202">
        <v>25</v>
      </c>
      <c r="H66" s="202">
        <v>30</v>
      </c>
      <c r="I66" s="202">
        <v>1</v>
      </c>
      <c r="K66" s="202">
        <v>77</v>
      </c>
      <c r="L66" s="202">
        <v>11</v>
      </c>
      <c r="M66" s="202">
        <v>1</v>
      </c>
      <c r="N66" s="202">
        <v>10</v>
      </c>
      <c r="O66" s="202">
        <v>42</v>
      </c>
      <c r="P66" s="202">
        <v>2</v>
      </c>
      <c r="Q66" s="202">
        <v>3</v>
      </c>
      <c r="R66" s="202">
        <v>5</v>
      </c>
      <c r="S66" s="202">
        <v>2</v>
      </c>
    </row>
    <row r="67" spans="1:19" x14ac:dyDescent="0.35">
      <c r="A67" s="202">
        <v>5</v>
      </c>
      <c r="B67" s="202">
        <v>27</v>
      </c>
      <c r="C67" s="202">
        <v>3</v>
      </c>
      <c r="D67" s="202">
        <v>10</v>
      </c>
      <c r="E67" s="202">
        <v>43</v>
      </c>
      <c r="F67" s="202">
        <v>1</v>
      </c>
      <c r="G67" s="202">
        <v>10</v>
      </c>
      <c r="H67" s="202">
        <v>31</v>
      </c>
      <c r="I67" s="202">
        <v>1</v>
      </c>
      <c r="K67" s="202">
        <v>78</v>
      </c>
      <c r="L67" s="202">
        <v>10</v>
      </c>
      <c r="M67" s="202">
        <v>4</v>
      </c>
      <c r="N67" s="202">
        <v>15</v>
      </c>
      <c r="O67" s="202">
        <v>43</v>
      </c>
      <c r="P67" s="202">
        <v>1</v>
      </c>
      <c r="Q67" s="202">
        <v>11</v>
      </c>
      <c r="R67" s="202">
        <v>24</v>
      </c>
      <c r="S67" s="202">
        <v>1</v>
      </c>
    </row>
    <row r="68" spans="1:19" x14ac:dyDescent="0.35">
      <c r="A68" s="202">
        <v>5</v>
      </c>
      <c r="B68" s="202">
        <v>27</v>
      </c>
      <c r="C68" s="202">
        <v>3</v>
      </c>
      <c r="D68" s="202">
        <v>10</v>
      </c>
      <c r="E68" s="202">
        <v>43</v>
      </c>
      <c r="F68" s="202">
        <v>5</v>
      </c>
      <c r="G68" s="202">
        <v>10</v>
      </c>
      <c r="H68" s="202">
        <v>27</v>
      </c>
      <c r="I68" s="202">
        <v>1</v>
      </c>
      <c r="K68" s="202">
        <v>22</v>
      </c>
      <c r="L68" s="202">
        <v>25</v>
      </c>
      <c r="M68" s="202">
        <v>4</v>
      </c>
      <c r="N68" s="202">
        <v>10</v>
      </c>
      <c r="O68" s="202">
        <v>49</v>
      </c>
      <c r="P68" s="202">
        <v>3</v>
      </c>
      <c r="Q68" s="202">
        <v>20</v>
      </c>
      <c r="R68" s="202">
        <v>36</v>
      </c>
      <c r="S68" s="202">
        <v>1</v>
      </c>
    </row>
    <row r="69" spans="1:19" x14ac:dyDescent="0.35">
      <c r="A69" s="202">
        <v>5</v>
      </c>
      <c r="B69" s="202">
        <v>27</v>
      </c>
      <c r="C69" s="202">
        <v>3</v>
      </c>
      <c r="D69" s="202">
        <v>10</v>
      </c>
      <c r="E69" s="202">
        <v>44</v>
      </c>
      <c r="F69" s="202">
        <v>1</v>
      </c>
      <c r="G69" s="202">
        <v>1</v>
      </c>
      <c r="H69" s="202">
        <v>99</v>
      </c>
      <c r="I69" s="202">
        <v>2</v>
      </c>
      <c r="K69" s="202">
        <v>21</v>
      </c>
      <c r="L69" s="202">
        <v>84</v>
      </c>
      <c r="M69" s="202">
        <v>1</v>
      </c>
      <c r="N69" s="202">
        <v>8</v>
      </c>
      <c r="O69" s="202">
        <v>48</v>
      </c>
      <c r="P69" s="202">
        <v>3</v>
      </c>
      <c r="Q69" s="202">
        <v>20</v>
      </c>
      <c r="R69" s="202">
        <v>1</v>
      </c>
      <c r="S69" s="202">
        <v>3</v>
      </c>
    </row>
    <row r="70" spans="1:19" x14ac:dyDescent="0.35">
      <c r="A70" s="202">
        <v>5</v>
      </c>
      <c r="B70" s="202">
        <v>27</v>
      </c>
      <c r="C70" s="202">
        <v>3</v>
      </c>
      <c r="D70" s="202">
        <v>10</v>
      </c>
      <c r="E70" s="202">
        <v>44</v>
      </c>
      <c r="F70" s="202">
        <v>5</v>
      </c>
      <c r="G70" s="202">
        <v>1</v>
      </c>
      <c r="H70" s="202">
        <v>99</v>
      </c>
      <c r="I70" s="202">
        <v>2</v>
      </c>
      <c r="K70" s="202">
        <v>20</v>
      </c>
      <c r="L70" s="202">
        <v>63</v>
      </c>
      <c r="M70" s="202">
        <v>2</v>
      </c>
      <c r="N70" s="202">
        <v>18</v>
      </c>
      <c r="O70" s="202">
        <v>51</v>
      </c>
      <c r="P70" s="202">
        <v>2</v>
      </c>
      <c r="Q70" s="202">
        <v>20</v>
      </c>
      <c r="R70" s="202">
        <v>17</v>
      </c>
      <c r="S70" s="202">
        <v>3</v>
      </c>
    </row>
    <row r="71" spans="1:19" x14ac:dyDescent="0.35">
      <c r="A71" s="202">
        <v>5</v>
      </c>
      <c r="B71" s="202">
        <v>22</v>
      </c>
      <c r="C71" s="202">
        <v>4</v>
      </c>
      <c r="D71" s="202">
        <v>10</v>
      </c>
      <c r="E71" s="202">
        <v>1</v>
      </c>
      <c r="F71" s="202">
        <v>1</v>
      </c>
      <c r="G71" s="202">
        <v>24</v>
      </c>
      <c r="H71" s="202">
        <v>3</v>
      </c>
      <c r="I71" s="202">
        <v>3</v>
      </c>
      <c r="K71" s="202">
        <v>81</v>
      </c>
      <c r="L71" s="202">
        <v>20</v>
      </c>
      <c r="M71" s="202">
        <v>4</v>
      </c>
      <c r="N71" s="202">
        <v>8</v>
      </c>
      <c r="O71" s="202">
        <v>26</v>
      </c>
      <c r="P71" s="202">
        <v>2</v>
      </c>
      <c r="Q71" s="202">
        <v>20</v>
      </c>
      <c r="R71" s="202">
        <v>18</v>
      </c>
      <c r="S71" s="202">
        <v>1</v>
      </c>
    </row>
    <row r="72" spans="1:19" x14ac:dyDescent="0.35">
      <c r="A72" s="202">
        <v>6</v>
      </c>
      <c r="B72" s="202">
        <v>32</v>
      </c>
      <c r="C72" s="202">
        <v>4</v>
      </c>
      <c r="D72" s="202">
        <v>8</v>
      </c>
      <c r="E72" s="202">
        <v>25</v>
      </c>
      <c r="F72" s="202">
        <v>2</v>
      </c>
      <c r="G72" s="202">
        <v>2</v>
      </c>
      <c r="H72" s="202">
        <v>1</v>
      </c>
      <c r="I72" s="202">
        <v>1</v>
      </c>
      <c r="K72" s="202">
        <v>82</v>
      </c>
      <c r="L72" s="202">
        <v>24</v>
      </c>
      <c r="M72" s="202">
        <v>4</v>
      </c>
      <c r="N72" s="202">
        <v>10</v>
      </c>
      <c r="O72" s="202">
        <v>50</v>
      </c>
      <c r="P72" s="202">
        <v>4</v>
      </c>
      <c r="Q72" s="202">
        <v>20</v>
      </c>
      <c r="R72" s="202">
        <v>29</v>
      </c>
      <c r="S72" s="202">
        <v>1</v>
      </c>
    </row>
    <row r="73" spans="1:19" x14ac:dyDescent="0.35">
      <c r="A73" s="202">
        <v>6</v>
      </c>
      <c r="B73" s="202">
        <v>32</v>
      </c>
      <c r="C73" s="202">
        <v>4</v>
      </c>
      <c r="D73" s="202">
        <v>8</v>
      </c>
      <c r="E73" s="202">
        <v>25</v>
      </c>
      <c r="F73" s="202">
        <v>4</v>
      </c>
      <c r="G73" s="202">
        <v>2</v>
      </c>
      <c r="H73" s="202">
        <v>1</v>
      </c>
      <c r="I73" s="202">
        <v>1</v>
      </c>
      <c r="K73" s="202">
        <v>11</v>
      </c>
      <c r="L73" s="202">
        <v>83</v>
      </c>
      <c r="M73" s="202">
        <v>4</v>
      </c>
      <c r="N73" s="202">
        <v>15</v>
      </c>
      <c r="O73" s="202">
        <v>45</v>
      </c>
      <c r="P73" s="202">
        <v>5</v>
      </c>
      <c r="Q73" s="202">
        <v>20</v>
      </c>
      <c r="R73" s="202">
        <v>8</v>
      </c>
      <c r="S73" s="202">
        <v>1</v>
      </c>
    </row>
    <row r="74" spans="1:19" x14ac:dyDescent="0.35">
      <c r="A74" s="202">
        <v>6</v>
      </c>
      <c r="B74" s="202">
        <v>32</v>
      </c>
      <c r="C74" s="202">
        <v>4</v>
      </c>
      <c r="D74" s="202">
        <v>8</v>
      </c>
      <c r="E74" s="202">
        <v>26</v>
      </c>
      <c r="F74" s="202">
        <v>2</v>
      </c>
      <c r="G74" s="202">
        <v>11</v>
      </c>
      <c r="H74" s="202">
        <v>1</v>
      </c>
      <c r="I74" s="202">
        <v>1</v>
      </c>
      <c r="K74" s="202">
        <v>24</v>
      </c>
      <c r="L74" s="202">
        <v>25</v>
      </c>
      <c r="M74" s="202">
        <v>2</v>
      </c>
      <c r="N74" s="202">
        <v>8</v>
      </c>
      <c r="O74" s="202">
        <v>43</v>
      </c>
      <c r="P74" s="202">
        <v>1</v>
      </c>
      <c r="Q74" s="202">
        <v>2</v>
      </c>
      <c r="R74" s="202">
        <v>2</v>
      </c>
      <c r="S74" s="202">
        <v>2</v>
      </c>
    </row>
    <row r="75" spans="1:19" x14ac:dyDescent="0.35">
      <c r="A75" s="202">
        <v>6</v>
      </c>
      <c r="B75" s="202">
        <v>32</v>
      </c>
      <c r="C75" s="202">
        <v>4</v>
      </c>
      <c r="D75" s="202">
        <v>8</v>
      </c>
      <c r="E75" s="202">
        <v>26</v>
      </c>
      <c r="F75" s="202">
        <v>4</v>
      </c>
      <c r="G75" s="202">
        <v>11</v>
      </c>
      <c r="H75" s="202">
        <v>1</v>
      </c>
      <c r="I75" s="202">
        <v>1</v>
      </c>
      <c r="K75" s="202">
        <v>61</v>
      </c>
      <c r="L75" s="202">
        <v>24</v>
      </c>
      <c r="M75" s="202">
        <v>4</v>
      </c>
      <c r="N75" s="202">
        <v>4</v>
      </c>
      <c r="O75" s="202">
        <v>7</v>
      </c>
      <c r="P75" s="202">
        <v>3</v>
      </c>
      <c r="Q75" s="202">
        <v>18</v>
      </c>
      <c r="R75" s="202">
        <v>8</v>
      </c>
      <c r="S75" s="202">
        <v>2</v>
      </c>
    </row>
    <row r="76" spans="1:19" x14ac:dyDescent="0.35">
      <c r="A76" s="202">
        <v>6</v>
      </c>
      <c r="B76" s="202">
        <v>3</v>
      </c>
      <c r="C76" s="202">
        <v>4</v>
      </c>
      <c r="D76" s="202">
        <v>18</v>
      </c>
      <c r="E76" s="202">
        <v>42</v>
      </c>
      <c r="F76" s="202">
        <v>1</v>
      </c>
      <c r="G76" s="202">
        <v>11</v>
      </c>
      <c r="H76" s="202">
        <v>32</v>
      </c>
      <c r="I76" s="202">
        <v>2</v>
      </c>
      <c r="K76" s="202">
        <v>3</v>
      </c>
      <c r="L76" s="202">
        <v>26</v>
      </c>
      <c r="M76" s="202">
        <v>4</v>
      </c>
      <c r="N76" s="202">
        <v>8</v>
      </c>
      <c r="O76" s="202">
        <v>43</v>
      </c>
      <c r="P76" s="202">
        <v>4</v>
      </c>
      <c r="Q76" s="202">
        <v>7</v>
      </c>
      <c r="R76" s="202">
        <v>45</v>
      </c>
      <c r="S76" s="202">
        <v>2</v>
      </c>
    </row>
    <row r="77" spans="1:19" x14ac:dyDescent="0.35">
      <c r="A77" s="202">
        <v>6</v>
      </c>
      <c r="B77" s="202">
        <v>3</v>
      </c>
      <c r="C77" s="202">
        <v>4</v>
      </c>
      <c r="D77" s="202">
        <v>18</v>
      </c>
      <c r="E77" s="202">
        <v>42</v>
      </c>
      <c r="F77" s="202">
        <v>3</v>
      </c>
      <c r="G77" s="202">
        <v>12</v>
      </c>
      <c r="H77" s="202">
        <v>29</v>
      </c>
      <c r="I77" s="202">
        <v>2</v>
      </c>
      <c r="K77" s="202">
        <v>26</v>
      </c>
      <c r="L77" s="202">
        <v>74</v>
      </c>
      <c r="M77" s="202">
        <v>3</v>
      </c>
      <c r="N77" s="202">
        <v>15</v>
      </c>
      <c r="O77" s="202">
        <v>49</v>
      </c>
      <c r="P77" s="202">
        <v>4</v>
      </c>
      <c r="Q77" s="202">
        <v>23</v>
      </c>
      <c r="R77" s="202">
        <v>3</v>
      </c>
      <c r="S77" s="202">
        <v>2</v>
      </c>
    </row>
    <row r="78" spans="1:19" x14ac:dyDescent="0.35">
      <c r="A78" s="202">
        <v>6</v>
      </c>
      <c r="B78" s="202">
        <v>4</v>
      </c>
      <c r="C78" s="202">
        <v>4</v>
      </c>
      <c r="D78" s="202">
        <v>18</v>
      </c>
      <c r="E78" s="202">
        <v>25</v>
      </c>
      <c r="F78" s="202">
        <v>4</v>
      </c>
      <c r="G78" s="202">
        <v>18</v>
      </c>
      <c r="H78" s="202">
        <v>19</v>
      </c>
      <c r="I78" s="202">
        <v>1</v>
      </c>
      <c r="K78" s="202">
        <v>81</v>
      </c>
      <c r="L78" s="202">
        <v>78</v>
      </c>
      <c r="M78" s="202">
        <v>2</v>
      </c>
      <c r="N78" s="202">
        <v>17</v>
      </c>
      <c r="O78" s="202">
        <v>51</v>
      </c>
      <c r="P78" s="202">
        <v>1</v>
      </c>
      <c r="Q78" s="202">
        <v>2</v>
      </c>
      <c r="R78" s="202">
        <v>33</v>
      </c>
      <c r="S78" s="202">
        <v>3</v>
      </c>
    </row>
    <row r="79" spans="1:19" x14ac:dyDescent="0.35">
      <c r="A79" s="202">
        <v>6</v>
      </c>
      <c r="B79" s="202">
        <v>4</v>
      </c>
      <c r="C79" s="202">
        <v>4</v>
      </c>
      <c r="D79" s="202">
        <v>18</v>
      </c>
      <c r="E79" s="202">
        <v>25</v>
      </c>
      <c r="F79" s="202">
        <v>5</v>
      </c>
      <c r="G79" s="202">
        <v>20</v>
      </c>
      <c r="H79" s="202">
        <v>19</v>
      </c>
      <c r="I79" s="202">
        <v>1</v>
      </c>
      <c r="K79" s="202">
        <v>38</v>
      </c>
      <c r="L79" s="202">
        <v>88</v>
      </c>
      <c r="M79" s="202">
        <v>1</v>
      </c>
      <c r="N79" s="202">
        <v>15</v>
      </c>
      <c r="O79" s="202">
        <v>52</v>
      </c>
      <c r="P79" s="202">
        <v>5</v>
      </c>
      <c r="Q79" s="202">
        <v>24</v>
      </c>
      <c r="R79" s="202">
        <v>18</v>
      </c>
      <c r="S79" s="202">
        <v>1</v>
      </c>
    </row>
    <row r="80" spans="1:19" x14ac:dyDescent="0.35">
      <c r="A80" s="202">
        <v>6</v>
      </c>
      <c r="B80" s="202">
        <v>34</v>
      </c>
      <c r="C80" s="202">
        <v>3</v>
      </c>
      <c r="D80" s="202">
        <v>18</v>
      </c>
      <c r="E80" s="202">
        <v>25</v>
      </c>
      <c r="F80" s="202">
        <v>2</v>
      </c>
      <c r="G80" s="202">
        <v>10</v>
      </c>
      <c r="H80" s="202">
        <v>21</v>
      </c>
      <c r="I80" s="202">
        <v>2</v>
      </c>
      <c r="K80" s="202">
        <v>14</v>
      </c>
      <c r="L80" s="202">
        <v>86</v>
      </c>
      <c r="M80" s="202">
        <v>1</v>
      </c>
      <c r="N80" s="202">
        <v>10</v>
      </c>
      <c r="O80" s="202">
        <v>48</v>
      </c>
      <c r="P80" s="202">
        <v>3</v>
      </c>
      <c r="Q80" s="202">
        <v>20</v>
      </c>
      <c r="R80" s="202">
        <v>69</v>
      </c>
      <c r="S80" s="202">
        <v>1</v>
      </c>
    </row>
    <row r="81" spans="1:19" x14ac:dyDescent="0.35">
      <c r="A81" s="202">
        <v>6</v>
      </c>
      <c r="B81" s="202">
        <v>34</v>
      </c>
      <c r="C81" s="202">
        <v>3</v>
      </c>
      <c r="D81" s="202">
        <v>18</v>
      </c>
      <c r="E81" s="202">
        <v>25</v>
      </c>
      <c r="F81" s="202">
        <v>5</v>
      </c>
      <c r="G81" s="202">
        <v>1</v>
      </c>
      <c r="H81" s="202">
        <v>33</v>
      </c>
      <c r="I81" s="202">
        <v>2</v>
      </c>
      <c r="K81" s="202">
        <v>41</v>
      </c>
      <c r="L81" s="202">
        <v>2</v>
      </c>
      <c r="M81" s="202">
        <v>2</v>
      </c>
      <c r="N81" s="202">
        <v>5</v>
      </c>
      <c r="O81" s="202">
        <v>48</v>
      </c>
      <c r="P81" s="202">
        <v>5</v>
      </c>
      <c r="Q81" s="202">
        <v>2</v>
      </c>
      <c r="R81" s="202">
        <v>33</v>
      </c>
      <c r="S81" s="202">
        <v>2</v>
      </c>
    </row>
    <row r="82" spans="1:19" x14ac:dyDescent="0.35">
      <c r="A82" s="202">
        <v>6</v>
      </c>
      <c r="B82" s="202">
        <v>51</v>
      </c>
      <c r="C82" s="202">
        <v>1</v>
      </c>
      <c r="D82" s="202">
        <v>16</v>
      </c>
      <c r="E82" s="202">
        <v>48</v>
      </c>
      <c r="F82" s="202">
        <v>1</v>
      </c>
      <c r="G82" s="202">
        <v>2</v>
      </c>
      <c r="H82" s="202">
        <v>8</v>
      </c>
      <c r="I82" s="202">
        <v>2</v>
      </c>
      <c r="K82" s="202">
        <v>38</v>
      </c>
      <c r="L82" s="202">
        <v>13</v>
      </c>
      <c r="M82" s="202">
        <v>3</v>
      </c>
      <c r="N82" s="202">
        <v>9</v>
      </c>
      <c r="O82" s="202">
        <v>27</v>
      </c>
      <c r="P82" s="202">
        <v>4</v>
      </c>
      <c r="Q82" s="202">
        <v>23</v>
      </c>
      <c r="R82" s="202">
        <v>46</v>
      </c>
      <c r="S82" s="202">
        <v>2</v>
      </c>
    </row>
    <row r="83" spans="1:19" x14ac:dyDescent="0.35">
      <c r="A83" s="202">
        <v>6</v>
      </c>
      <c r="B83" s="202">
        <v>51</v>
      </c>
      <c r="C83" s="202">
        <v>1</v>
      </c>
      <c r="D83" s="202">
        <v>17</v>
      </c>
      <c r="E83" s="202">
        <v>48</v>
      </c>
      <c r="F83" s="202">
        <v>2</v>
      </c>
      <c r="G83" s="202">
        <v>2</v>
      </c>
      <c r="H83" s="202">
        <v>8</v>
      </c>
      <c r="I83" s="202">
        <v>2</v>
      </c>
      <c r="K83" s="202">
        <v>29</v>
      </c>
      <c r="L83" s="202">
        <v>59</v>
      </c>
      <c r="M83" s="202">
        <v>3</v>
      </c>
      <c r="N83" s="202">
        <v>1</v>
      </c>
      <c r="O83" s="202">
        <v>48</v>
      </c>
      <c r="P83" s="202">
        <v>4</v>
      </c>
      <c r="Q83" s="202">
        <v>2</v>
      </c>
      <c r="R83" s="202">
        <v>11</v>
      </c>
      <c r="S83" s="202">
        <v>2</v>
      </c>
    </row>
    <row r="84" spans="1:19" x14ac:dyDescent="0.35">
      <c r="A84" s="202">
        <v>6</v>
      </c>
      <c r="B84" s="202">
        <v>2</v>
      </c>
      <c r="C84" s="202">
        <v>2</v>
      </c>
      <c r="D84" s="202">
        <v>17</v>
      </c>
      <c r="E84" s="202">
        <v>42</v>
      </c>
      <c r="F84" s="202">
        <v>1</v>
      </c>
      <c r="G84" s="202">
        <v>22</v>
      </c>
      <c r="H84" s="202">
        <v>22</v>
      </c>
      <c r="I84" s="202">
        <v>1</v>
      </c>
      <c r="K84" s="202">
        <v>77</v>
      </c>
      <c r="L84" s="202">
        <v>30</v>
      </c>
      <c r="M84" s="202">
        <v>3</v>
      </c>
      <c r="N84" s="202">
        <v>15</v>
      </c>
      <c r="O84" s="202">
        <v>43</v>
      </c>
      <c r="P84" s="202">
        <v>2</v>
      </c>
      <c r="Q84" s="202">
        <v>11</v>
      </c>
      <c r="R84" s="202">
        <v>2</v>
      </c>
      <c r="S84" s="202">
        <v>2</v>
      </c>
    </row>
    <row r="85" spans="1:19" x14ac:dyDescent="0.35">
      <c r="A85" s="202">
        <v>6</v>
      </c>
      <c r="B85" s="202">
        <v>2</v>
      </c>
      <c r="C85" s="202">
        <v>2</v>
      </c>
      <c r="D85" s="202">
        <v>17</v>
      </c>
      <c r="E85" s="202">
        <v>42</v>
      </c>
      <c r="F85" s="202">
        <v>4</v>
      </c>
      <c r="G85" s="202">
        <v>22</v>
      </c>
      <c r="H85" s="202">
        <v>22</v>
      </c>
      <c r="I85" s="202">
        <v>1</v>
      </c>
      <c r="K85" s="202">
        <v>70</v>
      </c>
      <c r="L85" s="202">
        <v>70</v>
      </c>
      <c r="M85" s="202">
        <v>3</v>
      </c>
      <c r="N85" s="202">
        <v>10</v>
      </c>
      <c r="O85" s="202">
        <v>4</v>
      </c>
      <c r="P85" s="202">
        <v>2</v>
      </c>
      <c r="Q85" s="202">
        <v>23</v>
      </c>
      <c r="R85" s="202">
        <v>36</v>
      </c>
      <c r="S85" s="202">
        <v>2</v>
      </c>
    </row>
    <row r="86" spans="1:19" x14ac:dyDescent="0.35">
      <c r="A86" s="202">
        <v>7</v>
      </c>
      <c r="B86" s="202">
        <v>10</v>
      </c>
      <c r="C86" s="202">
        <v>4</v>
      </c>
      <c r="D86" s="202">
        <v>15</v>
      </c>
      <c r="E86" s="202">
        <v>43</v>
      </c>
      <c r="F86" s="202">
        <v>1</v>
      </c>
      <c r="G86" s="202">
        <v>2</v>
      </c>
      <c r="H86" s="202">
        <v>34</v>
      </c>
      <c r="I86" s="202">
        <v>2</v>
      </c>
      <c r="K86" s="202">
        <v>60</v>
      </c>
      <c r="L86" s="202">
        <v>67</v>
      </c>
      <c r="M86" s="202">
        <v>1</v>
      </c>
      <c r="N86" s="202">
        <v>17</v>
      </c>
      <c r="O86" s="202">
        <v>50</v>
      </c>
      <c r="P86" s="202">
        <v>4</v>
      </c>
      <c r="Q86" s="202">
        <v>10</v>
      </c>
      <c r="R86" s="202">
        <v>31</v>
      </c>
      <c r="S86" s="202">
        <v>2</v>
      </c>
    </row>
    <row r="87" spans="1:19" x14ac:dyDescent="0.35">
      <c r="A87" s="202">
        <v>7</v>
      </c>
      <c r="B87" s="202">
        <v>10</v>
      </c>
      <c r="C87" s="202">
        <v>4</v>
      </c>
      <c r="D87" s="202">
        <v>15</v>
      </c>
      <c r="E87" s="202">
        <v>43</v>
      </c>
      <c r="F87" s="202">
        <v>4</v>
      </c>
      <c r="G87" s="202">
        <v>11</v>
      </c>
      <c r="H87" s="202">
        <v>35</v>
      </c>
      <c r="I87" s="202">
        <v>2</v>
      </c>
      <c r="K87" s="202">
        <v>68</v>
      </c>
      <c r="L87" s="202">
        <v>50</v>
      </c>
      <c r="M87" s="202">
        <v>2</v>
      </c>
      <c r="N87" s="202">
        <v>18</v>
      </c>
      <c r="O87" s="202">
        <v>25</v>
      </c>
      <c r="P87" s="202">
        <v>5</v>
      </c>
      <c r="Q87" s="202">
        <v>23</v>
      </c>
      <c r="R87" s="202">
        <v>19</v>
      </c>
      <c r="S87" s="202">
        <v>2</v>
      </c>
    </row>
    <row r="88" spans="1:19" x14ac:dyDescent="0.35">
      <c r="A88" s="202">
        <v>7</v>
      </c>
      <c r="B88" s="202">
        <v>10</v>
      </c>
      <c r="C88" s="202">
        <v>4</v>
      </c>
      <c r="D88" s="202">
        <v>15</v>
      </c>
      <c r="E88" s="202">
        <v>44</v>
      </c>
      <c r="F88" s="202">
        <v>2</v>
      </c>
      <c r="G88" s="202">
        <v>20</v>
      </c>
      <c r="H88" s="202">
        <v>11</v>
      </c>
      <c r="I88" s="202">
        <v>2</v>
      </c>
      <c r="K88" s="202">
        <v>65</v>
      </c>
      <c r="L88" s="202">
        <v>25</v>
      </c>
      <c r="M88" s="202">
        <v>4</v>
      </c>
      <c r="N88" s="202">
        <v>15</v>
      </c>
      <c r="O88" s="202">
        <v>43</v>
      </c>
      <c r="P88" s="202">
        <v>5</v>
      </c>
      <c r="Q88" s="202">
        <v>1</v>
      </c>
      <c r="R88" s="202">
        <v>41</v>
      </c>
      <c r="S88" s="202">
        <v>2</v>
      </c>
    </row>
    <row r="89" spans="1:19" x14ac:dyDescent="0.35">
      <c r="A89" s="202">
        <v>7</v>
      </c>
      <c r="B89" s="202">
        <v>10</v>
      </c>
      <c r="C89" s="202">
        <v>4</v>
      </c>
      <c r="D89" s="202">
        <v>15</v>
      </c>
      <c r="E89" s="202">
        <v>44</v>
      </c>
      <c r="F89" s="202">
        <v>5</v>
      </c>
      <c r="G89" s="202">
        <v>2</v>
      </c>
      <c r="H89" s="202">
        <v>28</v>
      </c>
      <c r="I89" s="202">
        <v>2</v>
      </c>
      <c r="K89" s="202">
        <v>60</v>
      </c>
      <c r="L89" s="202">
        <v>2</v>
      </c>
      <c r="M89" s="202">
        <v>4</v>
      </c>
      <c r="N89" s="202">
        <v>18</v>
      </c>
      <c r="O89" s="202">
        <v>26</v>
      </c>
      <c r="P89" s="202">
        <v>4</v>
      </c>
      <c r="Q89" s="202">
        <v>20</v>
      </c>
      <c r="R89" s="202">
        <v>29</v>
      </c>
      <c r="S89" s="202">
        <v>1</v>
      </c>
    </row>
    <row r="90" spans="1:19" x14ac:dyDescent="0.35">
      <c r="A90" s="202">
        <v>7</v>
      </c>
      <c r="B90" s="202">
        <v>50</v>
      </c>
      <c r="C90" s="202">
        <v>3</v>
      </c>
      <c r="D90" s="202">
        <v>15</v>
      </c>
      <c r="E90" s="202">
        <v>44</v>
      </c>
      <c r="F90" s="202">
        <v>1</v>
      </c>
      <c r="G90" s="202">
        <v>19</v>
      </c>
      <c r="H90" s="202">
        <v>31</v>
      </c>
      <c r="I90" s="202">
        <v>2</v>
      </c>
      <c r="K90" s="202">
        <v>70</v>
      </c>
      <c r="L90" s="202">
        <v>26</v>
      </c>
      <c r="M90" s="202">
        <v>4</v>
      </c>
      <c r="N90" s="202">
        <v>10</v>
      </c>
      <c r="O90" s="202">
        <v>48</v>
      </c>
      <c r="P90" s="202">
        <v>5</v>
      </c>
      <c r="Q90" s="202">
        <v>19</v>
      </c>
      <c r="R90" s="202">
        <v>18</v>
      </c>
      <c r="S90" s="202">
        <v>2</v>
      </c>
    </row>
    <row r="91" spans="1:19" x14ac:dyDescent="0.35">
      <c r="A91" s="202">
        <v>7</v>
      </c>
      <c r="B91" s="202">
        <v>50</v>
      </c>
      <c r="C91" s="202">
        <v>3</v>
      </c>
      <c r="D91" s="202">
        <v>15</v>
      </c>
      <c r="E91" s="202">
        <v>44</v>
      </c>
      <c r="F91" s="202">
        <v>5</v>
      </c>
      <c r="G91" s="202">
        <v>19</v>
      </c>
      <c r="H91" s="202">
        <v>5</v>
      </c>
      <c r="I91" s="202">
        <v>2</v>
      </c>
      <c r="K91" s="202">
        <v>77</v>
      </c>
      <c r="L91" s="202">
        <v>38</v>
      </c>
      <c r="M91" s="202">
        <v>4</v>
      </c>
      <c r="N91" s="202">
        <v>13</v>
      </c>
      <c r="O91" s="202">
        <v>26</v>
      </c>
      <c r="P91" s="202">
        <v>2</v>
      </c>
      <c r="Q91" s="202">
        <v>15</v>
      </c>
      <c r="R91" s="202">
        <v>98</v>
      </c>
      <c r="S91" s="202">
        <v>2</v>
      </c>
    </row>
    <row r="92" spans="1:19" x14ac:dyDescent="0.35">
      <c r="A92" s="202">
        <v>7</v>
      </c>
      <c r="B92" s="202">
        <v>50</v>
      </c>
      <c r="C92" s="202">
        <v>3</v>
      </c>
      <c r="D92" s="202">
        <v>15</v>
      </c>
      <c r="E92" s="202">
        <v>45</v>
      </c>
      <c r="F92" s="202">
        <v>3</v>
      </c>
      <c r="G92" s="202">
        <v>19</v>
      </c>
      <c r="H92" s="202">
        <v>36</v>
      </c>
      <c r="I92" s="202">
        <v>2</v>
      </c>
      <c r="K92" s="202">
        <v>23</v>
      </c>
      <c r="L92" s="202">
        <v>18</v>
      </c>
      <c r="M92" s="202">
        <v>4</v>
      </c>
      <c r="N92" s="202">
        <v>10</v>
      </c>
      <c r="O92" s="202">
        <v>45</v>
      </c>
      <c r="P92" s="202">
        <v>5</v>
      </c>
      <c r="Q92" s="202">
        <v>15</v>
      </c>
      <c r="R92" s="202">
        <v>1</v>
      </c>
      <c r="S92" s="202">
        <v>2</v>
      </c>
    </row>
    <row r="93" spans="1:19" x14ac:dyDescent="0.35">
      <c r="A93" s="202">
        <v>7</v>
      </c>
      <c r="B93" s="202">
        <v>50</v>
      </c>
      <c r="C93" s="202">
        <v>3</v>
      </c>
      <c r="D93" s="202">
        <v>15</v>
      </c>
      <c r="E93" s="202">
        <v>45</v>
      </c>
      <c r="F93" s="202">
        <v>5</v>
      </c>
      <c r="G93" s="202">
        <v>10</v>
      </c>
      <c r="H93" s="202">
        <v>30</v>
      </c>
      <c r="I93" s="202">
        <v>2</v>
      </c>
      <c r="K93" s="202">
        <v>84</v>
      </c>
      <c r="L93" s="202">
        <v>64</v>
      </c>
      <c r="M93" s="202">
        <v>2</v>
      </c>
      <c r="N93" s="202">
        <v>8</v>
      </c>
      <c r="O93" s="202">
        <v>42</v>
      </c>
      <c r="P93" s="202">
        <v>5</v>
      </c>
      <c r="Q93" s="202">
        <v>24</v>
      </c>
      <c r="R93" s="202">
        <v>21</v>
      </c>
      <c r="S93" s="202">
        <v>2</v>
      </c>
    </row>
    <row r="94" spans="1:19" x14ac:dyDescent="0.35">
      <c r="A94" s="202">
        <v>7</v>
      </c>
      <c r="B94" s="202">
        <v>50</v>
      </c>
      <c r="C94" s="202">
        <v>3</v>
      </c>
      <c r="D94" s="202">
        <v>15</v>
      </c>
      <c r="E94" s="202">
        <v>46</v>
      </c>
      <c r="F94" s="202">
        <v>1</v>
      </c>
      <c r="G94" s="202">
        <v>10</v>
      </c>
      <c r="H94" s="202">
        <v>12</v>
      </c>
      <c r="I94" s="202">
        <v>1</v>
      </c>
      <c r="K94" s="202">
        <v>4</v>
      </c>
      <c r="L94" s="202">
        <v>39</v>
      </c>
      <c r="M94" s="202">
        <v>3</v>
      </c>
      <c r="N94" s="202">
        <v>10</v>
      </c>
      <c r="O94" s="202">
        <v>43</v>
      </c>
      <c r="P94" s="202">
        <v>4</v>
      </c>
      <c r="Q94" s="202">
        <v>11</v>
      </c>
      <c r="R94" s="202">
        <v>38</v>
      </c>
      <c r="S94" s="202">
        <v>2</v>
      </c>
    </row>
    <row r="95" spans="1:19" x14ac:dyDescent="0.35">
      <c r="A95" s="202">
        <v>7</v>
      </c>
      <c r="B95" s="202">
        <v>50</v>
      </c>
      <c r="C95" s="202">
        <v>3</v>
      </c>
      <c r="D95" s="202">
        <v>15</v>
      </c>
      <c r="E95" s="202">
        <v>46</v>
      </c>
      <c r="F95" s="202">
        <v>5</v>
      </c>
      <c r="G95" s="202">
        <v>10</v>
      </c>
      <c r="H95" s="202">
        <v>12</v>
      </c>
      <c r="I95" s="202">
        <v>1</v>
      </c>
      <c r="K95" s="202">
        <v>44</v>
      </c>
      <c r="L95" s="202">
        <v>80</v>
      </c>
      <c r="M95" s="202">
        <v>3</v>
      </c>
      <c r="N95" s="202">
        <v>17</v>
      </c>
      <c r="O95" s="202">
        <v>2</v>
      </c>
      <c r="P95" s="202">
        <v>5</v>
      </c>
      <c r="Q95" s="202">
        <v>2</v>
      </c>
      <c r="R95" s="202">
        <v>27</v>
      </c>
      <c r="S95" s="202">
        <v>2</v>
      </c>
    </row>
    <row r="96" spans="1:19" x14ac:dyDescent="0.35">
      <c r="A96" s="202">
        <v>7</v>
      </c>
      <c r="B96" s="202">
        <v>10</v>
      </c>
      <c r="C96" s="202">
        <v>2</v>
      </c>
      <c r="D96" s="202">
        <v>16</v>
      </c>
      <c r="E96" s="202">
        <v>48</v>
      </c>
      <c r="F96" s="202">
        <v>1</v>
      </c>
      <c r="G96" s="202">
        <v>11</v>
      </c>
      <c r="H96" s="202">
        <v>37</v>
      </c>
      <c r="I96" s="202">
        <v>2</v>
      </c>
      <c r="K96" s="202">
        <v>25</v>
      </c>
      <c r="L96" s="202">
        <v>110</v>
      </c>
      <c r="M96" s="202">
        <v>2</v>
      </c>
      <c r="N96" s="202">
        <v>2</v>
      </c>
      <c r="O96" s="202">
        <v>49</v>
      </c>
      <c r="P96" s="202">
        <v>1</v>
      </c>
      <c r="Q96" s="202">
        <v>11</v>
      </c>
      <c r="R96" s="202">
        <v>24</v>
      </c>
      <c r="S96" s="202">
        <v>1</v>
      </c>
    </row>
    <row r="97" spans="1:19" x14ac:dyDescent="0.35">
      <c r="A97" s="202">
        <v>7</v>
      </c>
      <c r="B97" s="202">
        <v>10</v>
      </c>
      <c r="C97" s="202">
        <v>2</v>
      </c>
      <c r="D97" s="202">
        <v>17</v>
      </c>
      <c r="E97" s="202">
        <v>48</v>
      </c>
      <c r="F97" s="202">
        <v>2</v>
      </c>
      <c r="G97" s="202">
        <v>11</v>
      </c>
      <c r="H97" s="202">
        <v>37</v>
      </c>
      <c r="I97" s="202">
        <v>2</v>
      </c>
      <c r="K97" s="202">
        <v>46</v>
      </c>
      <c r="L97" s="202">
        <v>24</v>
      </c>
      <c r="M97" s="202">
        <v>3</v>
      </c>
      <c r="N97" s="202">
        <v>10</v>
      </c>
      <c r="O97" s="202">
        <v>1</v>
      </c>
      <c r="P97" s="202">
        <v>5</v>
      </c>
      <c r="Q97" s="202">
        <v>19</v>
      </c>
      <c r="R97" s="202">
        <v>34</v>
      </c>
      <c r="S97" s="202">
        <v>2</v>
      </c>
    </row>
    <row r="98" spans="1:19" x14ac:dyDescent="0.35">
      <c r="A98" s="202">
        <v>7</v>
      </c>
      <c r="B98" s="202">
        <v>2</v>
      </c>
      <c r="C98" s="202">
        <v>2</v>
      </c>
      <c r="D98" s="202">
        <v>17</v>
      </c>
      <c r="E98" s="202">
        <v>43</v>
      </c>
      <c r="F98" s="202">
        <v>1</v>
      </c>
      <c r="G98" s="202">
        <v>22</v>
      </c>
      <c r="H98" s="202">
        <v>34</v>
      </c>
      <c r="I98" s="202">
        <v>1</v>
      </c>
      <c r="K98" s="202">
        <v>22</v>
      </c>
      <c r="L98" s="202">
        <v>75</v>
      </c>
      <c r="M98" s="202">
        <v>2</v>
      </c>
      <c r="N98" s="202">
        <v>8</v>
      </c>
      <c r="O98" s="202">
        <v>42</v>
      </c>
      <c r="P98" s="202">
        <v>5</v>
      </c>
      <c r="Q98" s="202">
        <v>20</v>
      </c>
      <c r="R98" s="202">
        <v>31</v>
      </c>
      <c r="S98" s="202">
        <v>2</v>
      </c>
    </row>
    <row r="99" spans="1:19" x14ac:dyDescent="0.35">
      <c r="A99" s="202">
        <v>7</v>
      </c>
      <c r="B99" s="202">
        <v>2</v>
      </c>
      <c r="C99" s="202">
        <v>2</v>
      </c>
      <c r="D99" s="202">
        <v>17</v>
      </c>
      <c r="E99" s="202">
        <v>43</v>
      </c>
      <c r="F99" s="202">
        <v>4</v>
      </c>
      <c r="G99" s="202">
        <v>22</v>
      </c>
      <c r="H99" s="202">
        <v>34</v>
      </c>
      <c r="I99" s="202">
        <v>1</v>
      </c>
      <c r="K99" s="202">
        <v>41</v>
      </c>
      <c r="L99" s="202">
        <v>24</v>
      </c>
      <c r="M99" s="202">
        <v>4</v>
      </c>
      <c r="N99" s="202">
        <v>16</v>
      </c>
      <c r="O99" s="202">
        <v>48</v>
      </c>
      <c r="P99" s="202">
        <v>5</v>
      </c>
      <c r="Q99" s="202">
        <v>7</v>
      </c>
      <c r="R99" s="202">
        <v>1</v>
      </c>
      <c r="S99" s="202">
        <v>1</v>
      </c>
    </row>
    <row r="100" spans="1:19" x14ac:dyDescent="0.35">
      <c r="A100" s="202">
        <v>7</v>
      </c>
      <c r="B100" s="202">
        <v>29</v>
      </c>
      <c r="C100" s="202">
        <v>2</v>
      </c>
      <c r="D100" s="202">
        <v>17</v>
      </c>
      <c r="E100" s="202">
        <v>42</v>
      </c>
      <c r="F100" s="202">
        <v>2</v>
      </c>
      <c r="G100" s="202">
        <v>2</v>
      </c>
      <c r="H100" s="202">
        <v>22</v>
      </c>
      <c r="I100" s="202">
        <v>2</v>
      </c>
      <c r="K100" s="202">
        <v>38</v>
      </c>
      <c r="L100" s="202">
        <v>99</v>
      </c>
      <c r="M100" s="202">
        <v>4</v>
      </c>
      <c r="N100" s="202">
        <v>18</v>
      </c>
      <c r="O100" s="202">
        <v>52</v>
      </c>
      <c r="P100" s="202">
        <v>3</v>
      </c>
      <c r="Q100" s="202">
        <v>14</v>
      </c>
      <c r="R100" s="202">
        <v>33</v>
      </c>
      <c r="S100" s="202">
        <v>2</v>
      </c>
    </row>
    <row r="101" spans="1:19" x14ac:dyDescent="0.35">
      <c r="A101" s="202">
        <v>7</v>
      </c>
      <c r="B101" s="202">
        <v>29</v>
      </c>
      <c r="C101" s="202">
        <v>2</v>
      </c>
      <c r="D101" s="202">
        <v>17</v>
      </c>
      <c r="E101" s="202">
        <v>42</v>
      </c>
      <c r="F101" s="202">
        <v>5</v>
      </c>
      <c r="G101" s="202">
        <v>2</v>
      </c>
      <c r="H101" s="202">
        <v>22</v>
      </c>
      <c r="I101" s="202">
        <v>2</v>
      </c>
      <c r="K101" s="202">
        <v>21</v>
      </c>
      <c r="L101" s="202">
        <v>78</v>
      </c>
      <c r="M101" s="202">
        <v>3</v>
      </c>
      <c r="N101" s="202">
        <v>17</v>
      </c>
      <c r="O101" s="202">
        <v>48</v>
      </c>
      <c r="P101" s="202">
        <v>1</v>
      </c>
      <c r="Q101" s="202">
        <v>20</v>
      </c>
      <c r="R101" s="202">
        <v>5</v>
      </c>
      <c r="S101" s="202">
        <v>2</v>
      </c>
    </row>
    <row r="102" spans="1:19" x14ac:dyDescent="0.35">
      <c r="A102" s="202">
        <v>8</v>
      </c>
      <c r="B102" s="202">
        <v>11</v>
      </c>
      <c r="C102" s="202">
        <v>4</v>
      </c>
      <c r="D102" s="202">
        <v>4</v>
      </c>
      <c r="E102" s="202">
        <v>48</v>
      </c>
      <c r="F102" s="202">
        <v>1</v>
      </c>
      <c r="G102" s="202">
        <v>11</v>
      </c>
      <c r="H102" s="202">
        <v>11</v>
      </c>
      <c r="I102" s="202">
        <v>1</v>
      </c>
      <c r="K102" s="202">
        <v>11</v>
      </c>
      <c r="L102" s="202">
        <v>35</v>
      </c>
      <c r="M102" s="202">
        <v>3</v>
      </c>
      <c r="N102" s="202">
        <v>15</v>
      </c>
      <c r="O102" s="202">
        <v>28</v>
      </c>
      <c r="P102" s="202">
        <v>4</v>
      </c>
      <c r="Q102" s="202">
        <v>3</v>
      </c>
      <c r="R102" s="202">
        <v>30</v>
      </c>
      <c r="S102" s="202">
        <v>2</v>
      </c>
    </row>
    <row r="103" spans="1:19" x14ac:dyDescent="0.35">
      <c r="A103" s="202">
        <v>8</v>
      </c>
      <c r="B103" s="202">
        <v>11</v>
      </c>
      <c r="C103" s="202">
        <v>4</v>
      </c>
      <c r="D103" s="202">
        <v>4</v>
      </c>
      <c r="E103" s="202">
        <v>48</v>
      </c>
      <c r="F103" s="202">
        <v>4</v>
      </c>
      <c r="G103" s="202">
        <v>20</v>
      </c>
      <c r="H103" s="202">
        <v>36</v>
      </c>
      <c r="I103" s="202">
        <v>1</v>
      </c>
      <c r="K103" s="202">
        <v>49</v>
      </c>
      <c r="L103" s="202">
        <v>14</v>
      </c>
      <c r="M103" s="202">
        <v>4</v>
      </c>
      <c r="N103" s="202">
        <v>4</v>
      </c>
      <c r="O103" s="202">
        <v>50</v>
      </c>
      <c r="P103" s="202">
        <v>2</v>
      </c>
      <c r="Q103" s="202">
        <v>14</v>
      </c>
      <c r="R103" s="202">
        <v>8</v>
      </c>
      <c r="S103" s="202">
        <v>1</v>
      </c>
    </row>
    <row r="104" spans="1:19" x14ac:dyDescent="0.35">
      <c r="A104" s="202">
        <v>8</v>
      </c>
      <c r="B104" s="202">
        <v>11</v>
      </c>
      <c r="C104" s="202">
        <v>4</v>
      </c>
      <c r="D104" s="202">
        <v>15</v>
      </c>
      <c r="E104" s="202">
        <v>49</v>
      </c>
      <c r="F104" s="202">
        <v>2</v>
      </c>
      <c r="G104" s="202">
        <v>2</v>
      </c>
      <c r="H104" s="202">
        <v>52</v>
      </c>
      <c r="I104" s="202">
        <v>1</v>
      </c>
      <c r="K104" s="202">
        <v>60</v>
      </c>
      <c r="L104" s="202">
        <v>20</v>
      </c>
      <c r="M104" s="202">
        <v>4</v>
      </c>
      <c r="N104" s="202">
        <v>12</v>
      </c>
      <c r="O104" s="202">
        <v>49</v>
      </c>
      <c r="P104" s="202">
        <v>4</v>
      </c>
      <c r="Q104" s="202">
        <v>2</v>
      </c>
      <c r="R104" s="202">
        <v>12</v>
      </c>
      <c r="S104" s="202">
        <v>2</v>
      </c>
    </row>
    <row r="105" spans="1:19" x14ac:dyDescent="0.35">
      <c r="A105" s="202">
        <v>8</v>
      </c>
      <c r="B105" s="202">
        <v>11</v>
      </c>
      <c r="C105" s="202">
        <v>4</v>
      </c>
      <c r="D105" s="202">
        <v>15</v>
      </c>
      <c r="E105" s="202">
        <v>49</v>
      </c>
      <c r="F105" s="202">
        <v>5</v>
      </c>
      <c r="G105" s="202">
        <v>20</v>
      </c>
      <c r="H105" s="202">
        <v>36</v>
      </c>
      <c r="I105" s="202">
        <v>1</v>
      </c>
      <c r="K105" s="202">
        <v>3</v>
      </c>
      <c r="L105" s="202">
        <v>99</v>
      </c>
      <c r="M105" s="202">
        <v>3</v>
      </c>
      <c r="N105" s="202">
        <v>17</v>
      </c>
      <c r="O105" s="202">
        <v>42</v>
      </c>
      <c r="P105" s="202">
        <v>4</v>
      </c>
      <c r="Q105" s="202">
        <v>2</v>
      </c>
      <c r="R105" s="202">
        <v>22</v>
      </c>
      <c r="S105" s="202">
        <v>1</v>
      </c>
    </row>
    <row r="106" spans="1:19" x14ac:dyDescent="0.35">
      <c r="A106" s="202">
        <v>8</v>
      </c>
      <c r="B106" s="202">
        <v>11</v>
      </c>
      <c r="C106" s="202">
        <v>4</v>
      </c>
      <c r="D106" s="202">
        <v>15</v>
      </c>
      <c r="E106" s="202">
        <v>48</v>
      </c>
      <c r="F106" s="202">
        <v>1</v>
      </c>
      <c r="G106" s="202">
        <v>20</v>
      </c>
      <c r="H106" s="202">
        <v>11</v>
      </c>
      <c r="I106" s="202">
        <v>1</v>
      </c>
      <c r="K106" s="202">
        <v>3</v>
      </c>
      <c r="L106" s="202">
        <v>96</v>
      </c>
      <c r="M106" s="202">
        <v>2</v>
      </c>
      <c r="N106" s="202">
        <v>12</v>
      </c>
      <c r="O106" s="202">
        <v>53</v>
      </c>
      <c r="P106" s="202">
        <v>2</v>
      </c>
      <c r="Q106" s="202">
        <v>2</v>
      </c>
      <c r="R106" s="202">
        <v>17</v>
      </c>
      <c r="S106" s="202">
        <v>2</v>
      </c>
    </row>
    <row r="107" spans="1:19" x14ac:dyDescent="0.35">
      <c r="A107" s="202">
        <v>8</v>
      </c>
      <c r="B107" s="202">
        <v>11</v>
      </c>
      <c r="C107" s="202">
        <v>4</v>
      </c>
      <c r="D107" s="202">
        <v>15</v>
      </c>
      <c r="E107" s="202">
        <v>48</v>
      </c>
      <c r="F107" s="202">
        <v>4</v>
      </c>
      <c r="G107" s="202">
        <v>11</v>
      </c>
      <c r="H107" s="202">
        <v>38</v>
      </c>
      <c r="I107" s="202">
        <v>1</v>
      </c>
      <c r="K107" s="202">
        <v>61</v>
      </c>
      <c r="L107" s="202">
        <v>34</v>
      </c>
      <c r="M107" s="202">
        <v>1</v>
      </c>
      <c r="N107" s="202">
        <v>15</v>
      </c>
      <c r="O107" s="202">
        <v>49</v>
      </c>
      <c r="P107" s="202">
        <v>1</v>
      </c>
      <c r="Q107" s="202">
        <v>2</v>
      </c>
      <c r="R107" s="202">
        <v>4</v>
      </c>
      <c r="S107" s="202">
        <v>2</v>
      </c>
    </row>
    <row r="108" spans="1:19" x14ac:dyDescent="0.35">
      <c r="A108" s="202">
        <v>8</v>
      </c>
      <c r="B108" s="202">
        <v>33</v>
      </c>
      <c r="C108" s="202">
        <v>3</v>
      </c>
      <c r="D108" s="202">
        <v>15</v>
      </c>
      <c r="E108" s="202">
        <v>30</v>
      </c>
      <c r="F108" s="202">
        <v>2</v>
      </c>
      <c r="G108" s="202">
        <v>10</v>
      </c>
      <c r="H108" s="202">
        <v>39</v>
      </c>
      <c r="I108" s="202">
        <v>1</v>
      </c>
      <c r="K108" s="202">
        <v>33</v>
      </c>
      <c r="L108" s="202">
        <v>28</v>
      </c>
      <c r="M108" s="202">
        <v>4</v>
      </c>
      <c r="N108" s="202">
        <v>17</v>
      </c>
      <c r="O108" s="202">
        <v>43</v>
      </c>
      <c r="P108" s="202">
        <v>5</v>
      </c>
      <c r="Q108" s="202">
        <v>11</v>
      </c>
      <c r="R108" s="202">
        <v>44</v>
      </c>
      <c r="S108" s="202">
        <v>1</v>
      </c>
    </row>
    <row r="109" spans="1:19" x14ac:dyDescent="0.35">
      <c r="A109" s="202">
        <v>8</v>
      </c>
      <c r="B109" s="202">
        <v>33</v>
      </c>
      <c r="C109" s="202">
        <v>3</v>
      </c>
      <c r="D109" s="202">
        <v>15</v>
      </c>
      <c r="E109" s="202">
        <v>30</v>
      </c>
      <c r="F109" s="202">
        <v>3</v>
      </c>
      <c r="G109" s="202">
        <v>14</v>
      </c>
      <c r="H109" s="202">
        <v>39</v>
      </c>
      <c r="I109" s="202">
        <v>1</v>
      </c>
      <c r="K109" s="202">
        <v>60</v>
      </c>
      <c r="L109" s="202">
        <v>26</v>
      </c>
      <c r="M109" s="202">
        <v>4</v>
      </c>
      <c r="N109" s="202">
        <v>10</v>
      </c>
      <c r="O109" s="202">
        <v>44</v>
      </c>
      <c r="P109" s="202">
        <v>4</v>
      </c>
      <c r="Q109" s="202">
        <v>2</v>
      </c>
      <c r="R109" s="202">
        <v>7</v>
      </c>
      <c r="S109" s="202">
        <v>2</v>
      </c>
    </row>
    <row r="110" spans="1:19" x14ac:dyDescent="0.35">
      <c r="A110" s="202">
        <v>8</v>
      </c>
      <c r="B110" s="202">
        <v>33</v>
      </c>
      <c r="C110" s="202">
        <v>3</v>
      </c>
      <c r="D110" s="202">
        <v>15</v>
      </c>
      <c r="E110" s="202">
        <v>31</v>
      </c>
      <c r="F110" s="202">
        <v>1</v>
      </c>
      <c r="G110" s="202">
        <v>1</v>
      </c>
      <c r="H110" s="202">
        <v>40</v>
      </c>
      <c r="I110" s="202">
        <v>1</v>
      </c>
      <c r="K110" s="202">
        <v>80</v>
      </c>
      <c r="L110" s="202">
        <v>106</v>
      </c>
      <c r="M110" s="202">
        <v>4</v>
      </c>
      <c r="N110" s="202">
        <v>8</v>
      </c>
      <c r="O110" s="202">
        <v>45</v>
      </c>
      <c r="P110" s="202">
        <v>1</v>
      </c>
      <c r="Q110" s="202">
        <v>11</v>
      </c>
      <c r="R110" s="202">
        <v>48</v>
      </c>
      <c r="S110" s="202">
        <v>1</v>
      </c>
    </row>
    <row r="111" spans="1:19" x14ac:dyDescent="0.35">
      <c r="A111" s="202">
        <v>8</v>
      </c>
      <c r="B111" s="202">
        <v>33</v>
      </c>
      <c r="C111" s="202">
        <v>3</v>
      </c>
      <c r="D111" s="202">
        <v>15</v>
      </c>
      <c r="E111" s="202">
        <v>31</v>
      </c>
      <c r="F111" s="202">
        <v>5</v>
      </c>
      <c r="G111" s="202">
        <v>10</v>
      </c>
      <c r="H111" s="202">
        <v>39</v>
      </c>
      <c r="I111" s="202">
        <v>1</v>
      </c>
      <c r="K111" s="202">
        <v>7</v>
      </c>
      <c r="L111" s="202">
        <v>48</v>
      </c>
      <c r="M111" s="202">
        <v>2</v>
      </c>
      <c r="N111" s="202">
        <v>17</v>
      </c>
      <c r="O111" s="202">
        <v>48</v>
      </c>
      <c r="P111" s="202">
        <v>5</v>
      </c>
      <c r="Q111" s="202">
        <v>25</v>
      </c>
      <c r="R111" s="202">
        <v>93</v>
      </c>
      <c r="S111" s="202">
        <v>1</v>
      </c>
    </row>
    <row r="112" spans="1:19" x14ac:dyDescent="0.35">
      <c r="A112" s="202">
        <v>8</v>
      </c>
      <c r="B112" s="202">
        <v>13</v>
      </c>
      <c r="C112" s="202">
        <v>2</v>
      </c>
      <c r="D112" s="202">
        <v>16</v>
      </c>
      <c r="E112" s="202">
        <v>43</v>
      </c>
      <c r="F112" s="202">
        <v>4</v>
      </c>
      <c r="G112" s="202">
        <v>2</v>
      </c>
      <c r="H112" s="202">
        <v>11</v>
      </c>
      <c r="I112" s="202">
        <v>1</v>
      </c>
      <c r="K112" s="202">
        <v>54</v>
      </c>
      <c r="L112" s="202">
        <v>113</v>
      </c>
      <c r="M112" s="202">
        <v>2</v>
      </c>
      <c r="N112" s="202">
        <v>8</v>
      </c>
      <c r="O112" s="202">
        <v>48</v>
      </c>
      <c r="P112" s="202">
        <v>4</v>
      </c>
      <c r="Q112" s="202">
        <v>1</v>
      </c>
      <c r="R112" s="202">
        <v>19</v>
      </c>
      <c r="S112" s="202">
        <v>2</v>
      </c>
    </row>
    <row r="113" spans="1:19" x14ac:dyDescent="0.35">
      <c r="A113" s="202">
        <v>8</v>
      </c>
      <c r="B113" s="202">
        <v>13</v>
      </c>
      <c r="C113" s="202">
        <v>2</v>
      </c>
      <c r="D113" s="202">
        <v>17</v>
      </c>
      <c r="E113" s="202">
        <v>43</v>
      </c>
      <c r="F113" s="202">
        <v>5</v>
      </c>
      <c r="G113" s="202">
        <v>2</v>
      </c>
      <c r="H113" s="202">
        <v>8</v>
      </c>
      <c r="I113" s="202">
        <v>1</v>
      </c>
      <c r="K113" s="202">
        <v>80</v>
      </c>
      <c r="L113" s="202">
        <v>50</v>
      </c>
      <c r="M113" s="202">
        <v>2</v>
      </c>
      <c r="N113" s="202">
        <v>18</v>
      </c>
      <c r="O113" s="202">
        <v>26</v>
      </c>
      <c r="P113" s="202">
        <v>4</v>
      </c>
      <c r="Q113" s="202">
        <v>11</v>
      </c>
      <c r="R113" s="202">
        <v>90</v>
      </c>
      <c r="S113" s="202">
        <v>3</v>
      </c>
    </row>
    <row r="114" spans="1:19" x14ac:dyDescent="0.35">
      <c r="A114" s="202">
        <v>9</v>
      </c>
      <c r="B114" s="202">
        <v>42</v>
      </c>
      <c r="C114" s="202">
        <v>2</v>
      </c>
      <c r="D114" s="202">
        <v>15</v>
      </c>
      <c r="E114" s="202">
        <v>25</v>
      </c>
      <c r="F114" s="202">
        <v>2</v>
      </c>
      <c r="G114" s="202">
        <v>24</v>
      </c>
      <c r="H114" s="202">
        <v>8</v>
      </c>
      <c r="I114" s="202">
        <v>1</v>
      </c>
      <c r="K114" s="202">
        <v>31</v>
      </c>
      <c r="L114" s="202">
        <v>44</v>
      </c>
      <c r="M114" s="202">
        <v>1</v>
      </c>
      <c r="N114" s="202">
        <v>8</v>
      </c>
      <c r="O114" s="202">
        <v>48</v>
      </c>
      <c r="P114" s="202">
        <v>5</v>
      </c>
      <c r="Q114" s="202">
        <v>2</v>
      </c>
      <c r="R114" s="202">
        <v>33</v>
      </c>
      <c r="S114" s="202">
        <v>3</v>
      </c>
    </row>
    <row r="115" spans="1:19" x14ac:dyDescent="0.35">
      <c r="A115" s="202">
        <v>9</v>
      </c>
      <c r="B115" s="202">
        <v>42</v>
      </c>
      <c r="C115" s="202">
        <v>2</v>
      </c>
      <c r="D115" s="202">
        <v>15</v>
      </c>
      <c r="E115" s="202">
        <v>25</v>
      </c>
      <c r="F115" s="202">
        <v>5</v>
      </c>
      <c r="G115" s="202">
        <v>2</v>
      </c>
      <c r="H115" s="202">
        <v>36</v>
      </c>
      <c r="I115" s="202">
        <v>1</v>
      </c>
      <c r="K115" s="202">
        <v>23</v>
      </c>
      <c r="L115" s="202">
        <v>50</v>
      </c>
      <c r="M115" s="202">
        <v>2</v>
      </c>
      <c r="N115" s="202">
        <v>15</v>
      </c>
      <c r="O115" s="202">
        <v>47</v>
      </c>
      <c r="P115" s="202">
        <v>2</v>
      </c>
      <c r="Q115" s="202">
        <v>24</v>
      </c>
      <c r="R115" s="202">
        <v>7</v>
      </c>
      <c r="S115" s="202">
        <v>2</v>
      </c>
    </row>
    <row r="116" spans="1:19" x14ac:dyDescent="0.35">
      <c r="A116" s="202">
        <v>9</v>
      </c>
      <c r="B116" s="202">
        <v>42</v>
      </c>
      <c r="C116" s="202">
        <v>2</v>
      </c>
      <c r="D116" s="202">
        <v>15</v>
      </c>
      <c r="E116" s="202">
        <v>26</v>
      </c>
      <c r="F116" s="202">
        <v>3</v>
      </c>
      <c r="G116" s="202">
        <v>8</v>
      </c>
      <c r="H116" s="202">
        <v>30</v>
      </c>
      <c r="I116" s="202">
        <v>1</v>
      </c>
      <c r="K116" s="202">
        <v>17</v>
      </c>
      <c r="L116" s="202">
        <v>25</v>
      </c>
      <c r="M116" s="202">
        <v>3</v>
      </c>
      <c r="N116" s="202">
        <v>10</v>
      </c>
      <c r="O116" s="202">
        <v>25</v>
      </c>
      <c r="P116" s="202">
        <v>4</v>
      </c>
      <c r="Q116" s="202">
        <v>25</v>
      </c>
      <c r="R116" s="202">
        <v>7</v>
      </c>
      <c r="S116" s="202">
        <v>1</v>
      </c>
    </row>
    <row r="117" spans="1:19" x14ac:dyDescent="0.35">
      <c r="A117" s="202">
        <v>9</v>
      </c>
      <c r="B117" s="202">
        <v>42</v>
      </c>
      <c r="C117" s="202">
        <v>2</v>
      </c>
      <c r="D117" s="202">
        <v>15</v>
      </c>
      <c r="E117" s="202">
        <v>26</v>
      </c>
      <c r="F117" s="202">
        <v>4</v>
      </c>
      <c r="G117" s="202">
        <v>11</v>
      </c>
      <c r="H117" s="202">
        <v>41</v>
      </c>
      <c r="I117" s="202">
        <v>1</v>
      </c>
      <c r="K117" s="202">
        <v>78</v>
      </c>
      <c r="L117" s="202">
        <v>1</v>
      </c>
      <c r="M117" s="202">
        <v>1</v>
      </c>
      <c r="N117" s="202">
        <v>4</v>
      </c>
      <c r="O117" s="202">
        <v>25</v>
      </c>
      <c r="P117" s="202">
        <v>1</v>
      </c>
      <c r="Q117" s="202">
        <v>23</v>
      </c>
      <c r="R117" s="202">
        <v>29</v>
      </c>
      <c r="S117" s="202">
        <v>1</v>
      </c>
    </row>
    <row r="118" spans="1:19" x14ac:dyDescent="0.35">
      <c r="A118" s="202">
        <v>9</v>
      </c>
      <c r="B118" s="202">
        <v>42</v>
      </c>
      <c r="C118" s="202">
        <v>2</v>
      </c>
      <c r="D118" s="202">
        <v>15</v>
      </c>
      <c r="E118" s="202">
        <v>27</v>
      </c>
      <c r="F118" s="202">
        <v>2</v>
      </c>
      <c r="G118" s="202">
        <v>2</v>
      </c>
      <c r="H118" s="202">
        <v>42</v>
      </c>
      <c r="I118" s="202">
        <v>1</v>
      </c>
      <c r="K118" s="202">
        <v>15</v>
      </c>
      <c r="L118" s="202">
        <v>63</v>
      </c>
      <c r="M118" s="202">
        <v>3</v>
      </c>
      <c r="N118" s="202">
        <v>11</v>
      </c>
      <c r="O118" s="202">
        <v>48</v>
      </c>
      <c r="P118" s="202">
        <v>3</v>
      </c>
      <c r="Q118" s="202">
        <v>1</v>
      </c>
      <c r="R118" s="202">
        <v>36</v>
      </c>
      <c r="S118" s="202">
        <v>2</v>
      </c>
    </row>
    <row r="119" spans="1:19" x14ac:dyDescent="0.35">
      <c r="A119" s="202">
        <v>9</v>
      </c>
      <c r="B119" s="202">
        <v>42</v>
      </c>
      <c r="C119" s="202">
        <v>2</v>
      </c>
      <c r="D119" s="202">
        <v>15</v>
      </c>
      <c r="E119" s="202">
        <v>27</v>
      </c>
      <c r="F119" s="202">
        <v>5</v>
      </c>
      <c r="G119" s="202">
        <v>20</v>
      </c>
      <c r="H119" s="202">
        <v>41</v>
      </c>
      <c r="I119" s="202">
        <v>1</v>
      </c>
      <c r="K119" s="202">
        <v>72</v>
      </c>
      <c r="L119" s="202">
        <v>35</v>
      </c>
      <c r="M119" s="202">
        <v>3</v>
      </c>
      <c r="N119" s="202">
        <v>10</v>
      </c>
      <c r="O119" s="202">
        <v>49</v>
      </c>
      <c r="P119" s="202">
        <v>2</v>
      </c>
      <c r="Q119" s="202">
        <v>2</v>
      </c>
      <c r="R119" s="202">
        <v>2</v>
      </c>
      <c r="S119" s="202">
        <v>2</v>
      </c>
    </row>
    <row r="120" spans="1:19" x14ac:dyDescent="0.35">
      <c r="A120" s="202">
        <v>9</v>
      </c>
      <c r="B120" s="202">
        <v>43</v>
      </c>
      <c r="C120" s="202">
        <v>1</v>
      </c>
      <c r="D120" s="202">
        <v>15</v>
      </c>
      <c r="E120" s="202">
        <v>1</v>
      </c>
      <c r="F120" s="202">
        <v>1</v>
      </c>
      <c r="G120" s="202">
        <v>25</v>
      </c>
      <c r="H120" s="202">
        <v>34</v>
      </c>
      <c r="I120" s="202">
        <v>2</v>
      </c>
      <c r="K120" s="202">
        <v>49</v>
      </c>
      <c r="L120" s="202">
        <v>4</v>
      </c>
      <c r="M120" s="202">
        <v>4</v>
      </c>
      <c r="N120" s="202">
        <v>5</v>
      </c>
      <c r="O120" s="202">
        <v>42</v>
      </c>
      <c r="P120" s="202">
        <v>3</v>
      </c>
      <c r="Q120" s="202">
        <v>11</v>
      </c>
      <c r="R120" s="202">
        <v>28</v>
      </c>
      <c r="S120" s="202">
        <v>2</v>
      </c>
    </row>
    <row r="121" spans="1:19" x14ac:dyDescent="0.35">
      <c r="A121" s="202">
        <v>9</v>
      </c>
      <c r="B121" s="202">
        <v>43</v>
      </c>
      <c r="C121" s="202">
        <v>1</v>
      </c>
      <c r="D121" s="202">
        <v>15</v>
      </c>
      <c r="E121" s="202">
        <v>1</v>
      </c>
      <c r="F121" s="202">
        <v>4</v>
      </c>
      <c r="G121" s="202">
        <v>1</v>
      </c>
      <c r="H121" s="202">
        <v>43</v>
      </c>
      <c r="I121" s="202">
        <v>2</v>
      </c>
      <c r="K121" s="202">
        <v>66</v>
      </c>
      <c r="L121" s="202">
        <v>68</v>
      </c>
      <c r="M121" s="202">
        <v>2</v>
      </c>
      <c r="N121" s="202">
        <v>10</v>
      </c>
      <c r="O121" s="202">
        <v>48</v>
      </c>
      <c r="P121" s="202">
        <v>4</v>
      </c>
      <c r="Q121" s="202">
        <v>20</v>
      </c>
      <c r="R121" s="202">
        <v>12</v>
      </c>
      <c r="S121" s="202">
        <v>2</v>
      </c>
    </row>
    <row r="122" spans="1:19" x14ac:dyDescent="0.35">
      <c r="A122" s="202">
        <v>10</v>
      </c>
      <c r="B122" s="202">
        <v>53</v>
      </c>
      <c r="C122" s="202">
        <v>4</v>
      </c>
      <c r="D122" s="202">
        <v>15</v>
      </c>
      <c r="E122" s="202">
        <v>46</v>
      </c>
      <c r="F122" s="202">
        <v>1</v>
      </c>
      <c r="G122" s="202">
        <v>11</v>
      </c>
      <c r="H122" s="202">
        <v>38</v>
      </c>
      <c r="I122" s="202">
        <v>2</v>
      </c>
      <c r="K122" s="202">
        <v>59</v>
      </c>
      <c r="L122" s="202">
        <v>24</v>
      </c>
      <c r="M122" s="202">
        <v>4</v>
      </c>
      <c r="N122" s="202">
        <v>18</v>
      </c>
      <c r="O122" s="202">
        <v>48</v>
      </c>
      <c r="P122" s="202">
        <v>5</v>
      </c>
      <c r="Q122" s="202">
        <v>2</v>
      </c>
      <c r="R122" s="202">
        <v>34</v>
      </c>
      <c r="S122" s="202">
        <v>1</v>
      </c>
    </row>
    <row r="123" spans="1:19" x14ac:dyDescent="0.35">
      <c r="A123" s="202">
        <v>10</v>
      </c>
      <c r="B123" s="202">
        <v>53</v>
      </c>
      <c r="C123" s="202">
        <v>4</v>
      </c>
      <c r="D123" s="202">
        <v>15</v>
      </c>
      <c r="E123" s="202">
        <v>46</v>
      </c>
      <c r="F123" s="202">
        <v>5</v>
      </c>
      <c r="G123" s="202">
        <v>2</v>
      </c>
      <c r="H123" s="202">
        <v>41</v>
      </c>
      <c r="I123" s="202">
        <v>2</v>
      </c>
      <c r="K123" s="202">
        <v>6</v>
      </c>
      <c r="L123" s="202">
        <v>24</v>
      </c>
      <c r="M123" s="202">
        <v>4</v>
      </c>
      <c r="N123" s="202">
        <v>15</v>
      </c>
      <c r="O123" s="202">
        <v>42</v>
      </c>
      <c r="P123" s="202">
        <v>5</v>
      </c>
      <c r="Q123" s="202">
        <v>11</v>
      </c>
      <c r="R123" s="202">
        <v>24</v>
      </c>
      <c r="S123" s="202">
        <v>2</v>
      </c>
    </row>
    <row r="124" spans="1:19" x14ac:dyDescent="0.35">
      <c r="A124" s="202">
        <v>10</v>
      </c>
      <c r="B124" s="202">
        <v>28</v>
      </c>
      <c r="C124" s="202">
        <v>4</v>
      </c>
      <c r="D124" s="202">
        <v>4</v>
      </c>
      <c r="E124" s="202">
        <v>25</v>
      </c>
      <c r="F124" s="202">
        <v>2</v>
      </c>
      <c r="G124" s="202">
        <v>11</v>
      </c>
      <c r="H124" s="202">
        <v>11</v>
      </c>
      <c r="I124" s="202">
        <v>1</v>
      </c>
      <c r="K124" s="202">
        <v>61</v>
      </c>
      <c r="L124" s="202">
        <v>28</v>
      </c>
      <c r="M124" s="202">
        <v>2</v>
      </c>
      <c r="N124" s="202">
        <v>10</v>
      </c>
      <c r="O124" s="202">
        <v>48</v>
      </c>
      <c r="P124" s="202">
        <v>5</v>
      </c>
      <c r="Q124" s="202">
        <v>24</v>
      </c>
      <c r="R124" s="202">
        <v>38</v>
      </c>
      <c r="S124" s="202">
        <v>1</v>
      </c>
    </row>
    <row r="125" spans="1:19" x14ac:dyDescent="0.35">
      <c r="A125" s="202">
        <v>10</v>
      </c>
      <c r="B125" s="202">
        <v>28</v>
      </c>
      <c r="C125" s="202">
        <v>4</v>
      </c>
      <c r="D125" s="202">
        <v>4</v>
      </c>
      <c r="E125" s="202">
        <v>25</v>
      </c>
      <c r="F125" s="202">
        <v>4</v>
      </c>
      <c r="G125" s="202">
        <v>18</v>
      </c>
      <c r="H125" s="202">
        <v>37</v>
      </c>
      <c r="I125" s="202">
        <v>1</v>
      </c>
      <c r="K125" s="202">
        <v>49</v>
      </c>
      <c r="L125" s="202">
        <v>90</v>
      </c>
      <c r="M125" s="202">
        <v>1</v>
      </c>
      <c r="N125" s="202">
        <v>15</v>
      </c>
      <c r="O125" s="202">
        <v>16</v>
      </c>
      <c r="P125" s="202">
        <v>5</v>
      </c>
      <c r="Q125" s="202">
        <v>25</v>
      </c>
      <c r="R125" s="202">
        <v>22</v>
      </c>
      <c r="S125" s="202">
        <v>2</v>
      </c>
    </row>
    <row r="126" spans="1:19" x14ac:dyDescent="0.35">
      <c r="A126" s="202">
        <v>10</v>
      </c>
      <c r="B126" s="202">
        <v>48</v>
      </c>
      <c r="C126" s="202">
        <v>4</v>
      </c>
      <c r="D126" s="202">
        <v>15</v>
      </c>
      <c r="E126" s="202">
        <v>25</v>
      </c>
      <c r="F126" s="202">
        <v>1</v>
      </c>
      <c r="G126" s="202">
        <v>2</v>
      </c>
      <c r="H126" s="202">
        <v>37</v>
      </c>
      <c r="I126" s="202">
        <v>1</v>
      </c>
      <c r="K126" s="202">
        <v>59</v>
      </c>
      <c r="L126" s="202">
        <v>17</v>
      </c>
      <c r="M126" s="202">
        <v>2</v>
      </c>
      <c r="N126" s="202">
        <v>10</v>
      </c>
      <c r="O126" s="202">
        <v>2</v>
      </c>
      <c r="P126" s="202">
        <v>2</v>
      </c>
      <c r="Q126" s="202">
        <v>10</v>
      </c>
      <c r="R126" s="202">
        <v>24</v>
      </c>
      <c r="S126" s="202">
        <v>1</v>
      </c>
    </row>
    <row r="127" spans="1:19" x14ac:dyDescent="0.35">
      <c r="A127" s="202">
        <v>10</v>
      </c>
      <c r="B127" s="202">
        <v>48</v>
      </c>
      <c r="C127" s="202">
        <v>4</v>
      </c>
      <c r="D127" s="202">
        <v>15</v>
      </c>
      <c r="E127" s="202">
        <v>25</v>
      </c>
      <c r="F127" s="202">
        <v>4</v>
      </c>
      <c r="G127" s="202">
        <v>2</v>
      </c>
      <c r="H127" s="202">
        <v>41</v>
      </c>
      <c r="I127" s="202">
        <v>1</v>
      </c>
      <c r="K127" s="202">
        <v>8</v>
      </c>
      <c r="L127" s="202">
        <v>110</v>
      </c>
      <c r="M127" s="202">
        <v>4</v>
      </c>
      <c r="N127" s="202">
        <v>15</v>
      </c>
      <c r="O127" s="202">
        <v>27</v>
      </c>
      <c r="P127" s="202">
        <v>1</v>
      </c>
      <c r="Q127" s="202">
        <v>24</v>
      </c>
      <c r="R127" s="202">
        <v>33</v>
      </c>
      <c r="S127" s="202">
        <v>2</v>
      </c>
    </row>
    <row r="128" spans="1:19" x14ac:dyDescent="0.35">
      <c r="A128" s="202">
        <v>10</v>
      </c>
      <c r="B128" s="202">
        <v>7</v>
      </c>
      <c r="C128" s="202">
        <v>3</v>
      </c>
      <c r="D128" s="202">
        <v>8</v>
      </c>
      <c r="E128" s="202">
        <v>48</v>
      </c>
      <c r="F128" s="202">
        <v>1</v>
      </c>
      <c r="G128" s="202">
        <v>1</v>
      </c>
      <c r="H128" s="202">
        <v>10</v>
      </c>
      <c r="I128" s="202">
        <v>2</v>
      </c>
      <c r="K128" s="202">
        <v>59</v>
      </c>
      <c r="L128" s="202">
        <v>71</v>
      </c>
      <c r="M128" s="202">
        <v>4</v>
      </c>
      <c r="N128" s="202">
        <v>12</v>
      </c>
      <c r="O128" s="202">
        <v>42</v>
      </c>
      <c r="P128" s="202">
        <v>2</v>
      </c>
      <c r="Q128" s="202">
        <v>20</v>
      </c>
      <c r="R128" s="202">
        <v>33</v>
      </c>
      <c r="S128" s="202">
        <v>1</v>
      </c>
    </row>
    <row r="129" spans="1:19" x14ac:dyDescent="0.35">
      <c r="A129" s="202">
        <v>10</v>
      </c>
      <c r="B129" s="202">
        <v>7</v>
      </c>
      <c r="C129" s="202">
        <v>3</v>
      </c>
      <c r="D129" s="202">
        <v>8</v>
      </c>
      <c r="E129" s="202">
        <v>48</v>
      </c>
      <c r="F129" s="202">
        <v>3</v>
      </c>
      <c r="G129" s="202">
        <v>19</v>
      </c>
      <c r="H129" s="202">
        <v>10</v>
      </c>
      <c r="I129" s="202">
        <v>2</v>
      </c>
      <c r="K129" s="202">
        <v>29</v>
      </c>
      <c r="L129" s="202">
        <v>49</v>
      </c>
      <c r="M129" s="202">
        <v>2</v>
      </c>
      <c r="N129" s="202">
        <v>10</v>
      </c>
      <c r="O129" s="202">
        <v>53</v>
      </c>
      <c r="P129" s="202">
        <v>5</v>
      </c>
      <c r="Q129" s="202">
        <v>11</v>
      </c>
      <c r="R129" s="202">
        <v>35</v>
      </c>
      <c r="S129" s="202">
        <v>1</v>
      </c>
    </row>
    <row r="130" spans="1:19" x14ac:dyDescent="0.35">
      <c r="A130" s="202">
        <v>10</v>
      </c>
      <c r="B130" s="202">
        <v>33</v>
      </c>
      <c r="C130" s="202">
        <v>3</v>
      </c>
      <c r="D130" s="202">
        <v>15</v>
      </c>
      <c r="E130" s="202">
        <v>32</v>
      </c>
      <c r="F130" s="202">
        <v>1</v>
      </c>
      <c r="G130" s="202">
        <v>19</v>
      </c>
      <c r="H130" s="202">
        <v>44</v>
      </c>
      <c r="I130" s="202">
        <v>1</v>
      </c>
      <c r="K130" s="202">
        <v>69</v>
      </c>
      <c r="L130" s="202">
        <v>24</v>
      </c>
      <c r="M130" s="202">
        <v>4</v>
      </c>
      <c r="N130" s="202">
        <v>10</v>
      </c>
      <c r="O130" s="202">
        <v>26</v>
      </c>
      <c r="P130" s="202">
        <v>5</v>
      </c>
      <c r="Q130" s="202">
        <v>2</v>
      </c>
      <c r="R130" s="202">
        <v>27</v>
      </c>
      <c r="S130" s="202">
        <v>2</v>
      </c>
    </row>
    <row r="131" spans="1:19" x14ac:dyDescent="0.35">
      <c r="A131" s="202">
        <v>10</v>
      </c>
      <c r="B131" s="202">
        <v>33</v>
      </c>
      <c r="C131" s="202">
        <v>3</v>
      </c>
      <c r="D131" s="202">
        <v>15</v>
      </c>
      <c r="E131" s="202">
        <v>32</v>
      </c>
      <c r="F131" s="202">
        <v>4</v>
      </c>
      <c r="G131" s="202">
        <v>10</v>
      </c>
      <c r="H131" s="202">
        <v>44</v>
      </c>
      <c r="I131" s="202">
        <v>1</v>
      </c>
      <c r="K131" s="202">
        <v>32</v>
      </c>
      <c r="L131" s="202">
        <v>75</v>
      </c>
      <c r="M131" s="202">
        <v>3</v>
      </c>
      <c r="N131" s="202">
        <v>17</v>
      </c>
      <c r="O131" s="202">
        <v>44</v>
      </c>
      <c r="P131" s="202">
        <v>1</v>
      </c>
      <c r="Q131" s="202">
        <v>20</v>
      </c>
      <c r="R131" s="202">
        <v>27</v>
      </c>
      <c r="S131" s="202">
        <v>2</v>
      </c>
    </row>
    <row r="132" spans="1:19" x14ac:dyDescent="0.35">
      <c r="A132" s="202">
        <v>10</v>
      </c>
      <c r="B132" s="202">
        <v>46</v>
      </c>
      <c r="C132" s="202">
        <v>4</v>
      </c>
      <c r="D132" s="202">
        <v>15</v>
      </c>
      <c r="E132" s="202">
        <v>6</v>
      </c>
      <c r="F132" s="202">
        <v>5</v>
      </c>
      <c r="G132" s="202">
        <v>25</v>
      </c>
      <c r="H132" s="202">
        <v>24</v>
      </c>
      <c r="I132" s="202">
        <v>3</v>
      </c>
      <c r="K132" s="202">
        <v>21</v>
      </c>
      <c r="L132" s="202">
        <v>17</v>
      </c>
      <c r="M132" s="202">
        <v>2</v>
      </c>
      <c r="N132" s="202">
        <v>15</v>
      </c>
      <c r="O132" s="202">
        <v>32</v>
      </c>
      <c r="P132" s="202">
        <v>3</v>
      </c>
      <c r="Q132" s="202">
        <v>23</v>
      </c>
      <c r="R132" s="202">
        <v>34</v>
      </c>
      <c r="S132" s="202">
        <v>2</v>
      </c>
    </row>
    <row r="133" spans="1:19" x14ac:dyDescent="0.35">
      <c r="A133" s="202">
        <v>11</v>
      </c>
      <c r="B133" s="202">
        <v>57</v>
      </c>
      <c r="C133" s="202">
        <v>4</v>
      </c>
      <c r="D133" s="202">
        <v>10</v>
      </c>
      <c r="E133" s="202">
        <v>25</v>
      </c>
      <c r="F133" s="202">
        <v>2</v>
      </c>
      <c r="G133" s="202">
        <v>20</v>
      </c>
      <c r="H133" s="202">
        <v>30</v>
      </c>
      <c r="I133" s="202">
        <v>1</v>
      </c>
      <c r="K133" s="202">
        <v>53</v>
      </c>
      <c r="L133" s="202">
        <v>24</v>
      </c>
      <c r="M133" s="202">
        <v>2</v>
      </c>
      <c r="N133" s="202">
        <v>10</v>
      </c>
      <c r="O133" s="202">
        <v>44</v>
      </c>
      <c r="P133" s="202">
        <v>2</v>
      </c>
      <c r="Q133" s="202">
        <v>8</v>
      </c>
      <c r="R133" s="202">
        <v>24</v>
      </c>
      <c r="S133" s="202">
        <v>2</v>
      </c>
    </row>
    <row r="134" spans="1:19" x14ac:dyDescent="0.35">
      <c r="A134" s="202">
        <v>11</v>
      </c>
      <c r="B134" s="202">
        <v>57</v>
      </c>
      <c r="C134" s="202">
        <v>4</v>
      </c>
      <c r="D134" s="202">
        <v>10</v>
      </c>
      <c r="E134" s="202">
        <v>25</v>
      </c>
      <c r="F134" s="202">
        <v>4</v>
      </c>
      <c r="G134" s="202">
        <v>2</v>
      </c>
      <c r="H134" s="202">
        <v>31</v>
      </c>
      <c r="I134" s="202">
        <v>1</v>
      </c>
      <c r="K134" s="202">
        <v>77</v>
      </c>
      <c r="L134" s="202">
        <v>33</v>
      </c>
      <c r="M134" s="202">
        <v>1</v>
      </c>
      <c r="N134" s="202">
        <v>10</v>
      </c>
      <c r="O134" s="202">
        <v>51</v>
      </c>
      <c r="P134" s="202">
        <v>1</v>
      </c>
      <c r="Q134" s="202">
        <v>19</v>
      </c>
      <c r="R134" s="202">
        <v>18</v>
      </c>
      <c r="S134" s="202">
        <v>2</v>
      </c>
    </row>
    <row r="135" spans="1:19" x14ac:dyDescent="0.35">
      <c r="A135" s="202">
        <v>11</v>
      </c>
      <c r="B135" s="202">
        <v>57</v>
      </c>
      <c r="C135" s="202">
        <v>4</v>
      </c>
      <c r="D135" s="202">
        <v>10</v>
      </c>
      <c r="E135" s="202">
        <v>26</v>
      </c>
      <c r="F135" s="202">
        <v>2</v>
      </c>
      <c r="G135" s="202">
        <v>2</v>
      </c>
      <c r="H135" s="202">
        <v>31</v>
      </c>
      <c r="I135" s="202">
        <v>1</v>
      </c>
      <c r="K135" s="202">
        <v>62</v>
      </c>
      <c r="L135" s="202">
        <v>33</v>
      </c>
      <c r="M135" s="202">
        <v>2</v>
      </c>
      <c r="N135" s="202">
        <v>14</v>
      </c>
      <c r="O135" s="202">
        <v>51</v>
      </c>
      <c r="P135" s="202">
        <v>5</v>
      </c>
      <c r="Q135" s="202">
        <v>2</v>
      </c>
      <c r="R135" s="202">
        <v>7</v>
      </c>
      <c r="S135" s="202">
        <v>2</v>
      </c>
    </row>
    <row r="136" spans="1:19" x14ac:dyDescent="0.35">
      <c r="A136" s="202">
        <v>11</v>
      </c>
      <c r="B136" s="202">
        <v>57</v>
      </c>
      <c r="C136" s="202">
        <v>4</v>
      </c>
      <c r="D136" s="202">
        <v>10</v>
      </c>
      <c r="E136" s="202">
        <v>26</v>
      </c>
      <c r="F136" s="202">
        <v>4</v>
      </c>
      <c r="G136" s="202">
        <v>11</v>
      </c>
      <c r="H136" s="202">
        <v>8</v>
      </c>
      <c r="I136" s="202">
        <v>1</v>
      </c>
      <c r="K136" s="202">
        <v>27</v>
      </c>
      <c r="L136" s="202">
        <v>33</v>
      </c>
      <c r="M136" s="202">
        <v>3</v>
      </c>
      <c r="N136" s="202">
        <v>15</v>
      </c>
      <c r="O136" s="202">
        <v>49</v>
      </c>
      <c r="P136" s="202">
        <v>2</v>
      </c>
      <c r="Q136" s="202">
        <v>17</v>
      </c>
      <c r="R136" s="202">
        <v>5</v>
      </c>
      <c r="S136" s="202">
        <v>1</v>
      </c>
    </row>
    <row r="137" spans="1:19" x14ac:dyDescent="0.35">
      <c r="A137" s="202">
        <v>11</v>
      </c>
      <c r="B137" s="202">
        <v>52</v>
      </c>
      <c r="C137" s="202">
        <v>4</v>
      </c>
      <c r="D137" s="202">
        <v>10</v>
      </c>
      <c r="E137" s="202">
        <v>1</v>
      </c>
      <c r="F137" s="202">
        <v>1</v>
      </c>
      <c r="G137" s="202">
        <v>11</v>
      </c>
      <c r="H137" s="202">
        <v>33</v>
      </c>
      <c r="I137" s="202">
        <v>2</v>
      </c>
      <c r="K137" s="202">
        <v>61</v>
      </c>
      <c r="L137" s="202">
        <v>24</v>
      </c>
      <c r="M137" s="202">
        <v>2</v>
      </c>
      <c r="N137" s="202">
        <v>8</v>
      </c>
      <c r="O137" s="202">
        <v>45</v>
      </c>
      <c r="P137" s="202">
        <v>1</v>
      </c>
      <c r="Q137" s="202">
        <v>24</v>
      </c>
      <c r="R137" s="202">
        <v>29</v>
      </c>
      <c r="S137" s="202">
        <v>1</v>
      </c>
    </row>
    <row r="138" spans="1:19" x14ac:dyDescent="0.35">
      <c r="A138" s="202">
        <v>11</v>
      </c>
      <c r="B138" s="202">
        <v>52</v>
      </c>
      <c r="C138" s="202">
        <v>4</v>
      </c>
      <c r="D138" s="202">
        <v>10</v>
      </c>
      <c r="E138" s="202">
        <v>1</v>
      </c>
      <c r="F138" s="202">
        <v>5</v>
      </c>
      <c r="G138" s="202">
        <v>2</v>
      </c>
      <c r="H138" s="202">
        <v>45</v>
      </c>
      <c r="I138" s="202">
        <v>2</v>
      </c>
      <c r="K138" s="202">
        <v>71</v>
      </c>
      <c r="L138" s="202">
        <v>33</v>
      </c>
      <c r="M138" s="202">
        <v>2</v>
      </c>
      <c r="N138" s="202">
        <v>10</v>
      </c>
      <c r="O138" s="202">
        <v>25</v>
      </c>
      <c r="P138" s="202">
        <v>5</v>
      </c>
      <c r="Q138" s="202">
        <v>1</v>
      </c>
      <c r="R138" s="202">
        <v>21</v>
      </c>
      <c r="S138" s="202">
        <v>2</v>
      </c>
    </row>
    <row r="139" spans="1:19" x14ac:dyDescent="0.35">
      <c r="A139" s="202">
        <v>11</v>
      </c>
      <c r="B139" s="202">
        <v>52</v>
      </c>
      <c r="C139" s="202">
        <v>4</v>
      </c>
      <c r="D139" s="202">
        <v>10</v>
      </c>
      <c r="E139" s="202">
        <v>2</v>
      </c>
      <c r="F139" s="202">
        <v>1</v>
      </c>
      <c r="G139" s="202">
        <v>20</v>
      </c>
      <c r="H139" s="202">
        <v>11</v>
      </c>
      <c r="I139" s="202">
        <v>2</v>
      </c>
      <c r="K139" s="202">
        <v>12</v>
      </c>
      <c r="L139" s="202">
        <v>32</v>
      </c>
      <c r="M139" s="202">
        <v>2</v>
      </c>
      <c r="N139" s="202">
        <v>10</v>
      </c>
      <c r="O139" s="202">
        <v>5</v>
      </c>
      <c r="P139" s="202">
        <v>4</v>
      </c>
      <c r="Q139" s="202">
        <v>20</v>
      </c>
      <c r="R139" s="202">
        <v>10</v>
      </c>
      <c r="S139" s="202">
        <v>2</v>
      </c>
    </row>
    <row r="140" spans="1:19" x14ac:dyDescent="0.35">
      <c r="A140" s="202">
        <v>11</v>
      </c>
      <c r="B140" s="202">
        <v>52</v>
      </c>
      <c r="C140" s="202">
        <v>4</v>
      </c>
      <c r="D140" s="202">
        <v>10</v>
      </c>
      <c r="E140" s="202">
        <v>2</v>
      </c>
      <c r="F140" s="202">
        <v>3</v>
      </c>
      <c r="G140" s="202">
        <v>20</v>
      </c>
      <c r="H140" s="202">
        <v>12</v>
      </c>
      <c r="I140" s="202">
        <v>2</v>
      </c>
      <c r="K140" s="202">
        <v>11</v>
      </c>
      <c r="L140" s="202">
        <v>25</v>
      </c>
      <c r="M140" s="202">
        <v>2</v>
      </c>
      <c r="N140" s="202">
        <v>15</v>
      </c>
      <c r="O140" s="202">
        <v>53</v>
      </c>
      <c r="P140" s="202">
        <v>3</v>
      </c>
      <c r="Q140" s="202">
        <v>2</v>
      </c>
      <c r="R140" s="202">
        <v>9</v>
      </c>
      <c r="S140" s="202">
        <v>1</v>
      </c>
    </row>
    <row r="141" spans="1:19" x14ac:dyDescent="0.35">
      <c r="A141" s="202">
        <v>11</v>
      </c>
      <c r="B141" s="202">
        <v>7</v>
      </c>
      <c r="C141" s="202">
        <v>3</v>
      </c>
      <c r="D141" s="202">
        <v>8</v>
      </c>
      <c r="E141" s="202">
        <v>51</v>
      </c>
      <c r="F141" s="202">
        <v>2</v>
      </c>
      <c r="G141" s="202">
        <v>7</v>
      </c>
      <c r="H141" s="202">
        <v>46</v>
      </c>
      <c r="I141" s="202">
        <v>2</v>
      </c>
      <c r="K141" s="202">
        <v>37</v>
      </c>
      <c r="L141" s="202">
        <v>29</v>
      </c>
      <c r="M141" s="202">
        <v>4</v>
      </c>
      <c r="N141" s="202">
        <v>17</v>
      </c>
      <c r="O141" s="202">
        <v>50</v>
      </c>
      <c r="P141" s="202">
        <v>1</v>
      </c>
      <c r="Q141" s="202">
        <v>12</v>
      </c>
      <c r="R141" s="202">
        <v>2</v>
      </c>
      <c r="S141" s="202">
        <v>1</v>
      </c>
    </row>
    <row r="142" spans="1:19" x14ac:dyDescent="0.35">
      <c r="A142" s="202">
        <v>11</v>
      </c>
      <c r="B142" s="202">
        <v>7</v>
      </c>
      <c r="C142" s="202">
        <v>3</v>
      </c>
      <c r="D142" s="202">
        <v>8</v>
      </c>
      <c r="E142" s="202">
        <v>51</v>
      </c>
      <c r="F142" s="202">
        <v>4</v>
      </c>
      <c r="G142" s="202">
        <v>7</v>
      </c>
      <c r="H142" s="202">
        <v>10</v>
      </c>
      <c r="I142" s="202">
        <v>2</v>
      </c>
      <c r="K142" s="202">
        <v>6</v>
      </c>
      <c r="L142" s="202">
        <v>10</v>
      </c>
      <c r="M142" s="202">
        <v>4</v>
      </c>
      <c r="N142" s="202">
        <v>17</v>
      </c>
      <c r="O142" s="202">
        <v>43</v>
      </c>
      <c r="P142" s="202">
        <v>5</v>
      </c>
      <c r="Q142" s="202">
        <v>7</v>
      </c>
      <c r="R142" s="202">
        <v>8</v>
      </c>
      <c r="S142" s="202">
        <v>2</v>
      </c>
    </row>
    <row r="143" spans="1:19" x14ac:dyDescent="0.35">
      <c r="A143" s="202">
        <v>12</v>
      </c>
      <c r="B143" s="202">
        <v>35</v>
      </c>
      <c r="C143" s="202">
        <v>4</v>
      </c>
      <c r="D143" s="202">
        <v>8</v>
      </c>
      <c r="E143" s="202">
        <v>42</v>
      </c>
      <c r="F143" s="202">
        <v>1</v>
      </c>
      <c r="G143" s="202">
        <v>11</v>
      </c>
      <c r="H143" s="202">
        <v>10</v>
      </c>
      <c r="I143" s="202">
        <v>1</v>
      </c>
      <c r="K143" s="202">
        <v>27</v>
      </c>
      <c r="L143" s="202">
        <v>79</v>
      </c>
      <c r="M143" s="202">
        <v>3</v>
      </c>
      <c r="N143" s="202">
        <v>8</v>
      </c>
      <c r="O143" s="202">
        <v>25</v>
      </c>
      <c r="P143" s="202">
        <v>1</v>
      </c>
      <c r="Q143" s="202">
        <v>20</v>
      </c>
      <c r="R143" s="202">
        <v>29</v>
      </c>
      <c r="S143" s="202">
        <v>1</v>
      </c>
    </row>
    <row r="144" spans="1:19" x14ac:dyDescent="0.35">
      <c r="A144" s="202">
        <v>12</v>
      </c>
      <c r="B144" s="202">
        <v>35</v>
      </c>
      <c r="C144" s="202">
        <v>4</v>
      </c>
      <c r="D144" s="202">
        <v>8</v>
      </c>
      <c r="E144" s="202">
        <v>42</v>
      </c>
      <c r="F144" s="202">
        <v>3</v>
      </c>
      <c r="G144" s="202">
        <v>11</v>
      </c>
      <c r="H144" s="202">
        <v>10</v>
      </c>
      <c r="I144" s="202">
        <v>1</v>
      </c>
      <c r="K144" s="202">
        <v>20</v>
      </c>
      <c r="L144" s="202">
        <v>46</v>
      </c>
      <c r="M144" s="202">
        <v>4</v>
      </c>
      <c r="N144" s="202">
        <v>15</v>
      </c>
      <c r="O144" s="202">
        <v>48</v>
      </c>
      <c r="P144" s="202">
        <v>5</v>
      </c>
      <c r="Q144" s="202">
        <v>24</v>
      </c>
      <c r="R144" s="202">
        <v>47</v>
      </c>
      <c r="S144" s="202">
        <v>1</v>
      </c>
    </row>
    <row r="145" spans="1:19" x14ac:dyDescent="0.35">
      <c r="A145" s="202">
        <v>12</v>
      </c>
      <c r="B145" s="202">
        <v>35</v>
      </c>
      <c r="C145" s="202">
        <v>4</v>
      </c>
      <c r="D145" s="202">
        <v>8</v>
      </c>
      <c r="E145" s="202">
        <v>43</v>
      </c>
      <c r="F145" s="202">
        <v>2</v>
      </c>
      <c r="G145" s="202">
        <v>2</v>
      </c>
      <c r="H145" s="202">
        <v>10</v>
      </c>
      <c r="I145" s="202">
        <v>1</v>
      </c>
      <c r="K145" s="202">
        <v>6</v>
      </c>
      <c r="L145" s="202">
        <v>74</v>
      </c>
      <c r="M145" s="202">
        <v>2</v>
      </c>
      <c r="N145" s="202">
        <v>15</v>
      </c>
      <c r="O145" s="202">
        <v>50</v>
      </c>
      <c r="P145" s="202">
        <v>2</v>
      </c>
      <c r="Q145" s="202">
        <v>20</v>
      </c>
      <c r="R145" s="202">
        <v>31</v>
      </c>
      <c r="S145" s="202">
        <v>1</v>
      </c>
    </row>
    <row r="146" spans="1:19" x14ac:dyDescent="0.35">
      <c r="A146" s="202">
        <v>12</v>
      </c>
      <c r="B146" s="202">
        <v>35</v>
      </c>
      <c r="C146" s="202">
        <v>4</v>
      </c>
      <c r="D146" s="202">
        <v>8</v>
      </c>
      <c r="E146" s="202">
        <v>43</v>
      </c>
      <c r="F146" s="202">
        <v>4</v>
      </c>
      <c r="G146" s="202">
        <v>11</v>
      </c>
      <c r="H146" s="202">
        <v>10</v>
      </c>
      <c r="I146" s="202">
        <v>1</v>
      </c>
      <c r="K146" s="202">
        <v>68</v>
      </c>
      <c r="L146" s="202">
        <v>38</v>
      </c>
      <c r="M146" s="202">
        <v>2</v>
      </c>
      <c r="N146" s="202">
        <v>10</v>
      </c>
      <c r="O146" s="202">
        <v>27</v>
      </c>
      <c r="P146" s="202">
        <v>1</v>
      </c>
      <c r="Q146" s="202">
        <v>11</v>
      </c>
      <c r="R146" s="202">
        <v>77</v>
      </c>
      <c r="S146" s="202">
        <v>2</v>
      </c>
    </row>
    <row r="147" spans="1:19" x14ac:dyDescent="0.35">
      <c r="A147" s="202">
        <v>12</v>
      </c>
      <c r="B147" s="202">
        <v>35</v>
      </c>
      <c r="C147" s="202">
        <v>4</v>
      </c>
      <c r="D147" s="202">
        <v>8</v>
      </c>
      <c r="E147" s="202">
        <v>44</v>
      </c>
      <c r="F147" s="202">
        <v>2</v>
      </c>
      <c r="G147" s="202">
        <v>11</v>
      </c>
      <c r="H147" s="202">
        <v>10</v>
      </c>
      <c r="I147" s="202">
        <v>1</v>
      </c>
      <c r="K147" s="202">
        <v>55</v>
      </c>
      <c r="L147" s="202">
        <v>69</v>
      </c>
      <c r="M147" s="202">
        <v>4</v>
      </c>
      <c r="N147" s="202">
        <v>17</v>
      </c>
      <c r="O147" s="202">
        <v>26</v>
      </c>
      <c r="P147" s="202">
        <v>4</v>
      </c>
      <c r="Q147" s="202">
        <v>2</v>
      </c>
      <c r="R147" s="202">
        <v>90</v>
      </c>
      <c r="S147" s="202">
        <v>2</v>
      </c>
    </row>
    <row r="148" spans="1:19" x14ac:dyDescent="0.35">
      <c r="A148" s="202">
        <v>12</v>
      </c>
      <c r="B148" s="202">
        <v>35</v>
      </c>
      <c r="C148" s="202">
        <v>4</v>
      </c>
      <c r="D148" s="202">
        <v>8</v>
      </c>
      <c r="E148" s="202">
        <v>44</v>
      </c>
      <c r="F148" s="202">
        <v>4</v>
      </c>
      <c r="G148" s="202">
        <v>18</v>
      </c>
      <c r="H148" s="202">
        <v>10</v>
      </c>
      <c r="I148" s="202">
        <v>1</v>
      </c>
      <c r="K148" s="202">
        <v>53</v>
      </c>
      <c r="L148" s="202">
        <v>82</v>
      </c>
      <c r="M148" s="202">
        <v>3</v>
      </c>
      <c r="N148" s="202">
        <v>10</v>
      </c>
      <c r="O148" s="202">
        <v>1</v>
      </c>
      <c r="P148" s="202">
        <v>4</v>
      </c>
      <c r="Q148" s="202">
        <v>20</v>
      </c>
      <c r="R148" s="202">
        <v>22</v>
      </c>
      <c r="S148" s="202">
        <v>2</v>
      </c>
    </row>
    <row r="149" spans="1:19" x14ac:dyDescent="0.35">
      <c r="A149" s="202">
        <v>12</v>
      </c>
      <c r="B149" s="202">
        <v>35</v>
      </c>
      <c r="C149" s="202">
        <v>4</v>
      </c>
      <c r="D149" s="202">
        <v>8</v>
      </c>
      <c r="E149" s="202">
        <v>45</v>
      </c>
      <c r="F149" s="202">
        <v>2</v>
      </c>
      <c r="G149" s="202">
        <v>18</v>
      </c>
      <c r="H149" s="202">
        <v>3</v>
      </c>
      <c r="I149" s="202">
        <v>1</v>
      </c>
      <c r="K149" s="202">
        <v>37</v>
      </c>
      <c r="L149" s="202">
        <v>99</v>
      </c>
      <c r="M149" s="202">
        <v>2</v>
      </c>
      <c r="N149" s="202">
        <v>17</v>
      </c>
      <c r="O149" s="202">
        <v>28</v>
      </c>
      <c r="P149" s="202">
        <v>4</v>
      </c>
      <c r="Q149" s="202">
        <v>20</v>
      </c>
      <c r="R149" s="202">
        <v>22</v>
      </c>
      <c r="S149" s="202">
        <v>1</v>
      </c>
    </row>
    <row r="150" spans="1:19" x14ac:dyDescent="0.35">
      <c r="A150" s="202">
        <v>12</v>
      </c>
      <c r="B150" s="202">
        <v>35</v>
      </c>
      <c r="C150" s="202">
        <v>4</v>
      </c>
      <c r="D150" s="202">
        <v>8</v>
      </c>
      <c r="E150" s="202">
        <v>45</v>
      </c>
      <c r="F150" s="202">
        <v>5</v>
      </c>
      <c r="G150" s="202">
        <v>2</v>
      </c>
      <c r="H150" s="202">
        <v>3</v>
      </c>
      <c r="I150" s="202">
        <v>1</v>
      </c>
      <c r="K150" s="202">
        <v>5</v>
      </c>
      <c r="L150" s="202">
        <v>16</v>
      </c>
      <c r="M150" s="202">
        <v>2</v>
      </c>
      <c r="N150" s="202">
        <v>17</v>
      </c>
      <c r="O150" s="202">
        <v>48</v>
      </c>
      <c r="P150" s="202">
        <v>1</v>
      </c>
      <c r="Q150" s="202">
        <v>11</v>
      </c>
      <c r="R150" s="202">
        <v>36</v>
      </c>
      <c r="S150" s="202">
        <v>1</v>
      </c>
    </row>
    <row r="151" spans="1:19" x14ac:dyDescent="0.35">
      <c r="A151" s="202">
        <v>12</v>
      </c>
      <c r="B151" s="202">
        <v>30</v>
      </c>
      <c r="C151" s="202">
        <v>4</v>
      </c>
      <c r="D151" s="202">
        <v>8</v>
      </c>
      <c r="E151" s="202">
        <v>43</v>
      </c>
      <c r="F151" s="202">
        <v>3</v>
      </c>
      <c r="G151" s="202">
        <v>20</v>
      </c>
      <c r="H151" s="202">
        <v>17</v>
      </c>
      <c r="I151" s="202">
        <v>2</v>
      </c>
      <c r="K151" s="202">
        <v>70</v>
      </c>
      <c r="L151" s="202">
        <v>5</v>
      </c>
      <c r="M151" s="202">
        <v>2</v>
      </c>
      <c r="N151" s="202">
        <v>13</v>
      </c>
      <c r="O151" s="202">
        <v>48</v>
      </c>
      <c r="P151" s="202">
        <v>4</v>
      </c>
      <c r="Q151" s="202">
        <v>20</v>
      </c>
      <c r="R151" s="202">
        <v>17</v>
      </c>
      <c r="S151" s="202">
        <v>2</v>
      </c>
    </row>
    <row r="152" spans="1:19" x14ac:dyDescent="0.35">
      <c r="A152" s="202">
        <v>12</v>
      </c>
      <c r="B152" s="202">
        <v>30</v>
      </c>
      <c r="C152" s="202">
        <v>4</v>
      </c>
      <c r="D152" s="202">
        <v>8</v>
      </c>
      <c r="E152" s="202">
        <v>43</v>
      </c>
      <c r="F152" s="202">
        <v>5</v>
      </c>
      <c r="G152" s="202">
        <v>2</v>
      </c>
      <c r="H152" s="202">
        <v>17</v>
      </c>
      <c r="I152" s="202">
        <v>2</v>
      </c>
      <c r="K152" s="202">
        <v>66</v>
      </c>
      <c r="L152" s="202">
        <v>71</v>
      </c>
      <c r="M152" s="202">
        <v>2</v>
      </c>
      <c r="N152" s="202">
        <v>12</v>
      </c>
      <c r="O152" s="202">
        <v>2</v>
      </c>
      <c r="P152" s="202">
        <v>1</v>
      </c>
      <c r="Q152" s="202">
        <v>20</v>
      </c>
      <c r="R152" s="202">
        <v>10</v>
      </c>
      <c r="S152" s="202">
        <v>2</v>
      </c>
    </row>
    <row r="153" spans="1:19" x14ac:dyDescent="0.35">
      <c r="A153" s="202">
        <v>12</v>
      </c>
      <c r="B153" s="202">
        <v>14</v>
      </c>
      <c r="C153" s="202">
        <v>2</v>
      </c>
      <c r="D153" s="202">
        <v>8</v>
      </c>
      <c r="E153" s="202">
        <v>27</v>
      </c>
      <c r="F153" s="202">
        <v>1</v>
      </c>
      <c r="G153" s="202">
        <v>11</v>
      </c>
      <c r="H153" s="202">
        <v>19</v>
      </c>
      <c r="I153" s="202">
        <v>2</v>
      </c>
      <c r="K153" s="202">
        <v>71</v>
      </c>
      <c r="L153" s="202">
        <v>16</v>
      </c>
      <c r="M153" s="202">
        <v>2</v>
      </c>
      <c r="N153" s="202">
        <v>3</v>
      </c>
      <c r="O153" s="202">
        <v>42</v>
      </c>
      <c r="P153" s="202">
        <v>1</v>
      </c>
      <c r="Q153" s="202">
        <v>2</v>
      </c>
      <c r="R153" s="202">
        <v>9</v>
      </c>
      <c r="S153" s="202">
        <v>1</v>
      </c>
    </row>
    <row r="154" spans="1:19" x14ac:dyDescent="0.35">
      <c r="A154" s="202">
        <v>12</v>
      </c>
      <c r="B154" s="202">
        <v>14</v>
      </c>
      <c r="C154" s="202">
        <v>2</v>
      </c>
      <c r="D154" s="202">
        <v>8</v>
      </c>
      <c r="E154" s="202">
        <v>27</v>
      </c>
      <c r="F154" s="202">
        <v>4</v>
      </c>
      <c r="G154" s="202">
        <v>2</v>
      </c>
      <c r="H154" s="202">
        <v>29</v>
      </c>
      <c r="I154" s="202">
        <v>2</v>
      </c>
      <c r="K154" s="202">
        <v>15</v>
      </c>
      <c r="L154" s="202">
        <v>24</v>
      </c>
      <c r="M154" s="202">
        <v>4</v>
      </c>
      <c r="N154" s="202">
        <v>5</v>
      </c>
      <c r="O154" s="202">
        <v>48</v>
      </c>
      <c r="P154" s="202">
        <v>4</v>
      </c>
      <c r="Q154" s="202">
        <v>2</v>
      </c>
      <c r="R154" s="202">
        <v>58</v>
      </c>
      <c r="S154" s="202">
        <v>2</v>
      </c>
    </row>
    <row r="155" spans="1:19" x14ac:dyDescent="0.35">
      <c r="A155" s="202">
        <v>13</v>
      </c>
      <c r="B155" s="202">
        <v>21</v>
      </c>
      <c r="C155" s="202">
        <v>4</v>
      </c>
      <c r="D155" s="202">
        <v>8</v>
      </c>
      <c r="E155" s="202">
        <v>25</v>
      </c>
      <c r="F155" s="202">
        <v>3</v>
      </c>
      <c r="G155" s="202">
        <v>2</v>
      </c>
      <c r="H155" s="202">
        <v>18</v>
      </c>
      <c r="I155" s="202">
        <v>1</v>
      </c>
      <c r="K155" s="202">
        <v>67</v>
      </c>
      <c r="L155" s="202">
        <v>74</v>
      </c>
      <c r="M155" s="202">
        <v>2</v>
      </c>
      <c r="N155" s="202">
        <v>15</v>
      </c>
      <c r="O155" s="202">
        <v>50</v>
      </c>
      <c r="P155" s="202">
        <v>2</v>
      </c>
      <c r="Q155" s="202">
        <v>17</v>
      </c>
      <c r="R155" s="202">
        <v>7</v>
      </c>
      <c r="S155" s="202">
        <v>1</v>
      </c>
    </row>
    <row r="156" spans="1:19" x14ac:dyDescent="0.35">
      <c r="A156" s="202">
        <v>13</v>
      </c>
      <c r="B156" s="202">
        <v>21</v>
      </c>
      <c r="C156" s="202">
        <v>4</v>
      </c>
      <c r="D156" s="202">
        <v>8</v>
      </c>
      <c r="E156" s="202">
        <v>25</v>
      </c>
      <c r="F156" s="202">
        <v>5</v>
      </c>
      <c r="G156" s="202">
        <v>2</v>
      </c>
      <c r="H156" s="202">
        <v>18</v>
      </c>
      <c r="I156" s="202">
        <v>1</v>
      </c>
      <c r="K156" s="202">
        <v>6</v>
      </c>
      <c r="L156" s="202">
        <v>109</v>
      </c>
      <c r="M156" s="202">
        <v>3</v>
      </c>
      <c r="N156" s="202">
        <v>9</v>
      </c>
      <c r="O156" s="202">
        <v>49</v>
      </c>
      <c r="P156" s="202">
        <v>3</v>
      </c>
      <c r="Q156" s="202">
        <v>20</v>
      </c>
      <c r="R156" s="202">
        <v>38</v>
      </c>
      <c r="S156" s="202">
        <v>2</v>
      </c>
    </row>
    <row r="157" spans="1:19" x14ac:dyDescent="0.35">
      <c r="A157" s="202">
        <v>13</v>
      </c>
      <c r="B157" s="202">
        <v>21</v>
      </c>
      <c r="C157" s="202">
        <v>4</v>
      </c>
      <c r="D157" s="202">
        <v>8</v>
      </c>
      <c r="E157" s="202">
        <v>26</v>
      </c>
      <c r="F157" s="202">
        <v>1</v>
      </c>
      <c r="G157" s="202">
        <v>2</v>
      </c>
      <c r="H157" s="202">
        <v>18</v>
      </c>
      <c r="I157" s="202">
        <v>1</v>
      </c>
      <c r="K157" s="202">
        <v>84</v>
      </c>
      <c r="L157" s="202">
        <v>26</v>
      </c>
      <c r="M157" s="202">
        <v>3</v>
      </c>
      <c r="N157" s="202">
        <v>8</v>
      </c>
      <c r="O157" s="202">
        <v>43</v>
      </c>
      <c r="P157" s="202">
        <v>1</v>
      </c>
      <c r="Q157" s="202">
        <v>3</v>
      </c>
      <c r="R157" s="202">
        <v>7</v>
      </c>
      <c r="S157" s="202">
        <v>1</v>
      </c>
    </row>
    <row r="158" spans="1:19" x14ac:dyDescent="0.35">
      <c r="A158" s="202">
        <v>13</v>
      </c>
      <c r="B158" s="202">
        <v>21</v>
      </c>
      <c r="C158" s="202">
        <v>4</v>
      </c>
      <c r="D158" s="202">
        <v>8</v>
      </c>
      <c r="E158" s="202">
        <v>26</v>
      </c>
      <c r="F158" s="202">
        <v>3</v>
      </c>
      <c r="G158" s="202">
        <v>11</v>
      </c>
      <c r="H158" s="202">
        <v>18</v>
      </c>
      <c r="I158" s="202">
        <v>1</v>
      </c>
      <c r="K158" s="202">
        <v>29</v>
      </c>
      <c r="L158" s="202">
        <v>11</v>
      </c>
      <c r="M158" s="202">
        <v>4</v>
      </c>
      <c r="N158" s="202">
        <v>15</v>
      </c>
      <c r="O158" s="202">
        <v>27</v>
      </c>
      <c r="P158" s="202">
        <v>3</v>
      </c>
      <c r="Q158" s="202">
        <v>24</v>
      </c>
      <c r="R158" s="202">
        <v>27</v>
      </c>
      <c r="S158" s="202">
        <v>2</v>
      </c>
    </row>
    <row r="159" spans="1:19" x14ac:dyDescent="0.35">
      <c r="A159" s="202">
        <v>13</v>
      </c>
      <c r="B159" s="202">
        <v>21</v>
      </c>
      <c r="C159" s="202">
        <v>4</v>
      </c>
      <c r="D159" s="202">
        <v>8</v>
      </c>
      <c r="E159" s="202">
        <v>27</v>
      </c>
      <c r="F159" s="202">
        <v>2</v>
      </c>
      <c r="G159" s="202">
        <v>2</v>
      </c>
      <c r="H159" s="202">
        <v>19</v>
      </c>
      <c r="I159" s="202">
        <v>1</v>
      </c>
      <c r="K159" s="202">
        <v>68</v>
      </c>
      <c r="L159" s="202">
        <v>16</v>
      </c>
      <c r="M159" s="202">
        <v>2</v>
      </c>
      <c r="N159" s="202">
        <v>8</v>
      </c>
      <c r="O159" s="202">
        <v>49</v>
      </c>
      <c r="P159" s="202">
        <v>2</v>
      </c>
      <c r="Q159" s="202">
        <v>18</v>
      </c>
      <c r="R159" s="202">
        <v>19</v>
      </c>
      <c r="S159" s="202">
        <v>2</v>
      </c>
    </row>
    <row r="160" spans="1:19" x14ac:dyDescent="0.35">
      <c r="A160" s="202">
        <v>13</v>
      </c>
      <c r="B160" s="202">
        <v>21</v>
      </c>
      <c r="C160" s="202">
        <v>4</v>
      </c>
      <c r="D160" s="202">
        <v>8</v>
      </c>
      <c r="E160" s="202">
        <v>27</v>
      </c>
      <c r="F160" s="202">
        <v>4</v>
      </c>
      <c r="G160" s="202">
        <v>2</v>
      </c>
      <c r="H160" s="202">
        <v>19</v>
      </c>
      <c r="I160" s="202">
        <v>1</v>
      </c>
      <c r="K160" s="202">
        <v>44</v>
      </c>
      <c r="L160" s="202">
        <v>94</v>
      </c>
      <c r="M160" s="202">
        <v>1</v>
      </c>
      <c r="N160" s="202">
        <v>18</v>
      </c>
      <c r="O160" s="202">
        <v>25</v>
      </c>
      <c r="P160" s="202">
        <v>1</v>
      </c>
      <c r="Q160" s="202">
        <v>23</v>
      </c>
      <c r="R160" s="202">
        <v>38</v>
      </c>
      <c r="S160" s="202">
        <v>1</v>
      </c>
    </row>
    <row r="161" spans="1:19" x14ac:dyDescent="0.35">
      <c r="A161" s="202">
        <v>13</v>
      </c>
      <c r="B161" s="202">
        <v>21</v>
      </c>
      <c r="C161" s="202">
        <v>4</v>
      </c>
      <c r="D161" s="202">
        <v>8</v>
      </c>
      <c r="E161" s="202">
        <v>28</v>
      </c>
      <c r="F161" s="202">
        <v>1</v>
      </c>
      <c r="G161" s="202">
        <v>11</v>
      </c>
      <c r="H161" s="202">
        <v>29</v>
      </c>
      <c r="I161" s="202">
        <v>1</v>
      </c>
      <c r="K161" s="202">
        <v>79</v>
      </c>
      <c r="L161" s="202">
        <v>106</v>
      </c>
      <c r="M161" s="202">
        <v>4</v>
      </c>
      <c r="N161" s="202">
        <v>18</v>
      </c>
      <c r="O161" s="202">
        <v>50</v>
      </c>
      <c r="P161" s="202">
        <v>4</v>
      </c>
      <c r="Q161" s="202">
        <v>10</v>
      </c>
      <c r="R161" s="202">
        <v>1</v>
      </c>
      <c r="S161" s="202">
        <v>1</v>
      </c>
    </row>
    <row r="162" spans="1:19" x14ac:dyDescent="0.35">
      <c r="A162" s="202">
        <v>13</v>
      </c>
      <c r="B162" s="202">
        <v>21</v>
      </c>
      <c r="C162" s="202">
        <v>4</v>
      </c>
      <c r="D162" s="202">
        <v>8</v>
      </c>
      <c r="E162" s="202">
        <v>28</v>
      </c>
      <c r="F162" s="202">
        <v>3</v>
      </c>
      <c r="G162" s="202">
        <v>18</v>
      </c>
      <c r="H162" s="202">
        <v>29</v>
      </c>
      <c r="I162" s="202">
        <v>1</v>
      </c>
      <c r="K162" s="202">
        <v>55</v>
      </c>
      <c r="L162" s="202">
        <v>26</v>
      </c>
      <c r="M162" s="202">
        <v>3</v>
      </c>
      <c r="N162" s="202">
        <v>15</v>
      </c>
      <c r="O162" s="202">
        <v>42</v>
      </c>
      <c r="P162" s="202">
        <v>2</v>
      </c>
      <c r="Q162" s="202">
        <v>18</v>
      </c>
      <c r="R162" s="202">
        <v>1</v>
      </c>
      <c r="S162" s="202">
        <v>3</v>
      </c>
    </row>
    <row r="163" spans="1:19" x14ac:dyDescent="0.35">
      <c r="A163" s="202">
        <v>13</v>
      </c>
      <c r="B163" s="202">
        <v>14</v>
      </c>
      <c r="C163" s="202">
        <v>2</v>
      </c>
      <c r="D163" s="202">
        <v>8</v>
      </c>
      <c r="E163" s="202">
        <v>27</v>
      </c>
      <c r="F163" s="202">
        <v>1</v>
      </c>
      <c r="G163" s="202">
        <v>11</v>
      </c>
      <c r="H163" s="202">
        <v>19</v>
      </c>
      <c r="I163" s="202">
        <v>2</v>
      </c>
      <c r="K163" s="202">
        <v>39</v>
      </c>
      <c r="L163" s="202">
        <v>71</v>
      </c>
      <c r="M163" s="202">
        <v>4</v>
      </c>
      <c r="N163" s="202">
        <v>2</v>
      </c>
      <c r="O163" s="202">
        <v>25</v>
      </c>
      <c r="P163" s="202">
        <v>3</v>
      </c>
      <c r="Q163" s="202">
        <v>2</v>
      </c>
      <c r="R163" s="202">
        <v>22</v>
      </c>
      <c r="S163" s="202">
        <v>1</v>
      </c>
    </row>
    <row r="164" spans="1:19" x14ac:dyDescent="0.35">
      <c r="A164" s="202">
        <v>13</v>
      </c>
      <c r="B164" s="202">
        <v>14</v>
      </c>
      <c r="C164" s="202">
        <v>2</v>
      </c>
      <c r="D164" s="202">
        <v>8</v>
      </c>
      <c r="E164" s="202">
        <v>27</v>
      </c>
      <c r="F164" s="202">
        <v>4</v>
      </c>
      <c r="G164" s="202">
        <v>2</v>
      </c>
      <c r="H164" s="202">
        <v>29</v>
      </c>
      <c r="I164" s="202">
        <v>2</v>
      </c>
      <c r="K164" s="202">
        <v>26</v>
      </c>
      <c r="L164" s="202">
        <v>59</v>
      </c>
      <c r="M164" s="202">
        <v>4</v>
      </c>
      <c r="N164" s="202">
        <v>12</v>
      </c>
      <c r="O164" s="202">
        <v>50</v>
      </c>
      <c r="P164" s="202">
        <v>2</v>
      </c>
      <c r="Q164" s="202">
        <v>1</v>
      </c>
      <c r="R164" s="202">
        <v>18</v>
      </c>
      <c r="S164" s="202">
        <v>1</v>
      </c>
    </row>
    <row r="165" spans="1:19" x14ac:dyDescent="0.35">
      <c r="A165" s="202">
        <v>13</v>
      </c>
      <c r="B165" s="202">
        <v>14</v>
      </c>
      <c r="C165" s="202">
        <v>4</v>
      </c>
      <c r="D165" s="202">
        <v>8</v>
      </c>
      <c r="E165" s="202">
        <v>28</v>
      </c>
      <c r="F165" s="202">
        <v>3</v>
      </c>
      <c r="G165" s="202">
        <v>2</v>
      </c>
      <c r="H165" s="202">
        <v>29</v>
      </c>
      <c r="I165" s="202">
        <v>2</v>
      </c>
      <c r="K165" s="202">
        <v>44</v>
      </c>
      <c r="L165" s="202">
        <v>46</v>
      </c>
      <c r="M165" s="202">
        <v>3</v>
      </c>
      <c r="N165" s="202">
        <v>15</v>
      </c>
      <c r="O165" s="202">
        <v>48</v>
      </c>
      <c r="P165" s="202">
        <v>4</v>
      </c>
      <c r="Q165" s="202">
        <v>20</v>
      </c>
      <c r="R165" s="202">
        <v>22</v>
      </c>
      <c r="S165" s="202">
        <v>1</v>
      </c>
    </row>
    <row r="166" spans="1:19" x14ac:dyDescent="0.35">
      <c r="A166" s="202">
        <v>13</v>
      </c>
      <c r="B166" s="202">
        <v>14</v>
      </c>
      <c r="C166" s="202">
        <v>4</v>
      </c>
      <c r="D166" s="202">
        <v>8</v>
      </c>
      <c r="E166" s="202">
        <v>28</v>
      </c>
      <c r="F166" s="202">
        <v>4</v>
      </c>
      <c r="G166" s="202">
        <v>20</v>
      </c>
      <c r="H166" s="202">
        <v>29</v>
      </c>
      <c r="I166" s="202">
        <v>2</v>
      </c>
      <c r="K166" s="202">
        <v>31</v>
      </c>
      <c r="L166" s="202">
        <v>3</v>
      </c>
      <c r="M166" s="202">
        <v>2</v>
      </c>
      <c r="N166" s="202">
        <v>10</v>
      </c>
      <c r="O166" s="202">
        <v>50</v>
      </c>
      <c r="P166" s="202">
        <v>1</v>
      </c>
      <c r="Q166" s="202">
        <v>11</v>
      </c>
      <c r="R166" s="202">
        <v>45</v>
      </c>
      <c r="S166" s="202">
        <v>1</v>
      </c>
    </row>
    <row r="167" spans="1:19" x14ac:dyDescent="0.35">
      <c r="A167" s="202">
        <v>14</v>
      </c>
      <c r="B167" s="202">
        <v>28</v>
      </c>
      <c r="C167" s="202">
        <v>4</v>
      </c>
      <c r="D167" s="202">
        <v>15</v>
      </c>
      <c r="E167" s="202">
        <v>25</v>
      </c>
      <c r="F167" s="202">
        <v>1</v>
      </c>
      <c r="G167" s="202">
        <v>11</v>
      </c>
      <c r="H167" s="202">
        <v>19</v>
      </c>
      <c r="I167" s="202">
        <v>1</v>
      </c>
      <c r="K167" s="202">
        <v>62</v>
      </c>
      <c r="L167" s="202">
        <v>111</v>
      </c>
      <c r="M167" s="202">
        <v>2</v>
      </c>
      <c r="N167" s="202">
        <v>2</v>
      </c>
      <c r="O167" s="202">
        <v>49</v>
      </c>
      <c r="P167" s="202">
        <v>5</v>
      </c>
      <c r="Q167" s="202">
        <v>11</v>
      </c>
      <c r="R167" s="202">
        <v>8</v>
      </c>
      <c r="S167" s="202">
        <v>2</v>
      </c>
    </row>
    <row r="168" spans="1:19" x14ac:dyDescent="0.35">
      <c r="A168" s="202">
        <v>14</v>
      </c>
      <c r="B168" s="202">
        <v>28</v>
      </c>
      <c r="C168" s="202">
        <v>4</v>
      </c>
      <c r="D168" s="202">
        <v>15</v>
      </c>
      <c r="E168" s="202">
        <v>25</v>
      </c>
      <c r="F168" s="202">
        <v>4</v>
      </c>
      <c r="G168" s="202">
        <v>18</v>
      </c>
      <c r="H168" s="202">
        <v>47</v>
      </c>
      <c r="I168" s="202">
        <v>1</v>
      </c>
      <c r="K168" s="202">
        <v>19</v>
      </c>
      <c r="L168" s="202">
        <v>26</v>
      </c>
      <c r="M168" s="202">
        <v>4</v>
      </c>
      <c r="N168" s="202">
        <v>8</v>
      </c>
      <c r="O168" s="202">
        <v>25</v>
      </c>
      <c r="P168" s="202">
        <v>1</v>
      </c>
      <c r="Q168" s="202">
        <v>23</v>
      </c>
      <c r="R168" s="202">
        <v>23</v>
      </c>
      <c r="S168" s="202">
        <v>1</v>
      </c>
    </row>
    <row r="169" spans="1:19" x14ac:dyDescent="0.35">
      <c r="A169" s="202">
        <v>14</v>
      </c>
      <c r="B169" s="202">
        <v>28</v>
      </c>
      <c r="C169" s="202">
        <v>4</v>
      </c>
      <c r="D169" s="202">
        <v>15</v>
      </c>
      <c r="E169" s="202">
        <v>26</v>
      </c>
      <c r="F169" s="202">
        <v>2</v>
      </c>
      <c r="G169" s="202">
        <v>18</v>
      </c>
      <c r="H169" s="202">
        <v>18</v>
      </c>
      <c r="I169" s="202">
        <v>1</v>
      </c>
      <c r="K169" s="202">
        <v>65</v>
      </c>
      <c r="L169" s="202">
        <v>25</v>
      </c>
      <c r="M169" s="202">
        <v>1</v>
      </c>
      <c r="N169" s="202">
        <v>10</v>
      </c>
      <c r="O169" s="202">
        <v>25</v>
      </c>
      <c r="P169" s="202">
        <v>1</v>
      </c>
      <c r="Q169" s="202">
        <v>19</v>
      </c>
      <c r="R169" s="202">
        <v>22</v>
      </c>
      <c r="S169" s="202">
        <v>2</v>
      </c>
    </row>
    <row r="170" spans="1:19" x14ac:dyDescent="0.35">
      <c r="A170" s="202">
        <v>14</v>
      </c>
      <c r="B170" s="202">
        <v>28</v>
      </c>
      <c r="C170" s="202">
        <v>4</v>
      </c>
      <c r="D170" s="202">
        <v>15</v>
      </c>
      <c r="E170" s="202">
        <v>26</v>
      </c>
      <c r="F170" s="202">
        <v>5</v>
      </c>
      <c r="G170" s="202">
        <v>2</v>
      </c>
      <c r="H170" s="202">
        <v>9</v>
      </c>
      <c r="I170" s="202">
        <v>1</v>
      </c>
      <c r="K170" s="202">
        <v>32</v>
      </c>
      <c r="L170" s="202">
        <v>79</v>
      </c>
      <c r="M170" s="202">
        <v>3</v>
      </c>
      <c r="N170" s="202">
        <v>18</v>
      </c>
      <c r="O170" s="202">
        <v>25</v>
      </c>
      <c r="P170" s="202">
        <v>3</v>
      </c>
      <c r="Q170" s="202">
        <v>10</v>
      </c>
      <c r="R170" s="202">
        <v>38</v>
      </c>
      <c r="S170" s="202">
        <v>2</v>
      </c>
    </row>
    <row r="171" spans="1:19" x14ac:dyDescent="0.35">
      <c r="A171" s="202">
        <v>14</v>
      </c>
      <c r="B171" s="202">
        <v>15</v>
      </c>
      <c r="C171" s="202">
        <v>3</v>
      </c>
      <c r="D171" s="202">
        <v>15</v>
      </c>
      <c r="E171" s="202">
        <v>28</v>
      </c>
      <c r="F171" s="202">
        <v>3</v>
      </c>
      <c r="G171" s="202">
        <v>19</v>
      </c>
      <c r="H171" s="202">
        <v>48</v>
      </c>
      <c r="I171" s="202">
        <v>2</v>
      </c>
      <c r="K171" s="202">
        <v>27</v>
      </c>
      <c r="L171" s="202">
        <v>78</v>
      </c>
      <c r="M171" s="202">
        <v>2</v>
      </c>
      <c r="N171" s="202">
        <v>16</v>
      </c>
      <c r="O171" s="202">
        <v>51</v>
      </c>
      <c r="P171" s="202">
        <v>1</v>
      </c>
      <c r="Q171" s="202">
        <v>11</v>
      </c>
      <c r="R171" s="202">
        <v>86</v>
      </c>
      <c r="S171" s="202">
        <v>1</v>
      </c>
    </row>
    <row r="172" spans="1:19" x14ac:dyDescent="0.35">
      <c r="A172" s="202">
        <v>14</v>
      </c>
      <c r="B172" s="202">
        <v>15</v>
      </c>
      <c r="C172" s="202">
        <v>3</v>
      </c>
      <c r="D172" s="202">
        <v>15</v>
      </c>
      <c r="E172" s="202">
        <v>28</v>
      </c>
      <c r="F172" s="202">
        <v>5</v>
      </c>
      <c r="G172" s="202">
        <v>2</v>
      </c>
      <c r="H172" s="202">
        <v>8</v>
      </c>
      <c r="I172" s="202">
        <v>2</v>
      </c>
      <c r="K172" s="202">
        <v>34</v>
      </c>
      <c r="L172" s="202">
        <v>20</v>
      </c>
      <c r="M172" s="202">
        <v>2</v>
      </c>
      <c r="N172" s="202">
        <v>8</v>
      </c>
      <c r="O172" s="202">
        <v>49</v>
      </c>
      <c r="P172" s="202">
        <v>4</v>
      </c>
      <c r="Q172" s="202">
        <v>11</v>
      </c>
      <c r="R172" s="202">
        <v>22</v>
      </c>
      <c r="S172" s="202">
        <v>1</v>
      </c>
    </row>
    <row r="173" spans="1:19" x14ac:dyDescent="0.35">
      <c r="A173" s="202">
        <v>14</v>
      </c>
      <c r="B173" s="202">
        <v>15</v>
      </c>
      <c r="C173" s="202">
        <v>3</v>
      </c>
      <c r="D173" s="202">
        <v>4</v>
      </c>
      <c r="E173" s="202">
        <v>25</v>
      </c>
      <c r="F173" s="202">
        <v>1</v>
      </c>
      <c r="G173" s="202">
        <v>1</v>
      </c>
      <c r="H173" s="202">
        <v>5</v>
      </c>
      <c r="I173" s="202">
        <v>2</v>
      </c>
      <c r="K173" s="202">
        <v>5</v>
      </c>
      <c r="L173" s="202">
        <v>62</v>
      </c>
      <c r="M173" s="202">
        <v>2</v>
      </c>
      <c r="N173" s="202">
        <v>17</v>
      </c>
      <c r="O173" s="202">
        <v>33</v>
      </c>
      <c r="P173" s="202">
        <v>4</v>
      </c>
      <c r="Q173" s="202">
        <v>25</v>
      </c>
      <c r="R173" s="202">
        <v>34</v>
      </c>
      <c r="S173" s="202">
        <v>2</v>
      </c>
    </row>
    <row r="174" spans="1:19" x14ac:dyDescent="0.35">
      <c r="A174" s="202">
        <v>14</v>
      </c>
      <c r="B174" s="202">
        <v>15</v>
      </c>
      <c r="C174" s="202">
        <v>3</v>
      </c>
      <c r="D174" s="202">
        <v>4</v>
      </c>
      <c r="E174" s="202">
        <v>25</v>
      </c>
      <c r="F174" s="202">
        <v>5</v>
      </c>
      <c r="G174" s="202">
        <v>9</v>
      </c>
      <c r="H174" s="202">
        <v>34</v>
      </c>
      <c r="I174" s="202">
        <v>2</v>
      </c>
      <c r="K174" s="202">
        <v>55</v>
      </c>
      <c r="L174" s="202">
        <v>71</v>
      </c>
      <c r="M174" s="202">
        <v>2</v>
      </c>
      <c r="N174" s="202">
        <v>8</v>
      </c>
      <c r="O174" s="202">
        <v>50</v>
      </c>
      <c r="P174" s="202">
        <v>3</v>
      </c>
      <c r="Q174" s="202">
        <v>20</v>
      </c>
      <c r="R174" s="202">
        <v>46</v>
      </c>
      <c r="S174" s="202">
        <v>2</v>
      </c>
    </row>
    <row r="175" spans="1:19" x14ac:dyDescent="0.35">
      <c r="A175" s="202">
        <v>14</v>
      </c>
      <c r="B175" s="202">
        <v>33</v>
      </c>
      <c r="C175" s="202">
        <v>3</v>
      </c>
      <c r="D175" s="202">
        <v>15</v>
      </c>
      <c r="E175" s="202">
        <v>33</v>
      </c>
      <c r="F175" s="202">
        <v>2</v>
      </c>
      <c r="G175" s="202">
        <v>10</v>
      </c>
      <c r="H175" s="202">
        <v>44</v>
      </c>
      <c r="I175" s="202">
        <v>1</v>
      </c>
      <c r="K175" s="202">
        <v>83</v>
      </c>
      <c r="L175" s="202">
        <v>14</v>
      </c>
      <c r="M175" s="202">
        <v>2</v>
      </c>
      <c r="N175" s="202">
        <v>15</v>
      </c>
      <c r="O175" s="202">
        <v>44</v>
      </c>
      <c r="P175" s="202">
        <v>4</v>
      </c>
      <c r="Q175" s="202">
        <v>11</v>
      </c>
      <c r="R175" s="202">
        <v>90</v>
      </c>
      <c r="S175" s="202">
        <v>2</v>
      </c>
    </row>
    <row r="176" spans="1:19" x14ac:dyDescent="0.35">
      <c r="A176" s="202">
        <v>14</v>
      </c>
      <c r="B176" s="202">
        <v>33</v>
      </c>
      <c r="C176" s="202">
        <v>3</v>
      </c>
      <c r="D176" s="202">
        <v>15</v>
      </c>
      <c r="E176" s="202">
        <v>33</v>
      </c>
      <c r="F176" s="202">
        <v>4</v>
      </c>
      <c r="G176" s="202">
        <v>1</v>
      </c>
      <c r="H176" s="202">
        <v>39</v>
      </c>
      <c r="I176" s="202">
        <v>1</v>
      </c>
      <c r="K176" s="202">
        <v>60</v>
      </c>
      <c r="L176" s="202">
        <v>20</v>
      </c>
      <c r="M176" s="202">
        <v>4</v>
      </c>
      <c r="N176" s="202">
        <v>8</v>
      </c>
      <c r="O176" s="202">
        <v>44</v>
      </c>
      <c r="P176" s="202">
        <v>4</v>
      </c>
      <c r="Q176" s="202">
        <v>25</v>
      </c>
      <c r="R176" s="202">
        <v>60</v>
      </c>
      <c r="S176" s="202">
        <v>2</v>
      </c>
    </row>
    <row r="177" spans="1:19" x14ac:dyDescent="0.35">
      <c r="A177" s="202">
        <v>14</v>
      </c>
      <c r="B177" s="202">
        <v>33</v>
      </c>
      <c r="C177" s="202">
        <v>3</v>
      </c>
      <c r="D177" s="202">
        <v>15</v>
      </c>
      <c r="E177" s="202">
        <v>33</v>
      </c>
      <c r="F177" s="202">
        <v>2</v>
      </c>
      <c r="G177" s="202">
        <v>1</v>
      </c>
      <c r="H177" s="202">
        <v>39</v>
      </c>
      <c r="I177" s="202">
        <v>1</v>
      </c>
      <c r="K177" s="202">
        <v>12</v>
      </c>
      <c r="L177" s="202">
        <v>24</v>
      </c>
      <c r="M177" s="202">
        <v>2</v>
      </c>
      <c r="N177" s="202">
        <v>10</v>
      </c>
      <c r="O177" s="202">
        <v>49</v>
      </c>
      <c r="P177" s="202">
        <v>3</v>
      </c>
      <c r="Q177" s="202">
        <v>11</v>
      </c>
      <c r="R177" s="202">
        <v>29</v>
      </c>
      <c r="S177" s="202">
        <v>1</v>
      </c>
    </row>
    <row r="178" spans="1:19" x14ac:dyDescent="0.35">
      <c r="A178" s="202">
        <v>14</v>
      </c>
      <c r="B178" s="202">
        <v>33</v>
      </c>
      <c r="C178" s="202">
        <v>3</v>
      </c>
      <c r="D178" s="202">
        <v>15</v>
      </c>
      <c r="E178" s="202">
        <v>33</v>
      </c>
      <c r="F178" s="202">
        <v>4</v>
      </c>
      <c r="G178" s="202">
        <v>10</v>
      </c>
      <c r="H178" s="202">
        <v>39</v>
      </c>
      <c r="I178" s="202">
        <v>1</v>
      </c>
      <c r="K178" s="202">
        <v>84</v>
      </c>
      <c r="L178" s="202">
        <v>29</v>
      </c>
      <c r="M178" s="202">
        <v>2</v>
      </c>
      <c r="N178" s="202">
        <v>3</v>
      </c>
      <c r="O178" s="202">
        <v>48</v>
      </c>
      <c r="P178" s="202">
        <v>5</v>
      </c>
      <c r="Q178" s="202">
        <v>2</v>
      </c>
      <c r="R178" s="202">
        <v>31</v>
      </c>
      <c r="S178" s="202">
        <v>3</v>
      </c>
    </row>
    <row r="179" spans="1:19" x14ac:dyDescent="0.35">
      <c r="A179" s="202">
        <v>14</v>
      </c>
      <c r="B179" s="202">
        <v>46</v>
      </c>
      <c r="C179" s="202">
        <v>4</v>
      </c>
      <c r="D179" s="202">
        <v>15</v>
      </c>
      <c r="E179" s="202">
        <v>7</v>
      </c>
      <c r="F179" s="202">
        <v>5</v>
      </c>
      <c r="G179" s="202">
        <v>25</v>
      </c>
      <c r="H179" s="202">
        <v>5</v>
      </c>
      <c r="I179" s="202">
        <v>3</v>
      </c>
      <c r="K179" s="202">
        <v>70</v>
      </c>
      <c r="L179" s="202">
        <v>17</v>
      </c>
      <c r="M179" s="202">
        <v>4</v>
      </c>
      <c r="N179" s="202">
        <v>18</v>
      </c>
      <c r="O179" s="202">
        <v>1</v>
      </c>
      <c r="P179" s="202">
        <v>2</v>
      </c>
      <c r="Q179" s="202">
        <v>25</v>
      </c>
      <c r="R179" s="202">
        <v>9</v>
      </c>
      <c r="S179" s="202">
        <v>1</v>
      </c>
    </row>
    <row r="180" spans="1:19" x14ac:dyDescent="0.35">
      <c r="A180" s="202">
        <v>15</v>
      </c>
      <c r="B180" s="202">
        <v>10</v>
      </c>
      <c r="C180" s="202">
        <v>4</v>
      </c>
      <c r="D180" s="202">
        <v>15</v>
      </c>
      <c r="E180" s="202">
        <v>42</v>
      </c>
      <c r="F180" s="202">
        <v>1</v>
      </c>
      <c r="G180" s="202">
        <v>2</v>
      </c>
      <c r="H180" s="202">
        <v>47</v>
      </c>
      <c r="I180" s="202">
        <v>2</v>
      </c>
      <c r="K180" s="202">
        <v>14</v>
      </c>
      <c r="L180" s="202">
        <v>24</v>
      </c>
      <c r="M180" s="202">
        <v>2</v>
      </c>
      <c r="N180" s="202">
        <v>17</v>
      </c>
      <c r="O180" s="202">
        <v>43</v>
      </c>
      <c r="P180" s="202">
        <v>2</v>
      </c>
      <c r="Q180" s="202">
        <v>10</v>
      </c>
      <c r="R180" s="202">
        <v>21</v>
      </c>
      <c r="S180" s="202">
        <v>3</v>
      </c>
    </row>
    <row r="181" spans="1:19" x14ac:dyDescent="0.35">
      <c r="A181" s="202">
        <v>15</v>
      </c>
      <c r="B181" s="202">
        <v>10</v>
      </c>
      <c r="C181" s="202">
        <v>4</v>
      </c>
      <c r="D181" s="202">
        <v>15</v>
      </c>
      <c r="E181" s="202">
        <v>42</v>
      </c>
      <c r="F181" s="202">
        <v>5</v>
      </c>
      <c r="G181" s="202">
        <v>2</v>
      </c>
      <c r="H181" s="202">
        <v>5</v>
      </c>
      <c r="I181" s="202">
        <v>2</v>
      </c>
      <c r="K181" s="202">
        <v>58</v>
      </c>
      <c r="L181" s="202">
        <v>43</v>
      </c>
      <c r="M181" s="202">
        <v>1</v>
      </c>
      <c r="N181" s="202">
        <v>10</v>
      </c>
      <c r="O181" s="202">
        <v>48</v>
      </c>
      <c r="P181" s="202">
        <v>4</v>
      </c>
      <c r="Q181" s="202">
        <v>2</v>
      </c>
      <c r="R181" s="202">
        <v>35</v>
      </c>
      <c r="S181" s="202">
        <v>2</v>
      </c>
    </row>
    <row r="182" spans="1:19" x14ac:dyDescent="0.35">
      <c r="A182" s="202">
        <v>15</v>
      </c>
      <c r="B182" s="202">
        <v>10</v>
      </c>
      <c r="C182" s="202">
        <v>4</v>
      </c>
      <c r="D182" s="202">
        <v>4</v>
      </c>
      <c r="E182" s="202">
        <v>42</v>
      </c>
      <c r="F182" s="202">
        <v>1</v>
      </c>
      <c r="G182" s="202">
        <v>2</v>
      </c>
      <c r="H182" s="202">
        <v>9</v>
      </c>
      <c r="I182" s="202">
        <v>2</v>
      </c>
      <c r="K182" s="202">
        <v>70</v>
      </c>
      <c r="L182" s="202">
        <v>11</v>
      </c>
      <c r="M182" s="202">
        <v>2</v>
      </c>
      <c r="N182" s="202">
        <v>8</v>
      </c>
      <c r="O182" s="202">
        <v>2</v>
      </c>
      <c r="P182" s="202">
        <v>2</v>
      </c>
      <c r="Q182" s="202">
        <v>16</v>
      </c>
      <c r="R182" s="202">
        <v>28</v>
      </c>
      <c r="S182" s="202">
        <v>2</v>
      </c>
    </row>
    <row r="183" spans="1:19" x14ac:dyDescent="0.35">
      <c r="A183" s="202">
        <v>15</v>
      </c>
      <c r="B183" s="202">
        <v>10</v>
      </c>
      <c r="C183" s="202">
        <v>4</v>
      </c>
      <c r="D183" s="202">
        <v>4</v>
      </c>
      <c r="E183" s="202">
        <v>42</v>
      </c>
      <c r="F183" s="202">
        <v>5</v>
      </c>
      <c r="G183" s="202">
        <v>20</v>
      </c>
      <c r="H183" s="202">
        <v>48</v>
      </c>
      <c r="I183" s="202">
        <v>2</v>
      </c>
      <c r="K183" s="202">
        <v>29</v>
      </c>
      <c r="L183" s="202">
        <v>69</v>
      </c>
      <c r="M183" s="202">
        <v>4</v>
      </c>
      <c r="N183" s="202">
        <v>1</v>
      </c>
      <c r="O183" s="202">
        <v>50</v>
      </c>
      <c r="P183" s="202">
        <v>1</v>
      </c>
      <c r="Q183" s="202">
        <v>11</v>
      </c>
      <c r="R183" s="202">
        <v>27</v>
      </c>
      <c r="S183" s="202">
        <v>2</v>
      </c>
    </row>
    <row r="184" spans="1:19" x14ac:dyDescent="0.35">
      <c r="A184" s="202">
        <v>15</v>
      </c>
      <c r="B184" s="202">
        <v>8</v>
      </c>
      <c r="C184" s="202">
        <v>1</v>
      </c>
      <c r="D184" s="202">
        <v>16</v>
      </c>
      <c r="E184" s="202">
        <v>48</v>
      </c>
      <c r="F184" s="202">
        <v>1</v>
      </c>
      <c r="G184" s="202">
        <v>18</v>
      </c>
      <c r="H184" s="202">
        <v>8</v>
      </c>
      <c r="I184" s="202">
        <v>1</v>
      </c>
      <c r="K184" s="202">
        <v>44</v>
      </c>
      <c r="L184" s="202">
        <v>38</v>
      </c>
      <c r="M184" s="202">
        <v>2</v>
      </c>
      <c r="N184" s="202">
        <v>16</v>
      </c>
      <c r="O184" s="202">
        <v>53</v>
      </c>
      <c r="P184" s="202">
        <v>5</v>
      </c>
      <c r="Q184" s="202">
        <v>2</v>
      </c>
      <c r="R184" s="202">
        <v>34</v>
      </c>
      <c r="S184" s="202">
        <v>1</v>
      </c>
    </row>
    <row r="185" spans="1:19" x14ac:dyDescent="0.35">
      <c r="A185" s="202">
        <v>15</v>
      </c>
      <c r="B185" s="202">
        <v>8</v>
      </c>
      <c r="C185" s="202">
        <v>1</v>
      </c>
      <c r="D185" s="202">
        <v>17</v>
      </c>
      <c r="E185" s="202">
        <v>48</v>
      </c>
      <c r="F185" s="202">
        <v>2</v>
      </c>
      <c r="G185" s="202">
        <v>18</v>
      </c>
      <c r="H185" s="202">
        <v>8</v>
      </c>
      <c r="I185" s="202">
        <v>1</v>
      </c>
      <c r="K185" s="202">
        <v>4</v>
      </c>
      <c r="L185" s="202">
        <v>80</v>
      </c>
      <c r="M185" s="202">
        <v>3</v>
      </c>
      <c r="N185" s="202">
        <v>17</v>
      </c>
      <c r="O185" s="202">
        <v>42</v>
      </c>
      <c r="P185" s="202">
        <v>5</v>
      </c>
      <c r="Q185" s="202">
        <v>14</v>
      </c>
      <c r="R185" s="202">
        <v>11</v>
      </c>
      <c r="S185" s="202">
        <v>3</v>
      </c>
    </row>
    <row r="186" spans="1:19" x14ac:dyDescent="0.35">
      <c r="A186" s="202">
        <v>15</v>
      </c>
      <c r="B186" s="202">
        <v>16</v>
      </c>
      <c r="C186" s="202">
        <v>3</v>
      </c>
      <c r="D186" s="202">
        <v>17</v>
      </c>
      <c r="E186" s="202">
        <v>42</v>
      </c>
      <c r="F186" s="202">
        <v>1</v>
      </c>
      <c r="G186" s="202">
        <v>3</v>
      </c>
      <c r="H186" s="202">
        <v>22</v>
      </c>
      <c r="I186" s="202">
        <v>1</v>
      </c>
      <c r="K186" s="202">
        <v>41</v>
      </c>
      <c r="L186" s="202">
        <v>24</v>
      </c>
      <c r="M186" s="202">
        <v>3</v>
      </c>
      <c r="N186" s="202">
        <v>10</v>
      </c>
      <c r="O186" s="202">
        <v>6</v>
      </c>
      <c r="P186" s="202">
        <v>2</v>
      </c>
      <c r="Q186" s="202">
        <v>7</v>
      </c>
      <c r="R186" s="202">
        <v>18</v>
      </c>
      <c r="S186" s="202">
        <v>1</v>
      </c>
    </row>
    <row r="187" spans="1:19" x14ac:dyDescent="0.35">
      <c r="A187" s="202">
        <v>15</v>
      </c>
      <c r="B187" s="202">
        <v>16</v>
      </c>
      <c r="C187" s="202">
        <v>3</v>
      </c>
      <c r="D187" s="202">
        <v>17</v>
      </c>
      <c r="E187" s="202">
        <v>42</v>
      </c>
      <c r="F187" s="202">
        <v>4</v>
      </c>
      <c r="G187" s="202">
        <v>3</v>
      </c>
      <c r="H187" s="202">
        <v>22</v>
      </c>
      <c r="I187" s="202">
        <v>1</v>
      </c>
      <c r="K187" s="202">
        <v>57</v>
      </c>
      <c r="L187" s="202">
        <v>38</v>
      </c>
      <c r="M187" s="202">
        <v>2</v>
      </c>
      <c r="N187" s="202">
        <v>18</v>
      </c>
      <c r="O187" s="202">
        <v>42</v>
      </c>
      <c r="P187" s="202">
        <v>2</v>
      </c>
      <c r="Q187" s="202">
        <v>18</v>
      </c>
      <c r="R187" s="202">
        <v>99</v>
      </c>
      <c r="S187" s="202">
        <v>2</v>
      </c>
    </row>
    <row r="188" spans="1:19" x14ac:dyDescent="0.35">
      <c r="A188" s="202">
        <v>16</v>
      </c>
      <c r="B188" s="202">
        <v>17</v>
      </c>
      <c r="C188" s="202">
        <v>4</v>
      </c>
      <c r="D188" s="202">
        <v>18</v>
      </c>
      <c r="E188" s="202">
        <v>48</v>
      </c>
      <c r="F188" s="202">
        <v>2</v>
      </c>
      <c r="G188" s="202">
        <v>14</v>
      </c>
      <c r="H188" s="202">
        <v>46</v>
      </c>
      <c r="I188" s="202">
        <v>2</v>
      </c>
      <c r="K188" s="202">
        <v>57</v>
      </c>
      <c r="L188" s="202">
        <v>46</v>
      </c>
      <c r="M188" s="202">
        <v>3</v>
      </c>
      <c r="N188" s="202">
        <v>12</v>
      </c>
      <c r="O188" s="202">
        <v>51</v>
      </c>
      <c r="P188" s="202">
        <v>1</v>
      </c>
      <c r="Q188" s="202">
        <v>1</v>
      </c>
      <c r="R188" s="202">
        <v>21</v>
      </c>
      <c r="S188" s="202">
        <v>1</v>
      </c>
    </row>
    <row r="189" spans="1:19" x14ac:dyDescent="0.35">
      <c r="A189" s="202">
        <v>16</v>
      </c>
      <c r="B189" s="202">
        <v>17</v>
      </c>
      <c r="C189" s="202">
        <v>4</v>
      </c>
      <c r="D189" s="202">
        <v>18</v>
      </c>
      <c r="E189" s="202">
        <v>48</v>
      </c>
      <c r="F189" s="202">
        <v>3</v>
      </c>
      <c r="G189" s="202">
        <v>2</v>
      </c>
      <c r="H189" s="202">
        <v>33</v>
      </c>
      <c r="I189" s="202">
        <v>2</v>
      </c>
      <c r="K189" s="202">
        <v>70</v>
      </c>
      <c r="L189" s="202">
        <v>71</v>
      </c>
      <c r="M189" s="202">
        <v>3</v>
      </c>
      <c r="N189" s="202">
        <v>15</v>
      </c>
      <c r="O189" s="202">
        <v>49</v>
      </c>
      <c r="P189" s="202">
        <v>3</v>
      </c>
      <c r="Q189" s="202">
        <v>10</v>
      </c>
      <c r="R189" s="202">
        <v>49</v>
      </c>
      <c r="S189" s="202">
        <v>2</v>
      </c>
    </row>
    <row r="190" spans="1:19" x14ac:dyDescent="0.35">
      <c r="A190" s="202">
        <v>16</v>
      </c>
      <c r="B190" s="202">
        <v>17</v>
      </c>
      <c r="C190" s="202">
        <v>2</v>
      </c>
      <c r="D190" s="202">
        <v>18</v>
      </c>
      <c r="E190" s="202">
        <v>50</v>
      </c>
      <c r="F190" s="202">
        <v>1</v>
      </c>
      <c r="G190" s="202">
        <v>20</v>
      </c>
      <c r="H190" s="202">
        <v>20</v>
      </c>
      <c r="I190" s="202">
        <v>1</v>
      </c>
      <c r="K190" s="202">
        <v>48</v>
      </c>
      <c r="L190" s="202">
        <v>24</v>
      </c>
      <c r="M190" s="202">
        <v>2</v>
      </c>
      <c r="N190" s="202">
        <v>13</v>
      </c>
      <c r="O190" s="202">
        <v>47</v>
      </c>
      <c r="P190" s="202">
        <v>5</v>
      </c>
      <c r="Q190" s="202">
        <v>1</v>
      </c>
      <c r="R190" s="202">
        <v>7</v>
      </c>
      <c r="S190" s="202">
        <v>1</v>
      </c>
    </row>
    <row r="191" spans="1:19" x14ac:dyDescent="0.35">
      <c r="A191" s="202">
        <v>16</v>
      </c>
      <c r="B191" s="202">
        <v>17</v>
      </c>
      <c r="C191" s="202">
        <v>2</v>
      </c>
      <c r="D191" s="202">
        <v>18</v>
      </c>
      <c r="E191" s="202">
        <v>50</v>
      </c>
      <c r="F191" s="202">
        <v>4</v>
      </c>
      <c r="G191" s="202">
        <v>18</v>
      </c>
      <c r="H191" s="202">
        <v>20</v>
      </c>
      <c r="I191" s="202">
        <v>1</v>
      </c>
      <c r="K191" s="202">
        <v>41</v>
      </c>
      <c r="L191" s="202">
        <v>102</v>
      </c>
      <c r="M191" s="202">
        <v>2</v>
      </c>
      <c r="N191" s="202">
        <v>10</v>
      </c>
      <c r="O191" s="202">
        <v>51</v>
      </c>
      <c r="P191" s="202">
        <v>2</v>
      </c>
      <c r="Q191" s="202">
        <v>1</v>
      </c>
      <c r="R191" s="202">
        <v>7</v>
      </c>
      <c r="S191" s="202">
        <v>1</v>
      </c>
    </row>
    <row r="192" spans="1:19" x14ac:dyDescent="0.35">
      <c r="A192" s="202">
        <v>16</v>
      </c>
      <c r="B192" s="202">
        <v>3</v>
      </c>
      <c r="C192" s="202">
        <v>4</v>
      </c>
      <c r="D192" s="202">
        <v>18</v>
      </c>
      <c r="E192" s="202">
        <v>43</v>
      </c>
      <c r="F192" s="202">
        <v>1</v>
      </c>
      <c r="G192" s="202">
        <v>24</v>
      </c>
      <c r="H192" s="202">
        <v>29</v>
      </c>
      <c r="I192" s="202">
        <v>1</v>
      </c>
      <c r="K192" s="202">
        <v>1</v>
      </c>
      <c r="L192" s="202">
        <v>32</v>
      </c>
      <c r="M192" s="202">
        <v>2</v>
      </c>
      <c r="N192" s="202">
        <v>15</v>
      </c>
      <c r="O192" s="202">
        <v>43</v>
      </c>
      <c r="P192" s="202">
        <v>3</v>
      </c>
      <c r="Q192" s="202">
        <v>1</v>
      </c>
      <c r="R192" s="202">
        <v>7</v>
      </c>
      <c r="S192" s="202">
        <v>2</v>
      </c>
    </row>
    <row r="193" spans="1:19" x14ac:dyDescent="0.35">
      <c r="A193" s="202">
        <v>16</v>
      </c>
      <c r="B193" s="202">
        <v>3</v>
      </c>
      <c r="C193" s="202">
        <v>4</v>
      </c>
      <c r="D193" s="202">
        <v>18</v>
      </c>
      <c r="E193" s="202">
        <v>43</v>
      </c>
      <c r="F193" s="202">
        <v>3</v>
      </c>
      <c r="G193" s="202">
        <v>18</v>
      </c>
      <c r="H193" s="202">
        <v>46</v>
      </c>
      <c r="I193" s="202">
        <v>1</v>
      </c>
      <c r="K193" s="202">
        <v>18</v>
      </c>
      <c r="L193" s="202">
        <v>81</v>
      </c>
      <c r="M193" s="202">
        <v>2</v>
      </c>
      <c r="N193" s="202">
        <v>17</v>
      </c>
      <c r="O193" s="202">
        <v>53</v>
      </c>
      <c r="P193" s="202">
        <v>5</v>
      </c>
      <c r="Q193" s="202">
        <v>23</v>
      </c>
      <c r="R193" s="202">
        <v>93</v>
      </c>
      <c r="S193" s="202">
        <v>2</v>
      </c>
    </row>
    <row r="194" spans="1:19" x14ac:dyDescent="0.35">
      <c r="A194" s="202">
        <v>16</v>
      </c>
      <c r="B194" s="202">
        <v>39</v>
      </c>
      <c r="C194" s="202">
        <v>3</v>
      </c>
      <c r="D194" s="202">
        <v>18</v>
      </c>
      <c r="E194" s="202">
        <v>25</v>
      </c>
      <c r="F194" s="202">
        <v>2</v>
      </c>
      <c r="G194" s="202">
        <v>19</v>
      </c>
      <c r="H194" s="202">
        <v>46</v>
      </c>
      <c r="I194" s="202">
        <v>1</v>
      </c>
      <c r="K194" s="202">
        <v>48</v>
      </c>
      <c r="L194" s="202">
        <v>15</v>
      </c>
      <c r="M194" s="202">
        <v>4</v>
      </c>
      <c r="N194" s="202">
        <v>16</v>
      </c>
      <c r="O194" s="202">
        <v>25</v>
      </c>
      <c r="P194" s="202">
        <v>4</v>
      </c>
      <c r="Q194" s="202">
        <v>23</v>
      </c>
      <c r="R194" s="202">
        <v>12</v>
      </c>
      <c r="S194" s="202">
        <v>2</v>
      </c>
    </row>
    <row r="195" spans="1:19" x14ac:dyDescent="0.35">
      <c r="A195" s="202">
        <v>16</v>
      </c>
      <c r="B195" s="202">
        <v>39</v>
      </c>
      <c r="C195" s="202">
        <v>3</v>
      </c>
      <c r="D195" s="202">
        <v>18</v>
      </c>
      <c r="E195" s="202">
        <v>25</v>
      </c>
      <c r="F195" s="202">
        <v>4</v>
      </c>
      <c r="G195" s="202">
        <v>23</v>
      </c>
      <c r="H195" s="202">
        <v>20</v>
      </c>
      <c r="I195" s="202">
        <v>1</v>
      </c>
      <c r="K195" s="202">
        <v>16</v>
      </c>
      <c r="L195" s="202">
        <v>106</v>
      </c>
      <c r="M195" s="202">
        <v>2</v>
      </c>
      <c r="N195" s="202">
        <v>15</v>
      </c>
      <c r="O195" s="202">
        <v>50</v>
      </c>
      <c r="P195" s="202">
        <v>4</v>
      </c>
      <c r="Q195" s="202">
        <v>2</v>
      </c>
      <c r="R195" s="202">
        <v>46</v>
      </c>
      <c r="S195" s="202">
        <v>3</v>
      </c>
    </row>
    <row r="196" spans="1:19" x14ac:dyDescent="0.35">
      <c r="A196" s="202">
        <v>16</v>
      </c>
      <c r="B196" s="202">
        <v>54</v>
      </c>
      <c r="C196" s="202">
        <v>3</v>
      </c>
      <c r="D196" s="202">
        <v>18</v>
      </c>
      <c r="E196" s="202">
        <v>25</v>
      </c>
      <c r="F196" s="202">
        <v>2</v>
      </c>
      <c r="G196" s="202">
        <v>1</v>
      </c>
      <c r="H196" s="202">
        <v>48</v>
      </c>
      <c r="I196" s="202">
        <v>2</v>
      </c>
      <c r="K196" s="202">
        <v>74</v>
      </c>
      <c r="L196" s="202">
        <v>21</v>
      </c>
      <c r="M196" s="202">
        <v>4</v>
      </c>
      <c r="N196" s="202">
        <v>15</v>
      </c>
      <c r="O196" s="202">
        <v>50</v>
      </c>
      <c r="P196" s="202">
        <v>1</v>
      </c>
      <c r="Q196" s="202">
        <v>3</v>
      </c>
      <c r="R196" s="202">
        <v>36</v>
      </c>
      <c r="S196" s="202">
        <v>2</v>
      </c>
    </row>
    <row r="197" spans="1:19" x14ac:dyDescent="0.35">
      <c r="A197" s="202">
        <v>16</v>
      </c>
      <c r="B197" s="202">
        <v>54</v>
      </c>
      <c r="C197" s="202">
        <v>3</v>
      </c>
      <c r="D197" s="202">
        <v>18</v>
      </c>
      <c r="E197" s="202">
        <v>25</v>
      </c>
      <c r="F197" s="202">
        <v>5</v>
      </c>
      <c r="G197" s="202">
        <v>10</v>
      </c>
      <c r="H197" s="202">
        <v>33</v>
      </c>
      <c r="I197" s="202">
        <v>2</v>
      </c>
      <c r="K197" s="202">
        <v>56</v>
      </c>
      <c r="L197" s="202">
        <v>105</v>
      </c>
      <c r="M197" s="202">
        <v>4</v>
      </c>
      <c r="N197" s="202">
        <v>10</v>
      </c>
      <c r="O197" s="202">
        <v>26</v>
      </c>
      <c r="P197" s="202">
        <v>4</v>
      </c>
      <c r="Q197" s="202">
        <v>2</v>
      </c>
      <c r="R197" s="202">
        <v>46</v>
      </c>
      <c r="S197" s="202">
        <v>2</v>
      </c>
    </row>
    <row r="198" spans="1:19" x14ac:dyDescent="0.35">
      <c r="A198" s="202">
        <v>17</v>
      </c>
      <c r="B198" s="202">
        <v>25</v>
      </c>
      <c r="C198" s="202">
        <v>2</v>
      </c>
      <c r="D198" s="202">
        <v>18</v>
      </c>
      <c r="E198" s="202">
        <v>48</v>
      </c>
      <c r="F198" s="202">
        <v>1</v>
      </c>
      <c r="G198" s="202">
        <v>1</v>
      </c>
      <c r="H198" s="202">
        <v>46</v>
      </c>
      <c r="I198" s="202">
        <v>1</v>
      </c>
      <c r="K198" s="202">
        <v>81</v>
      </c>
      <c r="L198" s="202">
        <v>78</v>
      </c>
      <c r="M198" s="202">
        <v>1</v>
      </c>
      <c r="N198" s="202">
        <v>18</v>
      </c>
      <c r="O198" s="202">
        <v>38</v>
      </c>
      <c r="P198" s="202">
        <v>4</v>
      </c>
      <c r="Q198" s="202">
        <v>17</v>
      </c>
      <c r="R198" s="202">
        <v>12</v>
      </c>
      <c r="S198" s="202">
        <v>2</v>
      </c>
    </row>
    <row r="199" spans="1:19" x14ac:dyDescent="0.35">
      <c r="A199" s="202">
        <v>17</v>
      </c>
      <c r="B199" s="202">
        <v>25</v>
      </c>
      <c r="C199" s="202">
        <v>2</v>
      </c>
      <c r="D199" s="202">
        <v>18</v>
      </c>
      <c r="E199" s="202">
        <v>48</v>
      </c>
      <c r="F199" s="202">
        <v>3</v>
      </c>
      <c r="G199" s="202">
        <v>7</v>
      </c>
      <c r="H199" s="202">
        <v>33</v>
      </c>
      <c r="I199" s="202">
        <v>1</v>
      </c>
      <c r="K199" s="202">
        <v>83</v>
      </c>
      <c r="L199" s="202">
        <v>86</v>
      </c>
      <c r="M199" s="202">
        <v>3</v>
      </c>
      <c r="N199" s="202">
        <v>10</v>
      </c>
      <c r="O199" s="202">
        <v>42</v>
      </c>
      <c r="P199" s="202">
        <v>4</v>
      </c>
      <c r="Q199" s="202">
        <v>20</v>
      </c>
      <c r="R199" s="202">
        <v>54</v>
      </c>
      <c r="S199" s="202">
        <v>1</v>
      </c>
    </row>
    <row r="200" spans="1:19" x14ac:dyDescent="0.35">
      <c r="A200" s="202">
        <v>17</v>
      </c>
      <c r="B200" s="202">
        <v>20</v>
      </c>
      <c r="C200" s="202">
        <v>3</v>
      </c>
      <c r="D200" s="202">
        <v>10</v>
      </c>
      <c r="E200" s="202">
        <v>48</v>
      </c>
      <c r="F200" s="202">
        <v>2</v>
      </c>
      <c r="G200" s="202">
        <v>1</v>
      </c>
      <c r="H200" s="202">
        <v>46</v>
      </c>
      <c r="I200" s="202">
        <v>1</v>
      </c>
      <c r="K200" s="202">
        <v>81</v>
      </c>
      <c r="L200" s="202">
        <v>25</v>
      </c>
      <c r="M200" s="202">
        <v>4</v>
      </c>
      <c r="N200" s="202">
        <v>15</v>
      </c>
      <c r="O200" s="202">
        <v>48</v>
      </c>
      <c r="P200" s="202">
        <v>5</v>
      </c>
      <c r="Q200" s="202">
        <v>19</v>
      </c>
      <c r="R200" s="202">
        <v>36</v>
      </c>
      <c r="S200" s="202">
        <v>1</v>
      </c>
    </row>
    <row r="201" spans="1:19" x14ac:dyDescent="0.35">
      <c r="A201" s="202">
        <v>17</v>
      </c>
      <c r="B201" s="202">
        <v>20</v>
      </c>
      <c r="C201" s="202">
        <v>3</v>
      </c>
      <c r="D201" s="202">
        <v>10</v>
      </c>
      <c r="E201" s="202">
        <v>48</v>
      </c>
      <c r="F201" s="202">
        <v>4</v>
      </c>
      <c r="G201" s="202">
        <v>17</v>
      </c>
      <c r="H201" s="202">
        <v>24</v>
      </c>
      <c r="I201" s="202">
        <v>1</v>
      </c>
      <c r="K201" s="202">
        <v>33</v>
      </c>
      <c r="L201" s="202">
        <v>78</v>
      </c>
      <c r="M201" s="202">
        <v>4</v>
      </c>
      <c r="N201" s="202">
        <v>15</v>
      </c>
      <c r="O201" s="202">
        <v>50</v>
      </c>
      <c r="P201" s="202">
        <v>1</v>
      </c>
      <c r="Q201" s="202">
        <v>24</v>
      </c>
      <c r="R201" s="202">
        <v>8</v>
      </c>
      <c r="S201" s="202">
        <v>2</v>
      </c>
    </row>
    <row r="202" spans="1:19" x14ac:dyDescent="0.35">
      <c r="A202" s="202">
        <v>17</v>
      </c>
      <c r="B202" s="202">
        <v>20</v>
      </c>
      <c r="C202" s="202">
        <v>3</v>
      </c>
      <c r="D202" s="202">
        <v>18</v>
      </c>
      <c r="E202" s="202">
        <v>49</v>
      </c>
      <c r="F202" s="202">
        <v>1</v>
      </c>
      <c r="G202" s="202">
        <v>14</v>
      </c>
      <c r="H202" s="202">
        <v>33</v>
      </c>
      <c r="I202" s="202">
        <v>1</v>
      </c>
      <c r="K202" s="202">
        <v>10</v>
      </c>
      <c r="L202" s="202">
        <v>25</v>
      </c>
      <c r="M202" s="202">
        <v>4</v>
      </c>
      <c r="N202" s="202">
        <v>15</v>
      </c>
      <c r="O202" s="202">
        <v>35</v>
      </c>
      <c r="P202" s="202">
        <v>3</v>
      </c>
      <c r="Q202" s="202">
        <v>2</v>
      </c>
      <c r="R202" s="202">
        <v>11</v>
      </c>
      <c r="S202" s="202">
        <v>1</v>
      </c>
    </row>
    <row r="203" spans="1:19" x14ac:dyDescent="0.35">
      <c r="A203" s="202">
        <v>17</v>
      </c>
      <c r="B203" s="202">
        <v>20</v>
      </c>
      <c r="C203" s="202">
        <v>3</v>
      </c>
      <c r="D203" s="202">
        <v>18</v>
      </c>
      <c r="E203" s="202">
        <v>49</v>
      </c>
      <c r="F203" s="202">
        <v>3</v>
      </c>
      <c r="G203" s="202">
        <v>1</v>
      </c>
      <c r="H203" s="202">
        <v>33</v>
      </c>
      <c r="I203" s="202">
        <v>1</v>
      </c>
      <c r="K203" s="202">
        <v>35</v>
      </c>
      <c r="L203" s="202">
        <v>11</v>
      </c>
      <c r="M203" s="202">
        <v>4</v>
      </c>
      <c r="N203" s="202">
        <v>18</v>
      </c>
      <c r="O203" s="202">
        <v>42</v>
      </c>
      <c r="P203" s="202">
        <v>5</v>
      </c>
      <c r="Q203" s="202">
        <v>1</v>
      </c>
      <c r="R203" s="202">
        <v>7</v>
      </c>
      <c r="S203" s="202">
        <v>2</v>
      </c>
    </row>
    <row r="204" spans="1:19" x14ac:dyDescent="0.35">
      <c r="A204" s="202">
        <v>17</v>
      </c>
      <c r="B204" s="202">
        <v>11</v>
      </c>
      <c r="C204" s="202">
        <v>4</v>
      </c>
      <c r="D204" s="202">
        <v>18</v>
      </c>
      <c r="E204" s="202">
        <v>48</v>
      </c>
      <c r="F204" s="202">
        <v>1</v>
      </c>
      <c r="G204" s="202">
        <v>20</v>
      </c>
      <c r="H204" s="202">
        <v>20</v>
      </c>
      <c r="I204" s="202">
        <v>2</v>
      </c>
      <c r="K204" s="202">
        <v>43</v>
      </c>
      <c r="L204" s="202">
        <v>49</v>
      </c>
      <c r="M204" s="202">
        <v>4</v>
      </c>
      <c r="N204" s="202">
        <v>10</v>
      </c>
      <c r="O204" s="202">
        <v>49</v>
      </c>
      <c r="P204" s="202">
        <v>1</v>
      </c>
      <c r="Q204" s="202">
        <v>2</v>
      </c>
      <c r="R204" s="202">
        <v>19</v>
      </c>
      <c r="S204" s="202">
        <v>1</v>
      </c>
    </row>
    <row r="205" spans="1:19" x14ac:dyDescent="0.35">
      <c r="A205" s="202">
        <v>17</v>
      </c>
      <c r="B205" s="202">
        <v>11</v>
      </c>
      <c r="C205" s="202">
        <v>4</v>
      </c>
      <c r="D205" s="202">
        <v>18</v>
      </c>
      <c r="E205" s="202">
        <v>48</v>
      </c>
      <c r="F205" s="202">
        <v>3</v>
      </c>
      <c r="G205" s="202">
        <v>20</v>
      </c>
      <c r="H205" s="202">
        <v>46</v>
      </c>
      <c r="I205" s="202">
        <v>2</v>
      </c>
      <c r="K205" s="202">
        <v>21</v>
      </c>
      <c r="L205" s="202">
        <v>46</v>
      </c>
      <c r="M205" s="202">
        <v>4</v>
      </c>
      <c r="N205" s="202">
        <v>17</v>
      </c>
      <c r="O205" s="202">
        <v>50</v>
      </c>
      <c r="P205" s="202">
        <v>5</v>
      </c>
      <c r="Q205" s="202">
        <v>14</v>
      </c>
      <c r="R205" s="202">
        <v>9</v>
      </c>
      <c r="S205" s="202">
        <v>1</v>
      </c>
    </row>
    <row r="206" spans="1:19" x14ac:dyDescent="0.35">
      <c r="A206" s="202">
        <v>17</v>
      </c>
      <c r="B206" s="202">
        <v>11</v>
      </c>
      <c r="C206" s="202">
        <v>2</v>
      </c>
      <c r="D206" s="202">
        <v>10</v>
      </c>
      <c r="E206" s="202">
        <v>48</v>
      </c>
      <c r="F206" s="202">
        <v>2</v>
      </c>
      <c r="G206" s="202">
        <v>2</v>
      </c>
      <c r="H206" s="202">
        <v>21</v>
      </c>
      <c r="I206" s="202">
        <v>2</v>
      </c>
      <c r="K206" s="202">
        <v>37</v>
      </c>
      <c r="L206" s="202">
        <v>78</v>
      </c>
      <c r="M206" s="202">
        <v>2</v>
      </c>
      <c r="N206" s="202">
        <v>4</v>
      </c>
      <c r="O206" s="202">
        <v>53</v>
      </c>
      <c r="P206" s="202">
        <v>2</v>
      </c>
      <c r="Q206" s="202">
        <v>11</v>
      </c>
      <c r="R206" s="202">
        <v>46</v>
      </c>
      <c r="S206" s="202">
        <v>1</v>
      </c>
    </row>
    <row r="207" spans="1:19" x14ac:dyDescent="0.35">
      <c r="A207" s="202">
        <v>17</v>
      </c>
      <c r="B207" s="202">
        <v>11</v>
      </c>
      <c r="C207" s="202">
        <v>2</v>
      </c>
      <c r="D207" s="202">
        <v>10</v>
      </c>
      <c r="E207" s="202">
        <v>48</v>
      </c>
      <c r="F207" s="202">
        <v>5</v>
      </c>
      <c r="G207" s="202">
        <v>2</v>
      </c>
      <c r="H207" s="202">
        <v>22</v>
      </c>
      <c r="I207" s="202">
        <v>2</v>
      </c>
      <c r="K207" s="202">
        <v>27</v>
      </c>
      <c r="L207" s="202">
        <v>96</v>
      </c>
      <c r="M207" s="202">
        <v>3</v>
      </c>
      <c r="N207" s="202">
        <v>2</v>
      </c>
      <c r="O207" s="202">
        <v>48</v>
      </c>
      <c r="P207" s="202">
        <v>4</v>
      </c>
      <c r="Q207" s="202">
        <v>7</v>
      </c>
      <c r="R207" s="202">
        <v>22</v>
      </c>
      <c r="S207" s="202">
        <v>2</v>
      </c>
    </row>
    <row r="208" spans="1:19" x14ac:dyDescent="0.35">
      <c r="A208" s="202">
        <v>17</v>
      </c>
      <c r="B208" s="202">
        <v>30</v>
      </c>
      <c r="C208" s="202">
        <v>2</v>
      </c>
      <c r="D208" s="202">
        <v>10</v>
      </c>
      <c r="E208" s="202">
        <v>42</v>
      </c>
      <c r="F208" s="202">
        <v>1</v>
      </c>
      <c r="G208" s="202">
        <v>2</v>
      </c>
      <c r="H208" s="202">
        <v>54</v>
      </c>
      <c r="I208" s="202">
        <v>2</v>
      </c>
      <c r="K208" s="202">
        <v>4</v>
      </c>
      <c r="L208" s="202">
        <v>48</v>
      </c>
      <c r="M208" s="202">
        <v>3</v>
      </c>
      <c r="N208" s="202">
        <v>8</v>
      </c>
      <c r="O208" s="202">
        <v>51</v>
      </c>
      <c r="P208" s="202">
        <v>3</v>
      </c>
      <c r="Q208" s="202">
        <v>2</v>
      </c>
      <c r="R208" s="202">
        <v>30</v>
      </c>
      <c r="S208" s="202">
        <v>2</v>
      </c>
    </row>
    <row r="209" spans="1:19" x14ac:dyDescent="0.35">
      <c r="A209" s="202">
        <v>17</v>
      </c>
      <c r="B209" s="202">
        <v>30</v>
      </c>
      <c r="C209" s="202">
        <v>2</v>
      </c>
      <c r="D209" s="202">
        <v>10</v>
      </c>
      <c r="E209" s="202">
        <v>42</v>
      </c>
      <c r="F209" s="202">
        <v>5</v>
      </c>
      <c r="G209" s="202">
        <v>20</v>
      </c>
      <c r="H209" s="202">
        <v>55</v>
      </c>
      <c r="I209" s="202">
        <v>2</v>
      </c>
      <c r="K209" s="202">
        <v>58</v>
      </c>
      <c r="L209" s="202">
        <v>5</v>
      </c>
      <c r="M209" s="202">
        <v>4</v>
      </c>
      <c r="N209" s="202">
        <v>15</v>
      </c>
      <c r="O209" s="202">
        <v>42</v>
      </c>
      <c r="P209" s="202">
        <v>2</v>
      </c>
      <c r="Q209" s="202">
        <v>1</v>
      </c>
      <c r="R209" s="202">
        <v>4</v>
      </c>
      <c r="S209" s="202">
        <v>2</v>
      </c>
    </row>
    <row r="210" spans="1:19" x14ac:dyDescent="0.35">
      <c r="A210" s="202">
        <v>17</v>
      </c>
      <c r="B210" s="202">
        <v>6</v>
      </c>
      <c r="C210" s="202">
        <v>4</v>
      </c>
      <c r="D210" s="202">
        <v>10</v>
      </c>
      <c r="E210" s="202">
        <v>1</v>
      </c>
      <c r="F210" s="202">
        <v>2</v>
      </c>
      <c r="G210" s="202">
        <v>11</v>
      </c>
      <c r="H210" s="202">
        <v>24</v>
      </c>
      <c r="I210" s="202">
        <v>2</v>
      </c>
      <c r="K210" s="202">
        <v>34</v>
      </c>
      <c r="L210" s="202">
        <v>55</v>
      </c>
      <c r="M210" s="202">
        <v>4</v>
      </c>
      <c r="N210" s="202">
        <v>17</v>
      </c>
      <c r="O210" s="202">
        <v>47</v>
      </c>
      <c r="P210" s="202">
        <v>3</v>
      </c>
      <c r="Q210" s="202">
        <v>2</v>
      </c>
      <c r="R210" s="202">
        <v>84</v>
      </c>
      <c r="S210" s="202">
        <v>2</v>
      </c>
    </row>
    <row r="211" spans="1:19" x14ac:dyDescent="0.35">
      <c r="A211" s="202">
        <v>17</v>
      </c>
      <c r="B211" s="202">
        <v>6</v>
      </c>
      <c r="C211" s="202">
        <v>4</v>
      </c>
      <c r="D211" s="202">
        <v>10</v>
      </c>
      <c r="E211" s="202">
        <v>1</v>
      </c>
      <c r="F211" s="202">
        <v>4</v>
      </c>
      <c r="G211" s="202">
        <v>11</v>
      </c>
      <c r="H211" s="202">
        <v>11</v>
      </c>
      <c r="I211" s="202">
        <v>2</v>
      </c>
      <c r="K211" s="202">
        <v>33</v>
      </c>
      <c r="L211" s="202">
        <v>24</v>
      </c>
      <c r="M211" s="202">
        <v>2</v>
      </c>
      <c r="N211" s="202">
        <v>17</v>
      </c>
      <c r="O211" s="202">
        <v>52</v>
      </c>
      <c r="P211" s="202">
        <v>1</v>
      </c>
      <c r="Q211" s="202">
        <v>11</v>
      </c>
      <c r="R211" s="202">
        <v>8</v>
      </c>
      <c r="S211" s="202">
        <v>2</v>
      </c>
    </row>
    <row r="212" spans="1:19" x14ac:dyDescent="0.35">
      <c r="A212" s="202">
        <v>17</v>
      </c>
      <c r="B212" s="202">
        <v>22</v>
      </c>
      <c r="C212" s="202">
        <v>4</v>
      </c>
      <c r="D212" s="202">
        <v>10</v>
      </c>
      <c r="E212" s="202">
        <v>2</v>
      </c>
      <c r="F212" s="202">
        <v>1</v>
      </c>
      <c r="G212" s="202">
        <v>24</v>
      </c>
      <c r="H212" s="202">
        <v>33</v>
      </c>
      <c r="I212" s="202">
        <v>3</v>
      </c>
      <c r="K212" s="202">
        <v>6</v>
      </c>
      <c r="L212" s="202">
        <v>24</v>
      </c>
      <c r="M212" s="202">
        <v>4</v>
      </c>
      <c r="N212" s="202">
        <v>16</v>
      </c>
      <c r="O212" s="202">
        <v>26</v>
      </c>
      <c r="P212" s="202">
        <v>1</v>
      </c>
      <c r="Q212" s="202">
        <v>19</v>
      </c>
      <c r="R212" s="202">
        <v>32</v>
      </c>
      <c r="S212" s="202">
        <v>1</v>
      </c>
    </row>
    <row r="213" spans="1:19" x14ac:dyDescent="0.35">
      <c r="A213" s="202">
        <v>18</v>
      </c>
      <c r="B213" s="202">
        <v>26</v>
      </c>
      <c r="C213" s="202">
        <v>4</v>
      </c>
      <c r="D213" s="202">
        <v>10</v>
      </c>
      <c r="E213" s="202">
        <v>42</v>
      </c>
      <c r="F213" s="202">
        <v>1</v>
      </c>
      <c r="G213" s="202">
        <v>2</v>
      </c>
      <c r="H213" s="202">
        <v>35</v>
      </c>
      <c r="I213" s="202">
        <v>1</v>
      </c>
      <c r="K213" s="202">
        <v>22</v>
      </c>
      <c r="L213" s="202">
        <v>87</v>
      </c>
      <c r="M213" s="202">
        <v>2</v>
      </c>
      <c r="N213" s="202">
        <v>15</v>
      </c>
      <c r="O213" s="202">
        <v>46</v>
      </c>
      <c r="P213" s="202">
        <v>2</v>
      </c>
      <c r="Q213" s="202">
        <v>2</v>
      </c>
      <c r="R213" s="202">
        <v>8</v>
      </c>
      <c r="S213" s="202">
        <v>2</v>
      </c>
    </row>
    <row r="214" spans="1:19" x14ac:dyDescent="0.35">
      <c r="A214" s="202">
        <v>18</v>
      </c>
      <c r="B214" s="202">
        <v>26</v>
      </c>
      <c r="C214" s="202">
        <v>4</v>
      </c>
      <c r="D214" s="202">
        <v>10</v>
      </c>
      <c r="E214" s="202">
        <v>42</v>
      </c>
      <c r="F214" s="202">
        <v>4</v>
      </c>
      <c r="G214" s="202">
        <v>20</v>
      </c>
      <c r="H214" s="202">
        <v>11</v>
      </c>
      <c r="I214" s="202">
        <v>1</v>
      </c>
      <c r="K214" s="202">
        <v>21</v>
      </c>
      <c r="L214" s="202">
        <v>76</v>
      </c>
      <c r="M214" s="202">
        <v>3</v>
      </c>
      <c r="N214" s="202">
        <v>11</v>
      </c>
      <c r="O214" s="202">
        <v>46</v>
      </c>
      <c r="P214" s="202">
        <v>1</v>
      </c>
      <c r="Q214" s="202">
        <v>3</v>
      </c>
      <c r="R214" s="202">
        <v>4</v>
      </c>
      <c r="S214" s="202">
        <v>2</v>
      </c>
    </row>
    <row r="215" spans="1:19" x14ac:dyDescent="0.35">
      <c r="A215" s="202">
        <v>18</v>
      </c>
      <c r="B215" s="202">
        <v>26</v>
      </c>
      <c r="C215" s="202">
        <v>2</v>
      </c>
      <c r="D215" s="202">
        <v>10</v>
      </c>
      <c r="E215" s="202">
        <v>43</v>
      </c>
      <c r="F215" s="202">
        <v>2</v>
      </c>
      <c r="G215" s="202">
        <v>20</v>
      </c>
      <c r="H215" s="202">
        <v>31</v>
      </c>
      <c r="I215" s="202">
        <v>1</v>
      </c>
      <c r="K215" s="202">
        <v>18</v>
      </c>
      <c r="L215" s="202">
        <v>21</v>
      </c>
      <c r="M215" s="202">
        <v>4</v>
      </c>
      <c r="N215" s="202">
        <v>18</v>
      </c>
      <c r="O215" s="202">
        <v>50</v>
      </c>
      <c r="P215" s="202">
        <v>4</v>
      </c>
      <c r="Q215" s="202">
        <v>20</v>
      </c>
      <c r="R215" s="202">
        <v>99</v>
      </c>
      <c r="S215" s="202">
        <v>3</v>
      </c>
    </row>
    <row r="216" spans="1:19" x14ac:dyDescent="0.35">
      <c r="A216" s="202">
        <v>18</v>
      </c>
      <c r="B216" s="202">
        <v>26</v>
      </c>
      <c r="C216" s="202">
        <v>2</v>
      </c>
      <c r="D216" s="202">
        <v>10</v>
      </c>
      <c r="E216" s="202">
        <v>43</v>
      </c>
      <c r="F216" s="202">
        <v>5</v>
      </c>
      <c r="G216" s="202">
        <v>2</v>
      </c>
      <c r="H216" s="202">
        <v>31</v>
      </c>
      <c r="I216" s="202">
        <v>1</v>
      </c>
      <c r="K216" s="202">
        <v>59</v>
      </c>
      <c r="L216" s="202">
        <v>77</v>
      </c>
      <c r="M216" s="202">
        <v>2</v>
      </c>
      <c r="N216" s="202">
        <v>15</v>
      </c>
      <c r="O216" s="202">
        <v>42</v>
      </c>
      <c r="P216" s="202">
        <v>4</v>
      </c>
      <c r="Q216" s="202">
        <v>14</v>
      </c>
      <c r="R216" s="202">
        <v>18</v>
      </c>
      <c r="S216" s="202">
        <v>2</v>
      </c>
    </row>
    <row r="217" spans="1:19" x14ac:dyDescent="0.35">
      <c r="A217" s="202">
        <v>18</v>
      </c>
      <c r="B217" s="202">
        <v>26</v>
      </c>
      <c r="C217" s="202">
        <v>4</v>
      </c>
      <c r="D217" s="202">
        <v>10</v>
      </c>
      <c r="E217" s="202">
        <v>44</v>
      </c>
      <c r="F217" s="202">
        <v>3</v>
      </c>
      <c r="G217" s="202">
        <v>20</v>
      </c>
      <c r="H217" s="202">
        <v>48</v>
      </c>
      <c r="I217" s="202">
        <v>2</v>
      </c>
      <c r="K217" s="202">
        <v>7</v>
      </c>
      <c r="L217" s="202">
        <v>44</v>
      </c>
      <c r="M217" s="202">
        <v>2</v>
      </c>
      <c r="N217" s="202">
        <v>10</v>
      </c>
      <c r="O217" s="202">
        <v>50</v>
      </c>
      <c r="P217" s="202">
        <v>2</v>
      </c>
      <c r="Q217" s="202">
        <v>15</v>
      </c>
      <c r="R217" s="202">
        <v>38</v>
      </c>
      <c r="S217" s="202">
        <v>1</v>
      </c>
    </row>
    <row r="218" spans="1:19" x14ac:dyDescent="0.35">
      <c r="A218" s="202">
        <v>18</v>
      </c>
      <c r="B218" s="202">
        <v>26</v>
      </c>
      <c r="C218" s="202">
        <v>4</v>
      </c>
      <c r="D218" s="202">
        <v>10</v>
      </c>
      <c r="E218" s="202">
        <v>44</v>
      </c>
      <c r="F218" s="202">
        <v>5</v>
      </c>
      <c r="G218" s="202">
        <v>8</v>
      </c>
      <c r="H218" s="202">
        <v>99</v>
      </c>
      <c r="I218" s="202">
        <v>2</v>
      </c>
      <c r="K218" s="202">
        <v>67</v>
      </c>
      <c r="L218" s="202">
        <v>74</v>
      </c>
      <c r="M218" s="202">
        <v>4</v>
      </c>
      <c r="N218" s="202">
        <v>16</v>
      </c>
      <c r="O218" s="202">
        <v>26</v>
      </c>
      <c r="P218" s="202">
        <v>3</v>
      </c>
      <c r="Q218" s="202">
        <v>18</v>
      </c>
      <c r="R218" s="202">
        <v>5</v>
      </c>
      <c r="S218" s="202">
        <v>1</v>
      </c>
    </row>
    <row r="219" spans="1:19" x14ac:dyDescent="0.35">
      <c r="A219" s="202">
        <v>18</v>
      </c>
      <c r="B219" s="202">
        <v>59</v>
      </c>
      <c r="C219" s="202">
        <v>2</v>
      </c>
      <c r="D219" s="202">
        <v>10</v>
      </c>
      <c r="E219" s="202">
        <v>26</v>
      </c>
      <c r="F219" s="202">
        <v>2</v>
      </c>
      <c r="G219" s="202">
        <v>11</v>
      </c>
      <c r="H219" s="202">
        <v>99</v>
      </c>
      <c r="I219" s="202">
        <v>2</v>
      </c>
      <c r="K219" s="202">
        <v>61</v>
      </c>
      <c r="L219" s="202">
        <v>30</v>
      </c>
      <c r="M219" s="202">
        <v>2</v>
      </c>
      <c r="N219" s="202">
        <v>8</v>
      </c>
      <c r="O219" s="202">
        <v>44</v>
      </c>
      <c r="P219" s="202">
        <v>3</v>
      </c>
      <c r="Q219" s="202">
        <v>7</v>
      </c>
      <c r="R219" s="202">
        <v>51</v>
      </c>
      <c r="S219" s="202">
        <v>1</v>
      </c>
    </row>
    <row r="220" spans="1:19" x14ac:dyDescent="0.35">
      <c r="A220" s="202">
        <v>18</v>
      </c>
      <c r="B220" s="202">
        <v>59</v>
      </c>
      <c r="C220" s="202">
        <v>2</v>
      </c>
      <c r="D220" s="202">
        <v>10</v>
      </c>
      <c r="E220" s="202">
        <v>26</v>
      </c>
      <c r="F220" s="202">
        <v>4</v>
      </c>
      <c r="G220" s="202">
        <v>11</v>
      </c>
      <c r="H220" s="202">
        <v>28</v>
      </c>
      <c r="I220" s="202">
        <v>2</v>
      </c>
      <c r="K220" s="202">
        <v>29</v>
      </c>
      <c r="L220" s="202">
        <v>27</v>
      </c>
      <c r="M220" s="202">
        <v>2</v>
      </c>
      <c r="N220" s="202">
        <v>6</v>
      </c>
      <c r="O220" s="202">
        <v>47</v>
      </c>
      <c r="P220" s="202">
        <v>5</v>
      </c>
      <c r="Q220" s="202">
        <v>25</v>
      </c>
      <c r="R220" s="202">
        <v>31</v>
      </c>
      <c r="S220" s="202">
        <v>1</v>
      </c>
    </row>
    <row r="221" spans="1:19" x14ac:dyDescent="0.35">
      <c r="A221" s="202">
        <v>18</v>
      </c>
      <c r="B221" s="202">
        <v>59</v>
      </c>
      <c r="C221" s="202">
        <v>2</v>
      </c>
      <c r="D221" s="202">
        <v>10</v>
      </c>
      <c r="E221" s="202">
        <v>27</v>
      </c>
      <c r="F221" s="202">
        <v>1</v>
      </c>
      <c r="G221" s="202">
        <v>20</v>
      </c>
      <c r="H221" s="202">
        <v>27</v>
      </c>
      <c r="I221" s="202">
        <v>1</v>
      </c>
      <c r="K221" s="202">
        <v>2</v>
      </c>
      <c r="L221" s="202">
        <v>63</v>
      </c>
      <c r="M221" s="202">
        <v>2</v>
      </c>
      <c r="N221" s="202">
        <v>15</v>
      </c>
      <c r="O221" s="202">
        <v>3</v>
      </c>
      <c r="P221" s="202">
        <v>3</v>
      </c>
      <c r="Q221" s="202">
        <v>2</v>
      </c>
      <c r="R221" s="202">
        <v>7</v>
      </c>
      <c r="S221" s="202">
        <v>1</v>
      </c>
    </row>
    <row r="222" spans="1:19" x14ac:dyDescent="0.35">
      <c r="A222" s="202">
        <v>18</v>
      </c>
      <c r="B222" s="202">
        <v>59</v>
      </c>
      <c r="C222" s="202">
        <v>2</v>
      </c>
      <c r="D222" s="202">
        <v>10</v>
      </c>
      <c r="E222" s="202">
        <v>27</v>
      </c>
      <c r="F222" s="202">
        <v>4</v>
      </c>
      <c r="G222" s="202">
        <v>11</v>
      </c>
      <c r="H222" s="202">
        <v>28</v>
      </c>
      <c r="I222" s="202">
        <v>1</v>
      </c>
      <c r="K222" s="202">
        <v>35</v>
      </c>
      <c r="L222" s="202">
        <v>24</v>
      </c>
      <c r="M222" s="202">
        <v>4</v>
      </c>
      <c r="N222" s="202">
        <v>10</v>
      </c>
      <c r="O222" s="202">
        <v>25</v>
      </c>
      <c r="P222" s="202">
        <v>3</v>
      </c>
      <c r="Q222" s="202">
        <v>1</v>
      </c>
      <c r="R222" s="202">
        <v>48</v>
      </c>
      <c r="S222" s="202">
        <v>2</v>
      </c>
    </row>
    <row r="223" spans="1:19" x14ac:dyDescent="0.35">
      <c r="A223" s="202">
        <v>18</v>
      </c>
      <c r="B223" s="202">
        <v>62</v>
      </c>
      <c r="C223" s="202">
        <v>4</v>
      </c>
      <c r="D223" s="202">
        <v>10</v>
      </c>
      <c r="E223" s="202">
        <v>1</v>
      </c>
      <c r="F223" s="202">
        <v>1</v>
      </c>
      <c r="G223" s="202">
        <v>8</v>
      </c>
      <c r="H223" s="202">
        <v>51</v>
      </c>
      <c r="I223" s="202">
        <v>1</v>
      </c>
      <c r="K223" s="202">
        <v>66</v>
      </c>
      <c r="L223" s="202">
        <v>25</v>
      </c>
      <c r="M223" s="202">
        <v>3</v>
      </c>
      <c r="N223" s="202">
        <v>3</v>
      </c>
      <c r="O223" s="202">
        <v>28</v>
      </c>
      <c r="P223" s="202">
        <v>1</v>
      </c>
      <c r="Q223" s="202">
        <v>20</v>
      </c>
      <c r="R223" s="202">
        <v>52</v>
      </c>
      <c r="S223" s="202">
        <v>2</v>
      </c>
    </row>
    <row r="224" spans="1:19" x14ac:dyDescent="0.35">
      <c r="A224" s="202">
        <v>18</v>
      </c>
      <c r="B224" s="202">
        <v>62</v>
      </c>
      <c r="C224" s="202">
        <v>4</v>
      </c>
      <c r="D224" s="202">
        <v>10</v>
      </c>
      <c r="E224" s="202">
        <v>1</v>
      </c>
      <c r="F224" s="202">
        <v>2</v>
      </c>
      <c r="G224" s="202">
        <v>2</v>
      </c>
      <c r="H224" s="202">
        <v>38</v>
      </c>
      <c r="I224" s="202">
        <v>1</v>
      </c>
      <c r="K224" s="202">
        <v>37</v>
      </c>
      <c r="L224" s="202">
        <v>8</v>
      </c>
      <c r="M224" s="202">
        <v>4</v>
      </c>
      <c r="N224" s="202">
        <v>15</v>
      </c>
      <c r="O224" s="202">
        <v>48</v>
      </c>
      <c r="P224" s="202">
        <v>2</v>
      </c>
      <c r="Q224" s="202">
        <v>11</v>
      </c>
      <c r="R224" s="202">
        <v>99</v>
      </c>
      <c r="S224" s="202">
        <v>2</v>
      </c>
    </row>
    <row r="225" spans="1:19" x14ac:dyDescent="0.35">
      <c r="A225" s="202">
        <v>18</v>
      </c>
      <c r="B225" s="202">
        <v>22</v>
      </c>
      <c r="C225" s="202">
        <v>4</v>
      </c>
      <c r="D225" s="202">
        <v>10</v>
      </c>
      <c r="E225" s="202">
        <v>3</v>
      </c>
      <c r="F225" s="202">
        <v>1</v>
      </c>
      <c r="G225" s="202">
        <v>24</v>
      </c>
      <c r="H225" s="202">
        <v>48</v>
      </c>
      <c r="I225" s="202">
        <v>3</v>
      </c>
      <c r="K225" s="202">
        <v>17</v>
      </c>
      <c r="L225" s="202">
        <v>20</v>
      </c>
      <c r="M225" s="202">
        <v>2</v>
      </c>
      <c r="N225" s="202">
        <v>17</v>
      </c>
      <c r="O225" s="202">
        <v>42</v>
      </c>
      <c r="P225" s="202">
        <v>3</v>
      </c>
      <c r="Q225" s="202">
        <v>2</v>
      </c>
      <c r="R225" s="202">
        <v>38</v>
      </c>
      <c r="S225" s="202">
        <v>1</v>
      </c>
    </row>
    <row r="226" spans="1:19" x14ac:dyDescent="0.35">
      <c r="A226" s="202">
        <v>19</v>
      </c>
      <c r="B226" s="202">
        <v>63</v>
      </c>
      <c r="C226" s="202">
        <v>4</v>
      </c>
      <c r="D226" s="202">
        <v>15</v>
      </c>
      <c r="E226" s="202">
        <v>46</v>
      </c>
      <c r="F226" s="202">
        <v>2</v>
      </c>
      <c r="G226" s="202">
        <v>8</v>
      </c>
      <c r="H226" s="202">
        <v>5</v>
      </c>
      <c r="I226" s="202">
        <v>1</v>
      </c>
      <c r="K226" s="202">
        <v>41</v>
      </c>
      <c r="L226" s="202">
        <v>93</v>
      </c>
      <c r="M226" s="202">
        <v>2</v>
      </c>
      <c r="N226" s="202">
        <v>15</v>
      </c>
      <c r="O226" s="202">
        <v>50</v>
      </c>
      <c r="P226" s="202">
        <v>5</v>
      </c>
      <c r="Q226" s="202">
        <v>24</v>
      </c>
      <c r="R226" s="202">
        <v>33</v>
      </c>
      <c r="S226" s="202">
        <v>2</v>
      </c>
    </row>
    <row r="227" spans="1:19" x14ac:dyDescent="0.35">
      <c r="A227" s="202">
        <v>19</v>
      </c>
      <c r="B227" s="202">
        <v>63</v>
      </c>
      <c r="C227" s="202">
        <v>4</v>
      </c>
      <c r="D227" s="202">
        <v>15</v>
      </c>
      <c r="E227" s="202">
        <v>46</v>
      </c>
      <c r="F227" s="202">
        <v>5</v>
      </c>
      <c r="G227" s="202">
        <v>2</v>
      </c>
      <c r="H227" s="202">
        <v>36</v>
      </c>
      <c r="I227" s="202">
        <v>1</v>
      </c>
      <c r="K227" s="202">
        <v>75</v>
      </c>
      <c r="L227" s="202">
        <v>70</v>
      </c>
      <c r="M227" s="202">
        <v>4</v>
      </c>
      <c r="N227" s="202">
        <v>15</v>
      </c>
      <c r="O227" s="202">
        <v>26</v>
      </c>
      <c r="P227" s="202">
        <v>4</v>
      </c>
      <c r="Q227" s="202">
        <v>23</v>
      </c>
      <c r="R227" s="202">
        <v>47</v>
      </c>
      <c r="S227" s="202">
        <v>1</v>
      </c>
    </row>
    <row r="228" spans="1:19" x14ac:dyDescent="0.35">
      <c r="A228" s="202">
        <v>19</v>
      </c>
      <c r="B228" s="202">
        <v>44</v>
      </c>
      <c r="C228" s="202">
        <v>4</v>
      </c>
      <c r="D228" s="202">
        <v>15</v>
      </c>
      <c r="E228" s="202">
        <v>25</v>
      </c>
      <c r="F228" s="202">
        <v>2</v>
      </c>
      <c r="G228" s="202">
        <v>8</v>
      </c>
      <c r="H228" s="202">
        <v>5</v>
      </c>
      <c r="I228" s="202">
        <v>2</v>
      </c>
      <c r="K228" s="202">
        <v>25</v>
      </c>
      <c r="L228" s="202">
        <v>75</v>
      </c>
      <c r="M228" s="202">
        <v>1</v>
      </c>
      <c r="N228" s="202">
        <v>15</v>
      </c>
      <c r="O228" s="202">
        <v>3</v>
      </c>
      <c r="P228" s="202">
        <v>1</v>
      </c>
      <c r="Q228" s="202">
        <v>21</v>
      </c>
      <c r="R228" s="202">
        <v>90</v>
      </c>
      <c r="S228" s="202">
        <v>2</v>
      </c>
    </row>
    <row r="229" spans="1:19" x14ac:dyDescent="0.35">
      <c r="A229" s="202">
        <v>19</v>
      </c>
      <c r="B229" s="202">
        <v>44</v>
      </c>
      <c r="C229" s="202">
        <v>4</v>
      </c>
      <c r="D229" s="202">
        <v>15</v>
      </c>
      <c r="E229" s="202">
        <v>25</v>
      </c>
      <c r="F229" s="202">
        <v>5</v>
      </c>
      <c r="G229" s="202">
        <v>2</v>
      </c>
      <c r="H229" s="202">
        <v>36</v>
      </c>
      <c r="I229" s="202">
        <v>2</v>
      </c>
      <c r="K229" s="202">
        <v>33</v>
      </c>
      <c r="L229" s="202">
        <v>87</v>
      </c>
      <c r="M229" s="202">
        <v>2</v>
      </c>
      <c r="N229" s="202">
        <v>10</v>
      </c>
      <c r="O229" s="202">
        <v>48</v>
      </c>
      <c r="P229" s="202">
        <v>4</v>
      </c>
      <c r="Q229" s="202">
        <v>1</v>
      </c>
      <c r="R229" s="202">
        <v>7</v>
      </c>
      <c r="S229" s="202">
        <v>1</v>
      </c>
    </row>
    <row r="230" spans="1:19" x14ac:dyDescent="0.35">
      <c r="A230" s="202">
        <v>19</v>
      </c>
      <c r="B230" s="202">
        <v>44</v>
      </c>
      <c r="C230" s="202">
        <v>4</v>
      </c>
      <c r="D230" s="202">
        <v>4</v>
      </c>
      <c r="E230" s="202">
        <v>25</v>
      </c>
      <c r="F230" s="202">
        <v>1</v>
      </c>
      <c r="G230" s="202">
        <v>11</v>
      </c>
      <c r="H230" s="202">
        <v>41</v>
      </c>
      <c r="I230" s="202">
        <v>2</v>
      </c>
      <c r="K230" s="202">
        <v>7</v>
      </c>
      <c r="L230" s="202">
        <v>2</v>
      </c>
      <c r="M230" s="202">
        <v>2</v>
      </c>
      <c r="N230" s="202">
        <v>10</v>
      </c>
      <c r="O230" s="202">
        <v>49</v>
      </c>
      <c r="P230" s="202">
        <v>3</v>
      </c>
      <c r="Q230" s="202">
        <v>11</v>
      </c>
      <c r="R230" s="202">
        <v>9</v>
      </c>
      <c r="S230" s="202">
        <v>3</v>
      </c>
    </row>
    <row r="231" spans="1:19" x14ac:dyDescent="0.35">
      <c r="A231" s="202">
        <v>19</v>
      </c>
      <c r="B231" s="202">
        <v>44</v>
      </c>
      <c r="C231" s="202">
        <v>4</v>
      </c>
      <c r="D231" s="202">
        <v>4</v>
      </c>
      <c r="E231" s="202">
        <v>25</v>
      </c>
      <c r="F231" s="202">
        <v>4</v>
      </c>
      <c r="G231" s="202">
        <v>2</v>
      </c>
      <c r="H231" s="202">
        <v>8</v>
      </c>
      <c r="I231" s="202">
        <v>2</v>
      </c>
      <c r="K231" s="202">
        <v>53</v>
      </c>
      <c r="L231" s="202">
        <v>49</v>
      </c>
      <c r="M231" s="202">
        <v>3</v>
      </c>
      <c r="N231" s="202">
        <v>16</v>
      </c>
      <c r="O231" s="202">
        <v>43</v>
      </c>
      <c r="P231" s="202">
        <v>4</v>
      </c>
      <c r="Q231" s="202">
        <v>25</v>
      </c>
      <c r="R231" s="202">
        <v>7</v>
      </c>
      <c r="S231" s="202">
        <v>2</v>
      </c>
    </row>
    <row r="232" spans="1:19" x14ac:dyDescent="0.35">
      <c r="A232" s="202">
        <v>19</v>
      </c>
      <c r="B232" s="202">
        <v>64</v>
      </c>
      <c r="C232" s="202">
        <v>1</v>
      </c>
      <c r="D232" s="202">
        <v>16</v>
      </c>
      <c r="E232" s="202">
        <v>42</v>
      </c>
      <c r="F232" s="202">
        <v>1</v>
      </c>
      <c r="G232" s="202">
        <v>1</v>
      </c>
      <c r="H232" s="202">
        <v>41</v>
      </c>
      <c r="I232" s="202">
        <v>2</v>
      </c>
      <c r="K232" s="202">
        <v>73</v>
      </c>
      <c r="L232" s="202">
        <v>108</v>
      </c>
      <c r="M232" s="202">
        <v>1</v>
      </c>
      <c r="N232" s="202">
        <v>10</v>
      </c>
      <c r="O232" s="202">
        <v>29</v>
      </c>
      <c r="P232" s="202">
        <v>4</v>
      </c>
      <c r="Q232" s="202">
        <v>1</v>
      </c>
      <c r="R232" s="202">
        <v>34</v>
      </c>
      <c r="S232" s="202">
        <v>2</v>
      </c>
    </row>
    <row r="233" spans="1:19" x14ac:dyDescent="0.35">
      <c r="A233" s="202">
        <v>19</v>
      </c>
      <c r="B233" s="202">
        <v>64</v>
      </c>
      <c r="C233" s="202">
        <v>1</v>
      </c>
      <c r="D233" s="202">
        <v>16</v>
      </c>
      <c r="E233" s="202">
        <v>42</v>
      </c>
      <c r="F233" s="202">
        <v>2</v>
      </c>
      <c r="G233" s="202">
        <v>1</v>
      </c>
      <c r="H233" s="202">
        <v>41</v>
      </c>
      <c r="I233" s="202">
        <v>2</v>
      </c>
      <c r="K233" s="202">
        <v>65</v>
      </c>
      <c r="L233" s="202">
        <v>24</v>
      </c>
      <c r="M233" s="202">
        <v>3</v>
      </c>
      <c r="N233" s="202">
        <v>15</v>
      </c>
      <c r="O233" s="202">
        <v>38</v>
      </c>
      <c r="P233" s="202">
        <v>3</v>
      </c>
      <c r="Q233" s="202">
        <v>25</v>
      </c>
      <c r="R233" s="202">
        <v>20</v>
      </c>
      <c r="S233" s="202">
        <v>2</v>
      </c>
    </row>
    <row r="234" spans="1:19" x14ac:dyDescent="0.35">
      <c r="A234" s="202">
        <v>19</v>
      </c>
      <c r="B234" s="202">
        <v>65</v>
      </c>
      <c r="C234" s="202">
        <v>1</v>
      </c>
      <c r="D234" s="202">
        <v>16</v>
      </c>
      <c r="E234" s="202">
        <v>43</v>
      </c>
      <c r="F234" s="202">
        <v>4</v>
      </c>
      <c r="G234" s="202">
        <v>13</v>
      </c>
      <c r="H234" s="202">
        <v>36</v>
      </c>
      <c r="I234" s="202">
        <v>1</v>
      </c>
      <c r="K234" s="202">
        <v>2</v>
      </c>
      <c r="L234" s="202">
        <v>14</v>
      </c>
      <c r="M234" s="202">
        <v>4</v>
      </c>
      <c r="N234" s="202">
        <v>10</v>
      </c>
      <c r="O234" s="202">
        <v>48</v>
      </c>
      <c r="P234" s="202">
        <v>2</v>
      </c>
      <c r="Q234" s="202">
        <v>11</v>
      </c>
      <c r="R234" s="202">
        <v>38</v>
      </c>
      <c r="S234" s="202">
        <v>2</v>
      </c>
    </row>
    <row r="235" spans="1:19" x14ac:dyDescent="0.35">
      <c r="A235" s="202">
        <v>19</v>
      </c>
      <c r="B235" s="202">
        <v>65</v>
      </c>
      <c r="C235" s="202">
        <v>1</v>
      </c>
      <c r="D235" s="202">
        <v>16</v>
      </c>
      <c r="E235" s="202">
        <v>43</v>
      </c>
      <c r="F235" s="202">
        <v>5</v>
      </c>
      <c r="G235" s="202">
        <v>13</v>
      </c>
      <c r="H235" s="202">
        <v>28</v>
      </c>
      <c r="I235" s="202">
        <v>1</v>
      </c>
      <c r="K235" s="202">
        <v>38</v>
      </c>
      <c r="L235" s="202">
        <v>5</v>
      </c>
      <c r="M235" s="202">
        <v>3</v>
      </c>
      <c r="N235" s="202">
        <v>16</v>
      </c>
      <c r="O235" s="202">
        <v>48</v>
      </c>
      <c r="P235" s="202">
        <v>1</v>
      </c>
      <c r="Q235" s="202">
        <v>22</v>
      </c>
      <c r="R235" s="202">
        <v>43</v>
      </c>
      <c r="S235" s="202">
        <v>1</v>
      </c>
    </row>
    <row r="236" spans="1:19" x14ac:dyDescent="0.35">
      <c r="A236" s="202">
        <v>19</v>
      </c>
      <c r="B236" s="202">
        <v>66</v>
      </c>
      <c r="C236" s="202">
        <v>2</v>
      </c>
      <c r="D236" s="202">
        <v>17</v>
      </c>
      <c r="E236" s="202">
        <v>48</v>
      </c>
      <c r="F236" s="202">
        <v>1</v>
      </c>
      <c r="G236" s="202">
        <v>20</v>
      </c>
      <c r="H236" s="202">
        <v>5</v>
      </c>
      <c r="I236" s="202">
        <v>2</v>
      </c>
      <c r="K236" s="202">
        <v>12</v>
      </c>
      <c r="L236" s="202">
        <v>76</v>
      </c>
      <c r="M236" s="202">
        <v>4</v>
      </c>
      <c r="N236" s="202">
        <v>15</v>
      </c>
      <c r="O236" s="202">
        <v>26</v>
      </c>
      <c r="P236" s="202">
        <v>4</v>
      </c>
      <c r="Q236" s="202">
        <v>18</v>
      </c>
      <c r="R236" s="202">
        <v>19</v>
      </c>
      <c r="S236" s="202">
        <v>2</v>
      </c>
    </row>
    <row r="237" spans="1:19" x14ac:dyDescent="0.35">
      <c r="A237" s="202">
        <v>19</v>
      </c>
      <c r="B237" s="202">
        <v>66</v>
      </c>
      <c r="C237" s="202">
        <v>2</v>
      </c>
      <c r="D237" s="202">
        <v>17</v>
      </c>
      <c r="E237" s="202">
        <v>48</v>
      </c>
      <c r="F237" s="202">
        <v>4</v>
      </c>
      <c r="G237" s="202">
        <v>20</v>
      </c>
      <c r="H237" s="202">
        <v>5</v>
      </c>
      <c r="I237" s="202">
        <v>2</v>
      </c>
      <c r="K237" s="202">
        <v>72</v>
      </c>
      <c r="L237" s="202">
        <v>68</v>
      </c>
      <c r="M237" s="202">
        <v>4</v>
      </c>
      <c r="N237" s="202">
        <v>15</v>
      </c>
      <c r="O237" s="202">
        <v>48</v>
      </c>
      <c r="P237" s="202">
        <v>1</v>
      </c>
      <c r="Q237" s="202">
        <v>23</v>
      </c>
      <c r="R237" s="202">
        <v>11</v>
      </c>
      <c r="S237" s="202">
        <v>1</v>
      </c>
    </row>
    <row r="238" spans="1:19" x14ac:dyDescent="0.35">
      <c r="A238" s="202">
        <v>19</v>
      </c>
      <c r="B238" s="202">
        <v>67</v>
      </c>
      <c r="C238" s="202">
        <v>2</v>
      </c>
      <c r="D238" s="202">
        <v>17</v>
      </c>
      <c r="E238" s="202">
        <v>43</v>
      </c>
      <c r="F238" s="202">
        <v>1</v>
      </c>
      <c r="G238" s="202">
        <v>15</v>
      </c>
      <c r="H238" s="202">
        <v>34</v>
      </c>
      <c r="I238" s="202">
        <v>1</v>
      </c>
      <c r="K238" s="202">
        <v>8</v>
      </c>
      <c r="L238" s="202">
        <v>53</v>
      </c>
      <c r="M238" s="202">
        <v>2</v>
      </c>
      <c r="N238" s="202">
        <v>16</v>
      </c>
      <c r="O238" s="202">
        <v>36</v>
      </c>
      <c r="P238" s="202">
        <v>1</v>
      </c>
      <c r="Q238" s="202">
        <v>2</v>
      </c>
      <c r="R238" s="202">
        <v>35</v>
      </c>
      <c r="S238" s="202">
        <v>1</v>
      </c>
    </row>
    <row r="239" spans="1:19" x14ac:dyDescent="0.35">
      <c r="A239" s="202">
        <v>19</v>
      </c>
      <c r="B239" s="202">
        <v>67</v>
      </c>
      <c r="C239" s="202">
        <v>2</v>
      </c>
      <c r="D239" s="202">
        <v>17</v>
      </c>
      <c r="E239" s="202">
        <v>43</v>
      </c>
      <c r="F239" s="202">
        <v>4</v>
      </c>
      <c r="G239" s="202">
        <v>15</v>
      </c>
      <c r="H239" s="202">
        <v>34</v>
      </c>
      <c r="I239" s="202">
        <v>1</v>
      </c>
      <c r="K239" s="202">
        <v>71</v>
      </c>
      <c r="L239" s="202">
        <v>44</v>
      </c>
      <c r="M239" s="202">
        <v>2</v>
      </c>
      <c r="N239" s="202">
        <v>15</v>
      </c>
      <c r="O239" s="202">
        <v>25</v>
      </c>
      <c r="P239" s="202">
        <v>5</v>
      </c>
      <c r="Q239" s="202">
        <v>10</v>
      </c>
      <c r="R239" s="202">
        <v>73</v>
      </c>
      <c r="S239" s="202">
        <v>3</v>
      </c>
    </row>
    <row r="240" spans="1:19" x14ac:dyDescent="0.35">
      <c r="A240" s="202">
        <v>19</v>
      </c>
      <c r="B240" s="202">
        <v>68</v>
      </c>
      <c r="C240" s="202">
        <v>2</v>
      </c>
      <c r="D240" s="202">
        <v>17</v>
      </c>
      <c r="E240" s="202">
        <v>47</v>
      </c>
      <c r="F240" s="202">
        <v>2</v>
      </c>
      <c r="G240" s="202">
        <v>20</v>
      </c>
      <c r="H240" s="202">
        <v>9</v>
      </c>
      <c r="I240" s="202">
        <v>2</v>
      </c>
      <c r="K240" s="202">
        <v>71</v>
      </c>
      <c r="L240" s="202">
        <v>28</v>
      </c>
      <c r="M240" s="202">
        <v>2</v>
      </c>
      <c r="N240" s="202">
        <v>10</v>
      </c>
      <c r="O240" s="202">
        <v>43</v>
      </c>
      <c r="P240" s="202">
        <v>3</v>
      </c>
      <c r="Q240" s="202">
        <v>20</v>
      </c>
      <c r="R240" s="202">
        <v>16</v>
      </c>
      <c r="S240" s="202">
        <v>1</v>
      </c>
    </row>
    <row r="241" spans="1:19" x14ac:dyDescent="0.35">
      <c r="A241" s="202">
        <v>19</v>
      </c>
      <c r="B241" s="202">
        <v>68</v>
      </c>
      <c r="C241" s="202">
        <v>2</v>
      </c>
      <c r="D241" s="202">
        <v>17</v>
      </c>
      <c r="E241" s="202">
        <v>47</v>
      </c>
      <c r="F241" s="202">
        <v>5</v>
      </c>
      <c r="G241" s="202">
        <v>20</v>
      </c>
      <c r="H241" s="202">
        <v>9</v>
      </c>
      <c r="I241" s="202">
        <v>2</v>
      </c>
      <c r="K241" s="202">
        <v>11</v>
      </c>
      <c r="L241" s="202">
        <v>25</v>
      </c>
      <c r="M241" s="202">
        <v>2</v>
      </c>
      <c r="N241" s="202">
        <v>12</v>
      </c>
      <c r="O241" s="202">
        <v>48</v>
      </c>
      <c r="P241" s="202">
        <v>2</v>
      </c>
      <c r="Q241" s="202">
        <v>20</v>
      </c>
      <c r="R241" s="202">
        <v>6</v>
      </c>
      <c r="S241" s="202">
        <v>1</v>
      </c>
    </row>
    <row r="242" spans="1:19" x14ac:dyDescent="0.35">
      <c r="A242" s="202">
        <v>19</v>
      </c>
      <c r="B242" s="202">
        <v>46</v>
      </c>
      <c r="C242" s="202">
        <v>4</v>
      </c>
      <c r="D242" s="202">
        <v>15</v>
      </c>
      <c r="E242" s="202">
        <v>8</v>
      </c>
      <c r="F242" s="202">
        <v>5</v>
      </c>
      <c r="G242" s="202">
        <v>25</v>
      </c>
      <c r="H242" s="202">
        <v>48</v>
      </c>
      <c r="I242" s="202">
        <v>3</v>
      </c>
      <c r="K242" s="202">
        <v>66</v>
      </c>
      <c r="L242" s="202">
        <v>71</v>
      </c>
      <c r="M242" s="202">
        <v>3</v>
      </c>
      <c r="N242" s="202">
        <v>17</v>
      </c>
      <c r="O242" s="202">
        <v>3</v>
      </c>
      <c r="P242" s="202">
        <v>3</v>
      </c>
      <c r="Q242" s="202">
        <v>4</v>
      </c>
      <c r="R242" s="202">
        <v>45</v>
      </c>
      <c r="S242" s="202">
        <v>2</v>
      </c>
    </row>
    <row r="243" spans="1:19" x14ac:dyDescent="0.35">
      <c r="A243" s="202">
        <v>20</v>
      </c>
      <c r="B243" s="202">
        <v>69</v>
      </c>
      <c r="C243" s="202">
        <v>3</v>
      </c>
      <c r="D243" s="202">
        <v>15</v>
      </c>
      <c r="E243" s="202">
        <v>25</v>
      </c>
      <c r="F243" s="202">
        <v>5</v>
      </c>
      <c r="G243" s="202">
        <v>1</v>
      </c>
      <c r="H243" s="202">
        <v>5</v>
      </c>
      <c r="I243" s="202">
        <v>1</v>
      </c>
      <c r="K243" s="202">
        <v>44</v>
      </c>
      <c r="L243" s="202">
        <v>50</v>
      </c>
      <c r="M243" s="202">
        <v>2</v>
      </c>
      <c r="N243" s="202">
        <v>16</v>
      </c>
      <c r="O243" s="202">
        <v>42</v>
      </c>
      <c r="P243" s="202">
        <v>4</v>
      </c>
      <c r="Q243" s="202">
        <v>10</v>
      </c>
      <c r="R243" s="202">
        <v>30</v>
      </c>
      <c r="S243" s="202">
        <v>3</v>
      </c>
    </row>
    <row r="244" spans="1:19" x14ac:dyDescent="0.35">
      <c r="A244" s="202">
        <v>20</v>
      </c>
      <c r="B244" s="202">
        <v>69</v>
      </c>
      <c r="C244" s="202">
        <v>3</v>
      </c>
      <c r="D244" s="202">
        <v>15</v>
      </c>
      <c r="E244" s="202">
        <v>25</v>
      </c>
      <c r="F244" s="202">
        <v>5</v>
      </c>
      <c r="G244" s="202">
        <v>10</v>
      </c>
      <c r="H244" s="202">
        <v>36</v>
      </c>
      <c r="I244" s="202">
        <v>1</v>
      </c>
      <c r="K244" s="202">
        <v>1</v>
      </c>
      <c r="L244" s="202">
        <v>69</v>
      </c>
      <c r="M244" s="202">
        <v>2</v>
      </c>
      <c r="N244" s="202">
        <v>8</v>
      </c>
      <c r="O244" s="202">
        <v>51</v>
      </c>
      <c r="P244" s="202">
        <v>5</v>
      </c>
      <c r="Q244" s="202">
        <v>2</v>
      </c>
      <c r="R244" s="202">
        <v>11</v>
      </c>
      <c r="S244" s="202">
        <v>2</v>
      </c>
    </row>
    <row r="245" spans="1:19" x14ac:dyDescent="0.35">
      <c r="A245" s="202">
        <v>20</v>
      </c>
      <c r="B245" s="202">
        <v>69</v>
      </c>
      <c r="C245" s="202">
        <v>3</v>
      </c>
      <c r="D245" s="202">
        <v>15</v>
      </c>
      <c r="E245" s="202">
        <v>26</v>
      </c>
      <c r="F245" s="202">
        <v>2</v>
      </c>
      <c r="G245" s="202">
        <v>10</v>
      </c>
      <c r="H245" s="202">
        <v>9</v>
      </c>
      <c r="I245" s="202">
        <v>1</v>
      </c>
      <c r="K245" s="202">
        <v>78</v>
      </c>
      <c r="L245" s="202">
        <v>83</v>
      </c>
      <c r="M245" s="202">
        <v>4</v>
      </c>
      <c r="N245" s="202">
        <v>15</v>
      </c>
      <c r="O245" s="202">
        <v>43</v>
      </c>
      <c r="P245" s="202">
        <v>3</v>
      </c>
      <c r="Q245" s="202">
        <v>7</v>
      </c>
      <c r="R245" s="202">
        <v>9</v>
      </c>
      <c r="S245" s="202">
        <v>2</v>
      </c>
    </row>
    <row r="246" spans="1:19" x14ac:dyDescent="0.35">
      <c r="A246" s="202">
        <v>20</v>
      </c>
      <c r="B246" s="202">
        <v>69</v>
      </c>
      <c r="C246" s="202">
        <v>3</v>
      </c>
      <c r="D246" s="202">
        <v>15</v>
      </c>
      <c r="E246" s="202">
        <v>26</v>
      </c>
      <c r="F246" s="202">
        <v>4</v>
      </c>
      <c r="G246" s="202">
        <v>1</v>
      </c>
      <c r="H246" s="202">
        <v>36</v>
      </c>
      <c r="I246" s="202">
        <v>1</v>
      </c>
      <c r="K246" s="202">
        <v>42</v>
      </c>
      <c r="L246" s="202">
        <v>20</v>
      </c>
      <c r="M246" s="202">
        <v>3</v>
      </c>
      <c r="N246" s="202">
        <v>10</v>
      </c>
      <c r="O246" s="202">
        <v>27</v>
      </c>
      <c r="P246" s="202">
        <v>1</v>
      </c>
      <c r="Q246" s="202">
        <v>11</v>
      </c>
      <c r="R246" s="202">
        <v>4</v>
      </c>
      <c r="S246" s="202">
        <v>2</v>
      </c>
    </row>
    <row r="247" spans="1:19" x14ac:dyDescent="0.35">
      <c r="A247" s="202">
        <v>20</v>
      </c>
      <c r="B247" s="202">
        <v>69</v>
      </c>
      <c r="C247" s="202">
        <v>3</v>
      </c>
      <c r="D247" s="202">
        <v>4</v>
      </c>
      <c r="E247" s="202">
        <v>25</v>
      </c>
      <c r="F247" s="202">
        <v>1</v>
      </c>
      <c r="G247" s="202">
        <v>1</v>
      </c>
      <c r="H247" s="202">
        <v>43</v>
      </c>
      <c r="I247" s="202">
        <v>1</v>
      </c>
      <c r="K247" s="202">
        <v>12</v>
      </c>
      <c r="L247" s="202">
        <v>10</v>
      </c>
      <c r="M247" s="202">
        <v>2</v>
      </c>
      <c r="N247" s="202">
        <v>10</v>
      </c>
      <c r="O247" s="202">
        <v>43</v>
      </c>
      <c r="P247" s="202">
        <v>1</v>
      </c>
      <c r="Q247" s="202">
        <v>2</v>
      </c>
      <c r="R247" s="202">
        <v>38</v>
      </c>
      <c r="S247" s="202">
        <v>2</v>
      </c>
    </row>
    <row r="248" spans="1:19" x14ac:dyDescent="0.35">
      <c r="A248" s="202">
        <v>20</v>
      </c>
      <c r="B248" s="202">
        <v>69</v>
      </c>
      <c r="C248" s="202">
        <v>3</v>
      </c>
      <c r="D248" s="202">
        <v>4</v>
      </c>
      <c r="E248" s="202">
        <v>25</v>
      </c>
      <c r="F248" s="202">
        <v>5</v>
      </c>
      <c r="G248" s="202">
        <v>1</v>
      </c>
      <c r="H248" s="202">
        <v>41</v>
      </c>
      <c r="I248" s="202">
        <v>1</v>
      </c>
      <c r="K248" s="202">
        <v>79</v>
      </c>
      <c r="L248" s="202">
        <v>30</v>
      </c>
      <c r="M248" s="202">
        <v>3</v>
      </c>
      <c r="N248" s="202">
        <v>11</v>
      </c>
      <c r="O248" s="202">
        <v>1</v>
      </c>
      <c r="P248" s="202">
        <v>1</v>
      </c>
      <c r="Q248" s="202">
        <v>24</v>
      </c>
      <c r="R248" s="202">
        <v>34</v>
      </c>
      <c r="S248" s="202">
        <v>2</v>
      </c>
    </row>
    <row r="249" spans="1:19" x14ac:dyDescent="0.35">
      <c r="A249" s="202">
        <v>20</v>
      </c>
      <c r="B249" s="202">
        <v>70</v>
      </c>
      <c r="C249" s="202">
        <v>4</v>
      </c>
      <c r="D249" s="202">
        <v>4</v>
      </c>
      <c r="E249" s="202">
        <v>25</v>
      </c>
      <c r="F249" s="202">
        <v>1</v>
      </c>
      <c r="G249" s="202">
        <v>20</v>
      </c>
      <c r="H249" s="202">
        <v>9</v>
      </c>
      <c r="I249" s="202">
        <v>2</v>
      </c>
      <c r="K249" s="202">
        <v>66</v>
      </c>
      <c r="L249" s="202">
        <v>26</v>
      </c>
      <c r="M249" s="202">
        <v>3</v>
      </c>
      <c r="N249" s="202">
        <v>16</v>
      </c>
      <c r="O249" s="202">
        <v>28</v>
      </c>
      <c r="P249" s="202">
        <v>5</v>
      </c>
      <c r="Q249" s="202">
        <v>3</v>
      </c>
      <c r="R249" s="202">
        <v>18</v>
      </c>
      <c r="S249" s="202">
        <v>1</v>
      </c>
    </row>
    <row r="250" spans="1:19" x14ac:dyDescent="0.35">
      <c r="A250" s="202">
        <v>20</v>
      </c>
      <c r="B250" s="202">
        <v>70</v>
      </c>
      <c r="C250" s="202">
        <v>4</v>
      </c>
      <c r="D250" s="202">
        <v>4</v>
      </c>
      <c r="E250" s="202">
        <v>25</v>
      </c>
      <c r="F250" s="202">
        <v>5</v>
      </c>
      <c r="G250" s="202">
        <v>2</v>
      </c>
      <c r="H250" s="202">
        <v>47</v>
      </c>
      <c r="I250" s="202">
        <v>2</v>
      </c>
      <c r="K250" s="202">
        <v>42</v>
      </c>
      <c r="L250" s="202">
        <v>79</v>
      </c>
      <c r="M250" s="202">
        <v>1</v>
      </c>
      <c r="N250" s="202">
        <v>11</v>
      </c>
      <c r="O250" s="202">
        <v>49</v>
      </c>
      <c r="P250" s="202">
        <v>2</v>
      </c>
      <c r="Q250" s="202">
        <v>11</v>
      </c>
      <c r="R250" s="202">
        <v>30</v>
      </c>
      <c r="S250" s="202">
        <v>2</v>
      </c>
    </row>
    <row r="251" spans="1:19" x14ac:dyDescent="0.35">
      <c r="A251" s="202">
        <v>20</v>
      </c>
      <c r="B251" s="202">
        <v>64</v>
      </c>
      <c r="C251" s="202">
        <v>1</v>
      </c>
      <c r="D251" s="202">
        <v>16</v>
      </c>
      <c r="E251" s="202">
        <v>42</v>
      </c>
      <c r="F251" s="202">
        <v>1</v>
      </c>
      <c r="G251" s="202">
        <v>1</v>
      </c>
      <c r="H251" s="202">
        <v>41</v>
      </c>
      <c r="I251" s="202">
        <v>2</v>
      </c>
      <c r="K251" s="202">
        <v>13</v>
      </c>
      <c r="L251" s="202">
        <v>89</v>
      </c>
      <c r="M251" s="202">
        <v>2</v>
      </c>
      <c r="N251" s="202">
        <v>10</v>
      </c>
      <c r="O251" s="202">
        <v>49</v>
      </c>
      <c r="P251" s="202">
        <v>1</v>
      </c>
      <c r="Q251" s="202">
        <v>24</v>
      </c>
      <c r="R251" s="202">
        <v>31</v>
      </c>
      <c r="S251" s="202">
        <v>2</v>
      </c>
    </row>
    <row r="252" spans="1:19" x14ac:dyDescent="0.35">
      <c r="A252" s="202">
        <v>20</v>
      </c>
      <c r="B252" s="202">
        <v>64</v>
      </c>
      <c r="C252" s="202">
        <v>1</v>
      </c>
      <c r="D252" s="202">
        <v>16</v>
      </c>
      <c r="E252" s="202">
        <v>42</v>
      </c>
      <c r="F252" s="202">
        <v>2</v>
      </c>
      <c r="G252" s="202">
        <v>1</v>
      </c>
      <c r="H252" s="202">
        <v>41</v>
      </c>
      <c r="I252" s="202">
        <v>2</v>
      </c>
      <c r="K252" s="202">
        <v>5</v>
      </c>
      <c r="L252" s="202">
        <v>43</v>
      </c>
      <c r="M252" s="202">
        <v>4</v>
      </c>
      <c r="N252" s="202">
        <v>18</v>
      </c>
      <c r="O252" s="202">
        <v>42</v>
      </c>
      <c r="P252" s="202">
        <v>4</v>
      </c>
      <c r="Q252" s="202">
        <v>2</v>
      </c>
      <c r="R252" s="202">
        <v>33</v>
      </c>
      <c r="S252" s="202">
        <v>2</v>
      </c>
    </row>
    <row r="253" spans="1:19" x14ac:dyDescent="0.35">
      <c r="A253" s="202">
        <v>20</v>
      </c>
      <c r="B253" s="202">
        <v>65</v>
      </c>
      <c r="C253" s="202">
        <v>1</v>
      </c>
      <c r="D253" s="202">
        <v>16</v>
      </c>
      <c r="E253" s="202">
        <v>43</v>
      </c>
      <c r="F253" s="202">
        <v>4</v>
      </c>
      <c r="G253" s="202">
        <v>13</v>
      </c>
      <c r="H253" s="202">
        <v>36</v>
      </c>
      <c r="I253" s="202">
        <v>1</v>
      </c>
      <c r="K253" s="202">
        <v>39</v>
      </c>
      <c r="L253" s="202">
        <v>30</v>
      </c>
      <c r="M253" s="202">
        <v>2</v>
      </c>
      <c r="N253" s="202">
        <v>18</v>
      </c>
      <c r="O253" s="202">
        <v>43</v>
      </c>
      <c r="P253" s="202">
        <v>3</v>
      </c>
      <c r="Q253" s="202">
        <v>20</v>
      </c>
      <c r="R253" s="202">
        <v>102</v>
      </c>
      <c r="S253" s="202">
        <v>2</v>
      </c>
    </row>
    <row r="254" spans="1:19" x14ac:dyDescent="0.35">
      <c r="A254" s="202">
        <v>20</v>
      </c>
      <c r="B254" s="202">
        <v>65</v>
      </c>
      <c r="C254" s="202">
        <v>1</v>
      </c>
      <c r="D254" s="202">
        <v>16</v>
      </c>
      <c r="E254" s="202">
        <v>43</v>
      </c>
      <c r="F254" s="202">
        <v>5</v>
      </c>
      <c r="G254" s="202">
        <v>13</v>
      </c>
      <c r="H254" s="202">
        <v>28</v>
      </c>
      <c r="I254" s="202">
        <v>1</v>
      </c>
      <c r="K254" s="202">
        <v>49</v>
      </c>
      <c r="L254" s="202">
        <v>18</v>
      </c>
      <c r="M254" s="202">
        <v>4</v>
      </c>
      <c r="N254" s="202">
        <v>8</v>
      </c>
      <c r="O254" s="202">
        <v>48</v>
      </c>
      <c r="P254" s="202">
        <v>4</v>
      </c>
      <c r="Q254" s="202">
        <v>14</v>
      </c>
      <c r="R254" s="202">
        <v>77</v>
      </c>
      <c r="S254" s="202">
        <v>2</v>
      </c>
    </row>
    <row r="255" spans="1:19" x14ac:dyDescent="0.35">
      <c r="A255" s="202">
        <v>20</v>
      </c>
      <c r="B255" s="202">
        <v>71</v>
      </c>
      <c r="C255" s="202">
        <v>2</v>
      </c>
      <c r="D255" s="202">
        <v>17</v>
      </c>
      <c r="E255" s="202">
        <v>49</v>
      </c>
      <c r="F255" s="202">
        <v>1</v>
      </c>
      <c r="G255" s="202">
        <v>11</v>
      </c>
      <c r="H255" s="202">
        <v>21</v>
      </c>
      <c r="I255" s="202">
        <v>1</v>
      </c>
      <c r="K255" s="202">
        <v>39</v>
      </c>
      <c r="L255" s="202">
        <v>93</v>
      </c>
      <c r="M255" s="202">
        <v>3</v>
      </c>
      <c r="N255" s="202">
        <v>8</v>
      </c>
      <c r="O255" s="202">
        <v>48</v>
      </c>
      <c r="P255" s="202">
        <v>3</v>
      </c>
      <c r="Q255" s="202">
        <v>2</v>
      </c>
      <c r="R255" s="202">
        <v>42</v>
      </c>
      <c r="S255" s="202">
        <v>2</v>
      </c>
    </row>
    <row r="256" spans="1:19" x14ac:dyDescent="0.35">
      <c r="A256" s="202">
        <v>20</v>
      </c>
      <c r="B256" s="202">
        <v>71</v>
      </c>
      <c r="C256" s="202">
        <v>2</v>
      </c>
      <c r="D256" s="202">
        <v>17</v>
      </c>
      <c r="E256" s="202">
        <v>49</v>
      </c>
      <c r="F256" s="202">
        <v>4</v>
      </c>
      <c r="G256" s="202">
        <v>11</v>
      </c>
      <c r="H256" s="202">
        <v>21</v>
      </c>
      <c r="I256" s="202">
        <v>1</v>
      </c>
      <c r="K256" s="202">
        <v>47</v>
      </c>
      <c r="L256" s="202">
        <v>85</v>
      </c>
      <c r="M256" s="202">
        <v>1</v>
      </c>
      <c r="N256" s="202">
        <v>10</v>
      </c>
      <c r="O256" s="202">
        <v>3</v>
      </c>
      <c r="P256" s="202">
        <v>5</v>
      </c>
      <c r="Q256" s="202">
        <v>7</v>
      </c>
      <c r="R256" s="202">
        <v>12</v>
      </c>
      <c r="S256" s="202">
        <v>2</v>
      </c>
    </row>
    <row r="257" spans="1:19" x14ac:dyDescent="0.35">
      <c r="A257" s="202">
        <v>20</v>
      </c>
      <c r="B257" s="202">
        <v>68</v>
      </c>
      <c r="C257" s="202">
        <v>2</v>
      </c>
      <c r="D257" s="202">
        <v>17</v>
      </c>
      <c r="E257" s="202">
        <v>42</v>
      </c>
      <c r="F257" s="202">
        <v>2</v>
      </c>
      <c r="G257" s="202">
        <v>20</v>
      </c>
      <c r="H257" s="202">
        <v>22</v>
      </c>
      <c r="I257" s="202">
        <v>2</v>
      </c>
      <c r="K257" s="202">
        <v>64</v>
      </c>
      <c r="L257" s="202">
        <v>17</v>
      </c>
      <c r="M257" s="202">
        <v>1</v>
      </c>
      <c r="N257" s="202">
        <v>8</v>
      </c>
      <c r="O257" s="202">
        <v>48</v>
      </c>
      <c r="P257" s="202">
        <v>1</v>
      </c>
      <c r="Q257" s="202">
        <v>14</v>
      </c>
      <c r="R257" s="202">
        <v>32</v>
      </c>
      <c r="S257" s="202">
        <v>2</v>
      </c>
    </row>
    <row r="258" spans="1:19" x14ac:dyDescent="0.35">
      <c r="A258" s="202">
        <v>20</v>
      </c>
      <c r="B258" s="202">
        <v>68</v>
      </c>
      <c r="C258" s="202">
        <v>2</v>
      </c>
      <c r="D258" s="202">
        <v>17</v>
      </c>
      <c r="E258" s="202">
        <v>42</v>
      </c>
      <c r="F258" s="202">
        <v>4</v>
      </c>
      <c r="G258" s="202">
        <v>20</v>
      </c>
      <c r="H258" s="202">
        <v>22</v>
      </c>
      <c r="I258" s="202">
        <v>2</v>
      </c>
      <c r="K258" s="202">
        <v>34</v>
      </c>
      <c r="L258" s="202">
        <v>39</v>
      </c>
      <c r="M258" s="202">
        <v>4</v>
      </c>
      <c r="N258" s="202">
        <v>15</v>
      </c>
      <c r="O258" s="202">
        <v>25</v>
      </c>
      <c r="P258" s="202">
        <v>2</v>
      </c>
      <c r="Q258" s="202">
        <v>19</v>
      </c>
      <c r="R258" s="202">
        <v>22</v>
      </c>
      <c r="S258" s="202">
        <v>1</v>
      </c>
    </row>
    <row r="259" spans="1:19" x14ac:dyDescent="0.35">
      <c r="A259" s="202">
        <v>20</v>
      </c>
      <c r="B259" s="202">
        <v>73</v>
      </c>
      <c r="C259" s="202">
        <v>2</v>
      </c>
      <c r="D259" s="202">
        <v>17</v>
      </c>
      <c r="E259" s="202">
        <v>47</v>
      </c>
      <c r="F259" s="202">
        <v>1</v>
      </c>
      <c r="G259" s="202">
        <v>22</v>
      </c>
      <c r="H259" s="202">
        <v>9</v>
      </c>
      <c r="I259" s="202">
        <v>1</v>
      </c>
      <c r="K259" s="202">
        <v>48</v>
      </c>
      <c r="L259" s="202">
        <v>48</v>
      </c>
      <c r="M259" s="202">
        <v>4</v>
      </c>
      <c r="N259" s="202">
        <v>15</v>
      </c>
      <c r="O259" s="202">
        <v>43</v>
      </c>
      <c r="P259" s="202">
        <v>2</v>
      </c>
      <c r="Q259" s="202">
        <v>20</v>
      </c>
      <c r="R259" s="202">
        <v>28</v>
      </c>
      <c r="S259" s="202">
        <v>2</v>
      </c>
    </row>
    <row r="260" spans="1:19" x14ac:dyDescent="0.35">
      <c r="A260" s="202">
        <v>20</v>
      </c>
      <c r="B260" s="202">
        <v>73</v>
      </c>
      <c r="C260" s="202">
        <v>2</v>
      </c>
      <c r="D260" s="202">
        <v>17</v>
      </c>
      <c r="E260" s="202">
        <v>47</v>
      </c>
      <c r="F260" s="202">
        <v>4</v>
      </c>
      <c r="G260" s="202">
        <v>22</v>
      </c>
      <c r="H260" s="202">
        <v>9</v>
      </c>
      <c r="I260" s="202">
        <v>1</v>
      </c>
      <c r="K260" s="202">
        <v>23</v>
      </c>
      <c r="L260" s="202">
        <v>13</v>
      </c>
      <c r="M260" s="202">
        <v>3</v>
      </c>
      <c r="N260" s="202">
        <v>10</v>
      </c>
      <c r="O260" s="202">
        <v>25</v>
      </c>
      <c r="P260" s="202">
        <v>5</v>
      </c>
      <c r="Q260" s="202">
        <v>7</v>
      </c>
      <c r="R260" s="202">
        <v>27</v>
      </c>
      <c r="S260" s="202">
        <v>2</v>
      </c>
    </row>
    <row r="261" spans="1:19" x14ac:dyDescent="0.35">
      <c r="A261" s="202">
        <v>20</v>
      </c>
      <c r="B261" s="202">
        <v>46</v>
      </c>
      <c r="C261" s="202">
        <v>4</v>
      </c>
      <c r="D261" s="202">
        <v>15</v>
      </c>
      <c r="E261" s="202">
        <v>9</v>
      </c>
      <c r="F261" s="202">
        <v>5</v>
      </c>
      <c r="G261" s="202">
        <v>25</v>
      </c>
      <c r="H261" s="202">
        <v>21</v>
      </c>
      <c r="I261" s="202">
        <v>3</v>
      </c>
      <c r="K261" s="202">
        <v>82</v>
      </c>
      <c r="L261" s="202">
        <v>29</v>
      </c>
      <c r="M261" s="202">
        <v>3</v>
      </c>
      <c r="N261" s="202">
        <v>8</v>
      </c>
      <c r="O261" s="202">
        <v>48</v>
      </c>
      <c r="P261" s="202">
        <v>1</v>
      </c>
      <c r="Q261" s="202">
        <v>24</v>
      </c>
      <c r="R261" s="202">
        <v>46</v>
      </c>
      <c r="S261" s="202">
        <v>2</v>
      </c>
    </row>
    <row r="262" spans="1:19" x14ac:dyDescent="0.35">
      <c r="A262" s="202">
        <v>21</v>
      </c>
      <c r="B262" s="202">
        <v>74</v>
      </c>
      <c r="C262" s="202">
        <v>3</v>
      </c>
      <c r="D262" s="202">
        <v>15</v>
      </c>
      <c r="E262" s="202">
        <v>1</v>
      </c>
      <c r="F262" s="202">
        <v>2</v>
      </c>
      <c r="G262" s="202">
        <v>1</v>
      </c>
      <c r="H262" s="202">
        <v>8</v>
      </c>
      <c r="I262" s="202">
        <v>1</v>
      </c>
      <c r="K262" s="202">
        <v>3</v>
      </c>
      <c r="L262" s="202">
        <v>25</v>
      </c>
      <c r="M262" s="202">
        <v>4</v>
      </c>
      <c r="N262" s="202">
        <v>15</v>
      </c>
      <c r="O262" s="202">
        <v>48</v>
      </c>
      <c r="P262" s="202">
        <v>4</v>
      </c>
      <c r="Q262" s="202">
        <v>23</v>
      </c>
      <c r="R262" s="202">
        <v>49</v>
      </c>
      <c r="S262" s="202">
        <v>2</v>
      </c>
    </row>
    <row r="263" spans="1:19" x14ac:dyDescent="0.35">
      <c r="A263" s="202">
        <v>21</v>
      </c>
      <c r="B263" s="202">
        <v>74</v>
      </c>
      <c r="C263" s="202">
        <v>3</v>
      </c>
      <c r="D263" s="202">
        <v>15</v>
      </c>
      <c r="E263" s="202">
        <v>1</v>
      </c>
      <c r="F263" s="202">
        <v>4</v>
      </c>
      <c r="G263" s="202">
        <v>1</v>
      </c>
      <c r="H263" s="202">
        <v>8</v>
      </c>
      <c r="I263" s="202">
        <v>1</v>
      </c>
      <c r="K263" s="202">
        <v>16</v>
      </c>
      <c r="L263" s="202">
        <v>26</v>
      </c>
      <c r="M263" s="202">
        <v>3</v>
      </c>
      <c r="N263" s="202">
        <v>17</v>
      </c>
      <c r="O263" s="202">
        <v>43</v>
      </c>
      <c r="P263" s="202">
        <v>1</v>
      </c>
      <c r="Q263" s="202">
        <v>8</v>
      </c>
      <c r="R263" s="202">
        <v>89</v>
      </c>
      <c r="S263" s="202">
        <v>2</v>
      </c>
    </row>
    <row r="264" spans="1:19" x14ac:dyDescent="0.35">
      <c r="A264" s="202">
        <v>21</v>
      </c>
      <c r="B264" s="202">
        <v>74</v>
      </c>
      <c r="C264" s="202">
        <v>3</v>
      </c>
      <c r="D264" s="202">
        <v>15</v>
      </c>
      <c r="E264" s="202">
        <v>2</v>
      </c>
      <c r="F264" s="202">
        <v>1</v>
      </c>
      <c r="G264" s="202">
        <v>19</v>
      </c>
      <c r="H264" s="202">
        <v>28</v>
      </c>
      <c r="I264" s="202">
        <v>1</v>
      </c>
      <c r="K264" s="202">
        <v>57</v>
      </c>
      <c r="L264" s="202">
        <v>101</v>
      </c>
      <c r="M264" s="202">
        <v>3</v>
      </c>
      <c r="N264" s="202">
        <v>15</v>
      </c>
      <c r="O264" s="202">
        <v>48</v>
      </c>
      <c r="P264" s="202">
        <v>2</v>
      </c>
      <c r="Q264" s="202">
        <v>10</v>
      </c>
      <c r="R264" s="202">
        <v>4</v>
      </c>
      <c r="S264" s="202">
        <v>1</v>
      </c>
    </row>
    <row r="265" spans="1:19" x14ac:dyDescent="0.35">
      <c r="A265" s="202">
        <v>21</v>
      </c>
      <c r="B265" s="202">
        <v>74</v>
      </c>
      <c r="C265" s="202">
        <v>3</v>
      </c>
      <c r="D265" s="202">
        <v>15</v>
      </c>
      <c r="E265" s="202">
        <v>2</v>
      </c>
      <c r="F265" s="202">
        <v>5</v>
      </c>
      <c r="G265" s="202">
        <v>1</v>
      </c>
      <c r="H265" s="202">
        <v>28</v>
      </c>
      <c r="I265" s="202">
        <v>1</v>
      </c>
      <c r="K265" s="202">
        <v>31</v>
      </c>
      <c r="L265" s="202">
        <v>82</v>
      </c>
      <c r="M265" s="202">
        <v>1</v>
      </c>
      <c r="N265" s="202">
        <v>16</v>
      </c>
      <c r="O265" s="202">
        <v>25</v>
      </c>
      <c r="P265" s="202">
        <v>5</v>
      </c>
      <c r="Q265" s="202">
        <v>20</v>
      </c>
      <c r="R265" s="202">
        <v>8</v>
      </c>
      <c r="S265" s="202">
        <v>2</v>
      </c>
    </row>
    <row r="266" spans="1:19" x14ac:dyDescent="0.35">
      <c r="A266" s="202">
        <v>21</v>
      </c>
      <c r="B266" s="202">
        <v>74</v>
      </c>
      <c r="C266" s="202">
        <v>3</v>
      </c>
      <c r="D266" s="202">
        <v>15</v>
      </c>
      <c r="E266" s="202">
        <v>3</v>
      </c>
      <c r="F266" s="202">
        <v>2</v>
      </c>
      <c r="G266" s="202">
        <v>7</v>
      </c>
      <c r="H266" s="202">
        <v>22</v>
      </c>
      <c r="I266" s="202">
        <v>1</v>
      </c>
      <c r="K266" s="202">
        <v>22</v>
      </c>
      <c r="L266" s="202">
        <v>64</v>
      </c>
      <c r="M266" s="202">
        <v>4</v>
      </c>
      <c r="N266" s="202">
        <v>12</v>
      </c>
      <c r="O266" s="202">
        <v>47</v>
      </c>
      <c r="P266" s="202">
        <v>2</v>
      </c>
      <c r="Q266" s="202">
        <v>20</v>
      </c>
      <c r="R266" s="202">
        <v>36</v>
      </c>
      <c r="S266" s="202">
        <v>1</v>
      </c>
    </row>
    <row r="267" spans="1:19" x14ac:dyDescent="0.35">
      <c r="A267" s="202">
        <v>21</v>
      </c>
      <c r="B267" s="202">
        <v>74</v>
      </c>
      <c r="C267" s="202">
        <v>3</v>
      </c>
      <c r="D267" s="202">
        <v>15</v>
      </c>
      <c r="E267" s="202">
        <v>3</v>
      </c>
      <c r="F267" s="202">
        <v>4</v>
      </c>
      <c r="G267" s="202">
        <v>19</v>
      </c>
      <c r="H267" s="202">
        <v>48</v>
      </c>
      <c r="I267" s="202">
        <v>1</v>
      </c>
      <c r="K267" s="202">
        <v>50</v>
      </c>
      <c r="L267" s="202">
        <v>113</v>
      </c>
      <c r="M267" s="202">
        <v>4</v>
      </c>
      <c r="N267" s="202">
        <v>12</v>
      </c>
      <c r="O267" s="202">
        <v>26</v>
      </c>
      <c r="P267" s="202">
        <v>4</v>
      </c>
      <c r="Q267" s="202">
        <v>2</v>
      </c>
      <c r="R267" s="202">
        <v>71</v>
      </c>
      <c r="S267" s="202">
        <v>1</v>
      </c>
    </row>
    <row r="268" spans="1:19" x14ac:dyDescent="0.35">
      <c r="A268" s="202">
        <v>21</v>
      </c>
      <c r="B268" s="202">
        <v>70</v>
      </c>
      <c r="C268" s="202">
        <v>4</v>
      </c>
      <c r="D268" s="202">
        <v>15</v>
      </c>
      <c r="E268" s="202">
        <v>25</v>
      </c>
      <c r="F268" s="202">
        <v>1</v>
      </c>
      <c r="G268" s="202">
        <v>11</v>
      </c>
      <c r="H268" s="202">
        <v>22</v>
      </c>
      <c r="I268" s="202">
        <v>2</v>
      </c>
      <c r="K268" s="202">
        <v>9</v>
      </c>
      <c r="L268" s="202">
        <v>25</v>
      </c>
      <c r="M268" s="202">
        <v>4</v>
      </c>
      <c r="N268" s="202">
        <v>15</v>
      </c>
      <c r="O268" s="202">
        <v>2</v>
      </c>
      <c r="P268" s="202">
        <v>5</v>
      </c>
      <c r="Q268" s="202">
        <v>11</v>
      </c>
      <c r="R268" s="202">
        <v>37</v>
      </c>
      <c r="S268" s="202">
        <v>1</v>
      </c>
    </row>
    <row r="269" spans="1:19" x14ac:dyDescent="0.35">
      <c r="A269" s="202">
        <v>21</v>
      </c>
      <c r="B269" s="202">
        <v>70</v>
      </c>
      <c r="C269" s="202">
        <v>4</v>
      </c>
      <c r="D269" s="202">
        <v>15</v>
      </c>
      <c r="E269" s="202">
        <v>25</v>
      </c>
      <c r="F269" s="202">
        <v>4</v>
      </c>
      <c r="G269" s="202">
        <v>8</v>
      </c>
      <c r="H269" s="202">
        <v>12</v>
      </c>
      <c r="I269" s="202">
        <v>2</v>
      </c>
      <c r="K269" s="202">
        <v>40</v>
      </c>
      <c r="L269" s="202">
        <v>76</v>
      </c>
      <c r="M269" s="202">
        <v>2</v>
      </c>
      <c r="N269" s="202">
        <v>8</v>
      </c>
      <c r="O269" s="202">
        <v>1</v>
      </c>
      <c r="P269" s="202">
        <v>4</v>
      </c>
      <c r="Q269" s="202">
        <v>20</v>
      </c>
      <c r="R269" s="202">
        <v>48</v>
      </c>
      <c r="S269" s="202">
        <v>1</v>
      </c>
    </row>
    <row r="270" spans="1:19" x14ac:dyDescent="0.35">
      <c r="A270" s="202">
        <v>21</v>
      </c>
      <c r="B270" s="202">
        <v>75</v>
      </c>
      <c r="C270" s="202">
        <v>2</v>
      </c>
      <c r="D270" s="202">
        <v>16</v>
      </c>
      <c r="E270" s="202">
        <v>48</v>
      </c>
      <c r="F270" s="202">
        <v>1</v>
      </c>
      <c r="G270" s="202">
        <v>8</v>
      </c>
      <c r="H270" s="202">
        <v>36</v>
      </c>
      <c r="I270" s="202">
        <v>1</v>
      </c>
      <c r="K270" s="202">
        <v>30</v>
      </c>
      <c r="L270" s="202">
        <v>78</v>
      </c>
      <c r="M270" s="202">
        <v>3</v>
      </c>
      <c r="N270" s="202">
        <v>15</v>
      </c>
      <c r="O270" s="202">
        <v>28</v>
      </c>
      <c r="P270" s="202">
        <v>1</v>
      </c>
      <c r="Q270" s="202">
        <v>2</v>
      </c>
      <c r="R270" s="202">
        <v>52</v>
      </c>
      <c r="S270" s="202">
        <v>1</v>
      </c>
    </row>
    <row r="271" spans="1:19" x14ac:dyDescent="0.35">
      <c r="A271" s="202">
        <v>21</v>
      </c>
      <c r="B271" s="202">
        <v>75</v>
      </c>
      <c r="C271" s="202">
        <v>2</v>
      </c>
      <c r="D271" s="202">
        <v>16</v>
      </c>
      <c r="E271" s="202">
        <v>48</v>
      </c>
      <c r="F271" s="202">
        <v>2</v>
      </c>
      <c r="G271" s="202">
        <v>8</v>
      </c>
      <c r="H271" s="202">
        <v>36</v>
      </c>
      <c r="I271" s="202">
        <v>1</v>
      </c>
      <c r="K271" s="202">
        <v>15</v>
      </c>
      <c r="L271" s="202">
        <v>24</v>
      </c>
      <c r="M271" s="202">
        <v>4</v>
      </c>
      <c r="N271" s="202">
        <v>4</v>
      </c>
      <c r="O271" s="202">
        <v>47</v>
      </c>
      <c r="P271" s="202">
        <v>4</v>
      </c>
      <c r="Q271" s="202">
        <v>19</v>
      </c>
      <c r="R271" s="202">
        <v>34</v>
      </c>
      <c r="S271" s="202">
        <v>2</v>
      </c>
    </row>
    <row r="272" spans="1:19" x14ac:dyDescent="0.35">
      <c r="A272" s="202">
        <v>21</v>
      </c>
      <c r="B272" s="202">
        <v>71</v>
      </c>
      <c r="C272" s="202">
        <v>2</v>
      </c>
      <c r="D272" s="202">
        <v>17</v>
      </c>
      <c r="E272" s="202">
        <v>49</v>
      </c>
      <c r="F272" s="202">
        <v>1</v>
      </c>
      <c r="G272" s="202">
        <v>11</v>
      </c>
      <c r="H272" s="202">
        <v>21</v>
      </c>
      <c r="I272" s="202">
        <v>1</v>
      </c>
      <c r="K272" s="202">
        <v>48</v>
      </c>
      <c r="L272" s="202">
        <v>24</v>
      </c>
      <c r="M272" s="202">
        <v>2</v>
      </c>
      <c r="N272" s="202">
        <v>18</v>
      </c>
      <c r="O272" s="202">
        <v>47</v>
      </c>
      <c r="P272" s="202">
        <v>1</v>
      </c>
      <c r="Q272" s="202">
        <v>10</v>
      </c>
      <c r="R272" s="202">
        <v>7</v>
      </c>
      <c r="S272" s="202">
        <v>2</v>
      </c>
    </row>
    <row r="273" spans="1:19" x14ac:dyDescent="0.35">
      <c r="A273" s="202">
        <v>21</v>
      </c>
      <c r="B273" s="202">
        <v>71</v>
      </c>
      <c r="C273" s="202">
        <v>2</v>
      </c>
      <c r="D273" s="202">
        <v>17</v>
      </c>
      <c r="E273" s="202">
        <v>49</v>
      </c>
      <c r="F273" s="202">
        <v>4</v>
      </c>
      <c r="G273" s="202">
        <v>11</v>
      </c>
      <c r="H273" s="202">
        <v>21</v>
      </c>
      <c r="I273" s="202">
        <v>1</v>
      </c>
      <c r="K273" s="202">
        <v>19</v>
      </c>
      <c r="L273" s="202">
        <v>88</v>
      </c>
      <c r="M273" s="202">
        <v>2</v>
      </c>
      <c r="N273" s="202">
        <v>8</v>
      </c>
      <c r="O273" s="202">
        <v>25</v>
      </c>
      <c r="P273" s="202">
        <v>5</v>
      </c>
      <c r="Q273" s="202">
        <v>1</v>
      </c>
      <c r="R273" s="202">
        <v>37</v>
      </c>
      <c r="S273" s="202">
        <v>1</v>
      </c>
    </row>
    <row r="274" spans="1:19" x14ac:dyDescent="0.35">
      <c r="A274" s="202">
        <v>21</v>
      </c>
      <c r="B274" s="202">
        <v>68</v>
      </c>
      <c r="C274" s="202">
        <v>2</v>
      </c>
      <c r="D274" s="202">
        <v>17</v>
      </c>
      <c r="E274" s="202">
        <v>42</v>
      </c>
      <c r="F274" s="202">
        <v>2</v>
      </c>
      <c r="G274" s="202">
        <v>20</v>
      </c>
      <c r="H274" s="202">
        <v>22</v>
      </c>
      <c r="I274" s="202">
        <v>2</v>
      </c>
      <c r="K274" s="202">
        <v>67</v>
      </c>
      <c r="L274" s="202">
        <v>59</v>
      </c>
      <c r="M274" s="202">
        <v>4</v>
      </c>
      <c r="N274" s="202">
        <v>15</v>
      </c>
      <c r="O274" s="202">
        <v>42</v>
      </c>
      <c r="P274" s="202">
        <v>2</v>
      </c>
      <c r="Q274" s="202">
        <v>11</v>
      </c>
      <c r="R274" s="202">
        <v>35</v>
      </c>
      <c r="S274" s="202">
        <v>2</v>
      </c>
    </row>
    <row r="275" spans="1:19" x14ac:dyDescent="0.35">
      <c r="A275" s="202">
        <v>21</v>
      </c>
      <c r="B275" s="202">
        <v>68</v>
      </c>
      <c r="C275" s="202">
        <v>2</v>
      </c>
      <c r="D275" s="202">
        <v>17</v>
      </c>
      <c r="E275" s="202">
        <v>42</v>
      </c>
      <c r="F275" s="202">
        <v>4</v>
      </c>
      <c r="G275" s="202">
        <v>20</v>
      </c>
      <c r="H275" s="202">
        <v>22</v>
      </c>
      <c r="I275" s="202">
        <v>2</v>
      </c>
      <c r="K275" s="202">
        <v>11</v>
      </c>
      <c r="L275" s="202">
        <v>24</v>
      </c>
      <c r="M275" s="202">
        <v>3</v>
      </c>
      <c r="N275" s="202">
        <v>17</v>
      </c>
      <c r="O275" s="202">
        <v>43</v>
      </c>
      <c r="P275" s="202">
        <v>4</v>
      </c>
      <c r="Q275" s="202">
        <v>10</v>
      </c>
      <c r="R275" s="202">
        <v>14</v>
      </c>
      <c r="S275" s="202">
        <v>2</v>
      </c>
    </row>
    <row r="276" spans="1:19" x14ac:dyDescent="0.35">
      <c r="A276" s="202">
        <v>22</v>
      </c>
      <c r="B276" s="202">
        <v>42</v>
      </c>
      <c r="C276" s="202">
        <v>4</v>
      </c>
      <c r="D276" s="202">
        <v>15</v>
      </c>
      <c r="E276" s="202">
        <v>29</v>
      </c>
      <c r="F276" s="202">
        <v>1</v>
      </c>
      <c r="G276" s="202">
        <v>20</v>
      </c>
      <c r="H276" s="202">
        <v>47</v>
      </c>
      <c r="I276" s="202">
        <v>2</v>
      </c>
      <c r="K276" s="202">
        <v>7</v>
      </c>
      <c r="L276" s="202">
        <v>77</v>
      </c>
      <c r="M276" s="202">
        <v>4</v>
      </c>
      <c r="N276" s="202">
        <v>8</v>
      </c>
      <c r="O276" s="202">
        <v>48</v>
      </c>
      <c r="P276" s="202">
        <v>5</v>
      </c>
      <c r="Q276" s="202">
        <v>1</v>
      </c>
      <c r="R276" s="202">
        <v>36</v>
      </c>
      <c r="S276" s="202">
        <v>1</v>
      </c>
    </row>
    <row r="277" spans="1:19" x14ac:dyDescent="0.35">
      <c r="A277" s="202">
        <v>22</v>
      </c>
      <c r="B277" s="202">
        <v>42</v>
      </c>
      <c r="C277" s="202">
        <v>4</v>
      </c>
      <c r="D277" s="202">
        <v>15</v>
      </c>
      <c r="E277" s="202">
        <v>29</v>
      </c>
      <c r="F277" s="202">
        <v>5</v>
      </c>
      <c r="G277" s="202">
        <v>8</v>
      </c>
      <c r="H277" s="202">
        <v>37</v>
      </c>
      <c r="I277" s="202">
        <v>2</v>
      </c>
      <c r="K277" s="202">
        <v>43</v>
      </c>
      <c r="L277" s="202">
        <v>67</v>
      </c>
      <c r="M277" s="202">
        <v>3</v>
      </c>
      <c r="N277" s="202">
        <v>15</v>
      </c>
      <c r="O277" s="202">
        <v>26</v>
      </c>
      <c r="P277" s="202">
        <v>4</v>
      </c>
      <c r="Q277" s="202">
        <v>20</v>
      </c>
      <c r="R277" s="202">
        <v>9</v>
      </c>
      <c r="S277" s="202">
        <v>2</v>
      </c>
    </row>
    <row r="278" spans="1:19" x14ac:dyDescent="0.35">
      <c r="A278" s="202">
        <v>22</v>
      </c>
      <c r="B278" s="202">
        <v>76</v>
      </c>
      <c r="C278" s="202">
        <v>3</v>
      </c>
      <c r="D278" s="202">
        <v>15</v>
      </c>
      <c r="E278" s="202">
        <v>3</v>
      </c>
      <c r="F278" s="202">
        <v>2</v>
      </c>
      <c r="G278" s="202">
        <v>14</v>
      </c>
      <c r="H278" s="202">
        <v>20</v>
      </c>
      <c r="I278" s="202">
        <v>2</v>
      </c>
      <c r="K278" s="202">
        <v>13</v>
      </c>
      <c r="L278" s="202">
        <v>88</v>
      </c>
      <c r="M278" s="202">
        <v>4</v>
      </c>
      <c r="N278" s="202">
        <v>15</v>
      </c>
      <c r="O278" s="202">
        <v>51</v>
      </c>
      <c r="P278" s="202">
        <v>1</v>
      </c>
      <c r="Q278" s="202">
        <v>11</v>
      </c>
      <c r="R278" s="202">
        <v>44</v>
      </c>
      <c r="S278" s="202">
        <v>1</v>
      </c>
    </row>
    <row r="279" spans="1:19" x14ac:dyDescent="0.35">
      <c r="A279" s="202">
        <v>22</v>
      </c>
      <c r="B279" s="202">
        <v>76</v>
      </c>
      <c r="C279" s="202">
        <v>3</v>
      </c>
      <c r="D279" s="202">
        <v>15</v>
      </c>
      <c r="E279" s="202">
        <v>3</v>
      </c>
      <c r="F279" s="202">
        <v>4</v>
      </c>
      <c r="G279" s="202">
        <v>19</v>
      </c>
      <c r="H279" s="202">
        <v>99</v>
      </c>
      <c r="I279" s="202">
        <v>2</v>
      </c>
      <c r="K279" s="202">
        <v>71</v>
      </c>
      <c r="L279" s="202">
        <v>43</v>
      </c>
      <c r="M279" s="202">
        <v>4</v>
      </c>
      <c r="N279" s="202">
        <v>16</v>
      </c>
      <c r="O279" s="202">
        <v>49</v>
      </c>
      <c r="P279" s="202">
        <v>1</v>
      </c>
      <c r="Q279" s="202">
        <v>11</v>
      </c>
      <c r="R279" s="202">
        <v>9</v>
      </c>
      <c r="S279" s="202">
        <v>2</v>
      </c>
    </row>
    <row r="280" spans="1:19" x14ac:dyDescent="0.35">
      <c r="A280" s="202">
        <v>22</v>
      </c>
      <c r="B280" s="202">
        <v>76</v>
      </c>
      <c r="C280" s="202">
        <v>3</v>
      </c>
      <c r="D280" s="202">
        <v>15</v>
      </c>
      <c r="E280" s="202">
        <v>4</v>
      </c>
      <c r="F280" s="202">
        <v>2</v>
      </c>
      <c r="G280" s="202">
        <v>19</v>
      </c>
      <c r="H280" s="202">
        <v>24</v>
      </c>
      <c r="I280" s="202">
        <v>2</v>
      </c>
      <c r="K280" s="202">
        <v>33</v>
      </c>
      <c r="L280" s="202">
        <v>67</v>
      </c>
      <c r="M280" s="202">
        <v>4</v>
      </c>
      <c r="N280" s="202">
        <v>8</v>
      </c>
      <c r="O280" s="202">
        <v>51</v>
      </c>
      <c r="P280" s="202">
        <v>1</v>
      </c>
      <c r="Q280" s="202">
        <v>11</v>
      </c>
      <c r="R280" s="202">
        <v>99</v>
      </c>
      <c r="S280" s="202">
        <v>1</v>
      </c>
    </row>
    <row r="281" spans="1:19" x14ac:dyDescent="0.35">
      <c r="A281" s="202">
        <v>22</v>
      </c>
      <c r="B281" s="202">
        <v>76</v>
      </c>
      <c r="C281" s="202">
        <v>3</v>
      </c>
      <c r="D281" s="202">
        <v>15</v>
      </c>
      <c r="E281" s="202">
        <v>4</v>
      </c>
      <c r="F281" s="202">
        <v>5</v>
      </c>
      <c r="G281" s="202">
        <v>1</v>
      </c>
      <c r="H281" s="202">
        <v>106</v>
      </c>
      <c r="I281" s="202">
        <v>2</v>
      </c>
      <c r="K281" s="202">
        <v>51</v>
      </c>
      <c r="L281" s="202">
        <v>11</v>
      </c>
      <c r="M281" s="202">
        <v>4</v>
      </c>
      <c r="N281" s="202">
        <v>8</v>
      </c>
      <c r="O281" s="202">
        <v>25</v>
      </c>
      <c r="P281" s="202">
        <v>1</v>
      </c>
      <c r="Q281" s="202">
        <v>19</v>
      </c>
      <c r="R281" s="202">
        <v>24</v>
      </c>
      <c r="S281" s="202">
        <v>2</v>
      </c>
    </row>
    <row r="282" spans="1:19" x14ac:dyDescent="0.35">
      <c r="A282" s="202">
        <v>22</v>
      </c>
      <c r="B282" s="202">
        <v>25</v>
      </c>
      <c r="C282" s="202">
        <v>2</v>
      </c>
      <c r="D282" s="202">
        <v>9</v>
      </c>
      <c r="E282" s="202">
        <v>48</v>
      </c>
      <c r="F282" s="202">
        <v>1</v>
      </c>
      <c r="G282" s="202">
        <v>23</v>
      </c>
      <c r="H282" s="202">
        <v>88</v>
      </c>
      <c r="I282" s="202">
        <v>1</v>
      </c>
      <c r="K282" s="202">
        <v>32</v>
      </c>
      <c r="L282" s="202">
        <v>59</v>
      </c>
      <c r="M282" s="202">
        <v>4</v>
      </c>
      <c r="N282" s="202">
        <v>15</v>
      </c>
      <c r="O282" s="202">
        <v>42</v>
      </c>
      <c r="P282" s="202">
        <v>5</v>
      </c>
      <c r="Q282" s="202">
        <v>1</v>
      </c>
      <c r="R282" s="202">
        <v>30</v>
      </c>
      <c r="S282" s="202">
        <v>2</v>
      </c>
    </row>
    <row r="283" spans="1:19" x14ac:dyDescent="0.35">
      <c r="A283" s="202">
        <v>22</v>
      </c>
      <c r="B283" s="202">
        <v>25</v>
      </c>
      <c r="C283" s="202">
        <v>2</v>
      </c>
      <c r="D283" s="202">
        <v>9</v>
      </c>
      <c r="E283" s="202">
        <v>48</v>
      </c>
      <c r="F283" s="202">
        <v>3</v>
      </c>
      <c r="G283" s="202">
        <v>7</v>
      </c>
      <c r="H283" s="202">
        <v>88</v>
      </c>
      <c r="I283" s="202">
        <v>1</v>
      </c>
      <c r="K283" s="202">
        <v>43</v>
      </c>
      <c r="L283" s="202">
        <v>46</v>
      </c>
      <c r="M283" s="202">
        <v>2</v>
      </c>
      <c r="N283" s="202">
        <v>8</v>
      </c>
      <c r="O283" s="202">
        <v>25</v>
      </c>
      <c r="P283" s="202">
        <v>5</v>
      </c>
      <c r="Q283" s="202">
        <v>18</v>
      </c>
      <c r="R283" s="202">
        <v>8</v>
      </c>
      <c r="S283" s="202">
        <v>2</v>
      </c>
    </row>
    <row r="284" spans="1:19" x14ac:dyDescent="0.35">
      <c r="A284" s="202">
        <v>22</v>
      </c>
      <c r="B284" s="202">
        <v>24</v>
      </c>
      <c r="C284" s="202">
        <v>2</v>
      </c>
      <c r="D284" s="202">
        <v>9</v>
      </c>
      <c r="E284" s="202">
        <v>49</v>
      </c>
      <c r="F284" s="202">
        <v>1</v>
      </c>
      <c r="G284" s="202">
        <v>1</v>
      </c>
      <c r="H284" s="202">
        <v>90</v>
      </c>
      <c r="I284" s="202">
        <v>1</v>
      </c>
      <c r="K284" s="202">
        <v>49</v>
      </c>
      <c r="L284" s="202">
        <v>21</v>
      </c>
      <c r="M284" s="202">
        <v>4</v>
      </c>
      <c r="N284" s="202">
        <v>10</v>
      </c>
      <c r="O284" s="202">
        <v>45</v>
      </c>
      <c r="P284" s="202">
        <v>4</v>
      </c>
      <c r="Q284" s="202">
        <v>11</v>
      </c>
      <c r="R284" s="202">
        <v>8</v>
      </c>
      <c r="S284" s="202">
        <v>2</v>
      </c>
    </row>
    <row r="285" spans="1:19" x14ac:dyDescent="0.35">
      <c r="A285" s="202">
        <v>22</v>
      </c>
      <c r="B285" s="202">
        <v>24</v>
      </c>
      <c r="C285" s="202">
        <v>2</v>
      </c>
      <c r="D285" s="202">
        <v>9</v>
      </c>
      <c r="E285" s="202">
        <v>49</v>
      </c>
      <c r="F285" s="202">
        <v>3</v>
      </c>
      <c r="G285" s="202">
        <v>1</v>
      </c>
      <c r="H285" s="202">
        <v>90</v>
      </c>
      <c r="I285" s="202">
        <v>1</v>
      </c>
      <c r="K285" s="202">
        <v>74</v>
      </c>
      <c r="L285" s="202">
        <v>54</v>
      </c>
      <c r="M285" s="202">
        <v>4</v>
      </c>
      <c r="N285" s="202">
        <v>4</v>
      </c>
      <c r="O285" s="202">
        <v>53</v>
      </c>
      <c r="P285" s="202">
        <v>2</v>
      </c>
      <c r="Q285" s="202">
        <v>11</v>
      </c>
      <c r="R285" s="202">
        <v>48</v>
      </c>
      <c r="S285" s="202">
        <v>2</v>
      </c>
    </row>
    <row r="286" spans="1:19" x14ac:dyDescent="0.35">
      <c r="A286" s="202">
        <v>22</v>
      </c>
      <c r="B286" s="202">
        <v>25</v>
      </c>
      <c r="C286" s="202">
        <v>2</v>
      </c>
      <c r="D286" s="202">
        <v>8</v>
      </c>
      <c r="E286" s="202">
        <v>51</v>
      </c>
      <c r="F286" s="202">
        <v>3</v>
      </c>
      <c r="G286" s="202">
        <v>23</v>
      </c>
      <c r="H286" s="202">
        <v>6</v>
      </c>
      <c r="I286" s="202">
        <v>1</v>
      </c>
      <c r="K286" s="202">
        <v>31</v>
      </c>
      <c r="L286" s="202">
        <v>88</v>
      </c>
      <c r="M286" s="202">
        <v>4</v>
      </c>
      <c r="N286" s="202">
        <v>15</v>
      </c>
      <c r="O286" s="202">
        <v>26</v>
      </c>
      <c r="P286" s="202">
        <v>2</v>
      </c>
      <c r="Q286" s="202">
        <v>2</v>
      </c>
      <c r="R286" s="202">
        <v>49</v>
      </c>
      <c r="S286" s="202">
        <v>1</v>
      </c>
    </row>
    <row r="287" spans="1:19" x14ac:dyDescent="0.35">
      <c r="A287" s="202">
        <v>22</v>
      </c>
      <c r="B287" s="202">
        <v>25</v>
      </c>
      <c r="C287" s="202">
        <v>2</v>
      </c>
      <c r="D287" s="202">
        <v>8</v>
      </c>
      <c r="E287" s="202">
        <v>51</v>
      </c>
      <c r="F287" s="202">
        <v>5</v>
      </c>
      <c r="G287" s="202">
        <v>23</v>
      </c>
      <c r="H287" s="202">
        <v>46</v>
      </c>
      <c r="I287" s="202">
        <v>1</v>
      </c>
      <c r="K287" s="202">
        <v>20</v>
      </c>
      <c r="L287" s="202">
        <v>25</v>
      </c>
      <c r="M287" s="202">
        <v>2</v>
      </c>
      <c r="N287" s="202">
        <v>15</v>
      </c>
      <c r="O287" s="202">
        <v>28</v>
      </c>
      <c r="P287" s="202">
        <v>4</v>
      </c>
      <c r="Q287" s="202">
        <v>25</v>
      </c>
      <c r="R287" s="202">
        <v>22</v>
      </c>
      <c r="S287" s="202">
        <v>1</v>
      </c>
    </row>
    <row r="288" spans="1:19" x14ac:dyDescent="0.35">
      <c r="A288" s="202">
        <v>22</v>
      </c>
      <c r="B288" s="202">
        <v>24</v>
      </c>
      <c r="C288" s="202">
        <v>2</v>
      </c>
      <c r="D288" s="202">
        <v>8</v>
      </c>
      <c r="E288" s="202">
        <v>50</v>
      </c>
      <c r="F288" s="202">
        <v>1</v>
      </c>
      <c r="G288" s="202">
        <v>23</v>
      </c>
      <c r="H288" s="202">
        <v>7</v>
      </c>
      <c r="I288" s="202">
        <v>1</v>
      </c>
      <c r="K288" s="202">
        <v>33</v>
      </c>
      <c r="L288" s="202">
        <v>25</v>
      </c>
      <c r="M288" s="202">
        <v>2</v>
      </c>
      <c r="N288" s="202">
        <v>8</v>
      </c>
      <c r="O288" s="202">
        <v>50</v>
      </c>
      <c r="P288" s="202">
        <v>2</v>
      </c>
      <c r="Q288" s="202">
        <v>2</v>
      </c>
      <c r="R288" s="202">
        <v>8</v>
      </c>
      <c r="S288" s="202">
        <v>2</v>
      </c>
    </row>
    <row r="289" spans="1:19" x14ac:dyDescent="0.35">
      <c r="A289" s="202">
        <v>22</v>
      </c>
      <c r="B289" s="202">
        <v>24</v>
      </c>
      <c r="C289" s="202">
        <v>2</v>
      </c>
      <c r="D289" s="202">
        <v>8</v>
      </c>
      <c r="E289" s="202">
        <v>50</v>
      </c>
      <c r="F289" s="202">
        <v>4</v>
      </c>
      <c r="G289" s="202">
        <v>10</v>
      </c>
      <c r="H289" s="202">
        <v>7</v>
      </c>
      <c r="I289" s="202">
        <v>1</v>
      </c>
      <c r="K289" s="202">
        <v>29</v>
      </c>
      <c r="L289" s="202">
        <v>24</v>
      </c>
      <c r="M289" s="202">
        <v>3</v>
      </c>
      <c r="N289" s="202">
        <v>15</v>
      </c>
      <c r="O289" s="202">
        <v>50</v>
      </c>
      <c r="P289" s="202">
        <v>1</v>
      </c>
      <c r="Q289" s="202">
        <v>1</v>
      </c>
      <c r="R289" s="202">
        <v>5</v>
      </c>
      <c r="S289" s="202">
        <v>1</v>
      </c>
    </row>
    <row r="290" spans="1:19" x14ac:dyDescent="0.35">
      <c r="A290" s="202">
        <v>22</v>
      </c>
      <c r="B290" s="202">
        <v>46</v>
      </c>
      <c r="C290" s="202">
        <v>4</v>
      </c>
      <c r="D290" s="202">
        <v>15</v>
      </c>
      <c r="E290" s="202">
        <v>10</v>
      </c>
      <c r="F290" s="202">
        <v>5</v>
      </c>
      <c r="G290" s="202">
        <v>25</v>
      </c>
      <c r="H290" s="202">
        <v>22</v>
      </c>
      <c r="I290" s="202">
        <v>3</v>
      </c>
      <c r="K290" s="202">
        <v>24</v>
      </c>
      <c r="L290" s="202">
        <v>24</v>
      </c>
      <c r="M290" s="202">
        <v>2</v>
      </c>
      <c r="N290" s="202">
        <v>16</v>
      </c>
      <c r="O290" s="202">
        <v>37</v>
      </c>
      <c r="P290" s="202">
        <v>5</v>
      </c>
      <c r="Q290" s="202">
        <v>14</v>
      </c>
      <c r="R290" s="202">
        <v>18</v>
      </c>
      <c r="S290" s="202">
        <v>1</v>
      </c>
    </row>
    <row r="291" spans="1:19" x14ac:dyDescent="0.35">
      <c r="A291" s="202">
        <v>23</v>
      </c>
      <c r="B291" s="202">
        <v>60</v>
      </c>
      <c r="C291" s="202">
        <v>4</v>
      </c>
      <c r="D291" s="202">
        <v>18</v>
      </c>
      <c r="E291" s="202">
        <v>49</v>
      </c>
      <c r="F291" s="202">
        <v>2</v>
      </c>
      <c r="G291" s="202">
        <v>2</v>
      </c>
      <c r="H291" s="202">
        <v>20</v>
      </c>
      <c r="I291" s="202">
        <v>1</v>
      </c>
      <c r="K291" s="202">
        <v>44</v>
      </c>
      <c r="L291" s="202">
        <v>24</v>
      </c>
      <c r="M291" s="202">
        <v>2</v>
      </c>
      <c r="N291" s="202">
        <v>4</v>
      </c>
      <c r="O291" s="202">
        <v>4</v>
      </c>
      <c r="P291" s="202">
        <v>2</v>
      </c>
      <c r="Q291" s="202">
        <v>2</v>
      </c>
      <c r="R291" s="202">
        <v>17</v>
      </c>
      <c r="S291" s="202">
        <v>2</v>
      </c>
    </row>
    <row r="292" spans="1:19" x14ac:dyDescent="0.35">
      <c r="A292" s="202">
        <v>23</v>
      </c>
      <c r="B292" s="202">
        <v>60</v>
      </c>
      <c r="C292" s="202">
        <v>4</v>
      </c>
      <c r="D292" s="202">
        <v>18</v>
      </c>
      <c r="E292" s="202">
        <v>49</v>
      </c>
      <c r="F292" s="202">
        <v>5</v>
      </c>
      <c r="G292" s="202">
        <v>2</v>
      </c>
      <c r="H292" s="202">
        <v>12</v>
      </c>
      <c r="I292" s="202">
        <v>1</v>
      </c>
      <c r="K292" s="202">
        <v>28</v>
      </c>
      <c r="L292" s="202">
        <v>14</v>
      </c>
      <c r="M292" s="202">
        <v>2</v>
      </c>
      <c r="N292" s="202">
        <v>16</v>
      </c>
      <c r="O292" s="202">
        <v>47</v>
      </c>
      <c r="P292" s="202">
        <v>5</v>
      </c>
      <c r="Q292" s="202">
        <v>1</v>
      </c>
      <c r="R292" s="202">
        <v>19</v>
      </c>
      <c r="S292" s="202">
        <v>2</v>
      </c>
    </row>
    <row r="293" spans="1:19" x14ac:dyDescent="0.35">
      <c r="A293" s="202">
        <v>23</v>
      </c>
      <c r="B293" s="202">
        <v>60</v>
      </c>
      <c r="C293" s="202">
        <v>4</v>
      </c>
      <c r="D293" s="202">
        <v>18</v>
      </c>
      <c r="E293" s="202">
        <v>50</v>
      </c>
      <c r="F293" s="202">
        <v>1</v>
      </c>
      <c r="G293" s="202">
        <v>20</v>
      </c>
      <c r="H293" s="202">
        <v>30</v>
      </c>
      <c r="I293" s="202">
        <v>2</v>
      </c>
      <c r="K293" s="202">
        <v>21</v>
      </c>
      <c r="L293" s="202">
        <v>33</v>
      </c>
      <c r="M293" s="202">
        <v>2</v>
      </c>
      <c r="N293" s="202">
        <v>18</v>
      </c>
      <c r="O293" s="202">
        <v>6</v>
      </c>
      <c r="P293" s="202">
        <v>2</v>
      </c>
      <c r="Q293" s="202">
        <v>25</v>
      </c>
      <c r="R293" s="202">
        <v>45</v>
      </c>
      <c r="S293" s="202">
        <v>2</v>
      </c>
    </row>
    <row r="294" spans="1:19" x14ac:dyDescent="0.35">
      <c r="A294" s="202">
        <v>23</v>
      </c>
      <c r="B294" s="202">
        <v>60</v>
      </c>
      <c r="C294" s="202">
        <v>4</v>
      </c>
      <c r="D294" s="202">
        <v>18</v>
      </c>
      <c r="E294" s="202">
        <v>50</v>
      </c>
      <c r="F294" s="202">
        <v>3</v>
      </c>
      <c r="G294" s="202">
        <v>20</v>
      </c>
      <c r="H294" s="202">
        <v>33</v>
      </c>
      <c r="I294" s="202">
        <v>2</v>
      </c>
      <c r="K294" s="202">
        <v>65</v>
      </c>
      <c r="L294" s="202">
        <v>35</v>
      </c>
      <c r="M294" s="202">
        <v>3</v>
      </c>
      <c r="N294" s="202">
        <v>4</v>
      </c>
      <c r="O294" s="202">
        <v>27</v>
      </c>
      <c r="P294" s="202">
        <v>4</v>
      </c>
      <c r="Q294" s="202">
        <v>11</v>
      </c>
      <c r="R294" s="202">
        <v>4</v>
      </c>
      <c r="S294" s="202">
        <v>2</v>
      </c>
    </row>
    <row r="295" spans="1:19" x14ac:dyDescent="0.35">
      <c r="A295" s="202">
        <v>23</v>
      </c>
      <c r="B295" s="202">
        <v>57</v>
      </c>
      <c r="C295" s="202">
        <v>4</v>
      </c>
      <c r="D295" s="202">
        <v>10</v>
      </c>
      <c r="E295" s="202">
        <v>27</v>
      </c>
      <c r="F295" s="202">
        <v>4</v>
      </c>
      <c r="G295" s="202">
        <v>2</v>
      </c>
      <c r="H295" s="202">
        <v>52</v>
      </c>
      <c r="I295" s="202">
        <v>2</v>
      </c>
      <c r="K295" s="202">
        <v>58</v>
      </c>
      <c r="L295" s="202">
        <v>80</v>
      </c>
      <c r="M295" s="202">
        <v>4</v>
      </c>
      <c r="N295" s="202">
        <v>15</v>
      </c>
      <c r="O295" s="202">
        <v>31</v>
      </c>
      <c r="P295" s="202">
        <v>4</v>
      </c>
      <c r="Q295" s="202">
        <v>20</v>
      </c>
      <c r="R295" s="202">
        <v>52</v>
      </c>
      <c r="S295" s="202">
        <v>1</v>
      </c>
    </row>
    <row r="296" spans="1:19" x14ac:dyDescent="0.35">
      <c r="A296" s="202">
        <v>23</v>
      </c>
      <c r="B296" s="202">
        <v>57</v>
      </c>
      <c r="C296" s="202">
        <v>4</v>
      </c>
      <c r="D296" s="202">
        <v>10</v>
      </c>
      <c r="E296" s="202">
        <v>27</v>
      </c>
      <c r="F296" s="202">
        <v>5</v>
      </c>
      <c r="G296" s="202">
        <v>2</v>
      </c>
      <c r="H296" s="202">
        <v>30</v>
      </c>
      <c r="I296" s="202">
        <v>2</v>
      </c>
      <c r="K296" s="202">
        <v>1</v>
      </c>
      <c r="L296" s="202">
        <v>17</v>
      </c>
      <c r="M296" s="202">
        <v>3</v>
      </c>
      <c r="N296" s="202">
        <v>1</v>
      </c>
      <c r="O296" s="202">
        <v>4</v>
      </c>
      <c r="P296" s="202">
        <v>5</v>
      </c>
      <c r="Q296" s="202">
        <v>11</v>
      </c>
      <c r="R296" s="202">
        <v>3</v>
      </c>
      <c r="S296" s="202">
        <v>1</v>
      </c>
    </row>
    <row r="297" spans="1:19" x14ac:dyDescent="0.35">
      <c r="A297" s="202">
        <v>23</v>
      </c>
      <c r="B297" s="202">
        <v>106</v>
      </c>
      <c r="C297" s="202">
        <v>4</v>
      </c>
      <c r="D297" s="202">
        <v>10</v>
      </c>
      <c r="E297" s="202">
        <v>1</v>
      </c>
      <c r="F297" s="202">
        <v>2</v>
      </c>
      <c r="G297" s="202">
        <v>20</v>
      </c>
      <c r="H297" s="202">
        <v>38</v>
      </c>
      <c r="I297" s="202">
        <v>2</v>
      </c>
      <c r="K297" s="202">
        <v>37</v>
      </c>
      <c r="L297" s="202">
        <v>25</v>
      </c>
      <c r="M297" s="202">
        <v>2</v>
      </c>
      <c r="N297" s="202">
        <v>4</v>
      </c>
      <c r="O297" s="202">
        <v>48</v>
      </c>
      <c r="P297" s="202">
        <v>2</v>
      </c>
      <c r="Q297" s="202">
        <v>17</v>
      </c>
      <c r="R297" s="202">
        <v>46</v>
      </c>
      <c r="S297" s="202">
        <v>1</v>
      </c>
    </row>
    <row r="298" spans="1:19" x14ac:dyDescent="0.35">
      <c r="A298" s="202">
        <v>23</v>
      </c>
      <c r="B298" s="202">
        <v>106</v>
      </c>
      <c r="C298" s="202">
        <v>4</v>
      </c>
      <c r="D298" s="202">
        <v>10</v>
      </c>
      <c r="E298" s="202">
        <v>1</v>
      </c>
      <c r="F298" s="202">
        <v>4</v>
      </c>
      <c r="G298" s="202">
        <v>20</v>
      </c>
      <c r="H298" s="202">
        <v>38</v>
      </c>
      <c r="I298" s="202">
        <v>2</v>
      </c>
      <c r="K298" s="202">
        <v>28</v>
      </c>
      <c r="L298" s="202">
        <v>24</v>
      </c>
      <c r="M298" s="202">
        <v>1</v>
      </c>
      <c r="N298" s="202">
        <v>15</v>
      </c>
      <c r="O298" s="202">
        <v>44</v>
      </c>
      <c r="P298" s="202">
        <v>1</v>
      </c>
      <c r="Q298" s="202">
        <v>2</v>
      </c>
      <c r="R298" s="202">
        <v>4</v>
      </c>
      <c r="S298" s="202">
        <v>2</v>
      </c>
    </row>
    <row r="299" spans="1:19" x14ac:dyDescent="0.35">
      <c r="A299" s="202">
        <v>23</v>
      </c>
      <c r="B299" s="202">
        <v>106</v>
      </c>
      <c r="C299" s="202">
        <v>4</v>
      </c>
      <c r="D299" s="202">
        <v>10</v>
      </c>
      <c r="E299" s="202">
        <v>2</v>
      </c>
      <c r="F299" s="202">
        <v>2</v>
      </c>
      <c r="G299" s="202">
        <v>11</v>
      </c>
      <c r="H299" s="202">
        <v>10</v>
      </c>
      <c r="I299" s="202">
        <v>2</v>
      </c>
      <c r="K299" s="202">
        <v>31</v>
      </c>
      <c r="L299" s="202">
        <v>25</v>
      </c>
      <c r="M299" s="202">
        <v>4</v>
      </c>
      <c r="N299" s="202">
        <v>15</v>
      </c>
      <c r="O299" s="202">
        <v>48</v>
      </c>
      <c r="P299" s="202">
        <v>3</v>
      </c>
      <c r="Q299" s="202">
        <v>10</v>
      </c>
      <c r="R299" s="202">
        <v>62</v>
      </c>
      <c r="S299" s="202">
        <v>2</v>
      </c>
    </row>
    <row r="300" spans="1:19" x14ac:dyDescent="0.35">
      <c r="A300" s="202">
        <v>23</v>
      </c>
      <c r="B300" s="202">
        <v>106</v>
      </c>
      <c r="C300" s="202">
        <v>4</v>
      </c>
      <c r="D300" s="202">
        <v>10</v>
      </c>
      <c r="E300" s="202">
        <v>2</v>
      </c>
      <c r="F300" s="202">
        <v>5</v>
      </c>
      <c r="G300" s="202">
        <v>20</v>
      </c>
      <c r="H300" s="202">
        <v>38</v>
      </c>
      <c r="I300" s="202">
        <v>2</v>
      </c>
      <c r="K300" s="202">
        <v>16</v>
      </c>
      <c r="L300" s="202">
        <v>4</v>
      </c>
      <c r="M300" s="202">
        <v>2</v>
      </c>
      <c r="N300" s="202">
        <v>16</v>
      </c>
      <c r="O300" s="202">
        <v>53</v>
      </c>
      <c r="P300" s="202">
        <v>4</v>
      </c>
      <c r="Q300" s="202">
        <v>20</v>
      </c>
      <c r="R300" s="202">
        <v>7</v>
      </c>
      <c r="S300" s="202">
        <v>2</v>
      </c>
    </row>
    <row r="301" spans="1:19" x14ac:dyDescent="0.35">
      <c r="A301" s="202">
        <v>23</v>
      </c>
      <c r="B301" s="202">
        <v>51</v>
      </c>
      <c r="C301" s="202">
        <v>1</v>
      </c>
      <c r="D301" s="202">
        <v>16</v>
      </c>
      <c r="E301" s="202">
        <v>48</v>
      </c>
      <c r="F301" s="202">
        <v>1</v>
      </c>
      <c r="G301" s="202">
        <v>2</v>
      </c>
      <c r="H301" s="202">
        <v>8</v>
      </c>
      <c r="I301" s="202">
        <v>2</v>
      </c>
      <c r="K301" s="202">
        <v>30</v>
      </c>
      <c r="L301" s="202">
        <v>46</v>
      </c>
      <c r="M301" s="202">
        <v>2</v>
      </c>
      <c r="N301" s="202">
        <v>8</v>
      </c>
      <c r="O301" s="202">
        <v>42</v>
      </c>
      <c r="P301" s="202">
        <v>5</v>
      </c>
      <c r="Q301" s="202">
        <v>7</v>
      </c>
      <c r="R301" s="202">
        <v>7</v>
      </c>
      <c r="S301" s="202">
        <v>2</v>
      </c>
    </row>
    <row r="302" spans="1:19" x14ac:dyDescent="0.35">
      <c r="A302" s="202">
        <v>23</v>
      </c>
      <c r="B302" s="202">
        <v>51</v>
      </c>
      <c r="C302" s="202">
        <v>1</v>
      </c>
      <c r="D302" s="202">
        <v>16</v>
      </c>
      <c r="E302" s="202">
        <v>48</v>
      </c>
      <c r="F302" s="202">
        <v>2</v>
      </c>
      <c r="G302" s="202">
        <v>2</v>
      </c>
      <c r="H302" s="202">
        <v>8</v>
      </c>
      <c r="I302" s="202">
        <v>2</v>
      </c>
      <c r="K302" s="202">
        <v>15</v>
      </c>
      <c r="L302" s="202">
        <v>68</v>
      </c>
      <c r="M302" s="202">
        <v>3</v>
      </c>
      <c r="N302" s="202">
        <v>18</v>
      </c>
      <c r="O302" s="202">
        <v>43</v>
      </c>
      <c r="P302" s="202">
        <v>2</v>
      </c>
      <c r="Q302" s="202">
        <v>19</v>
      </c>
      <c r="R302" s="202">
        <v>17</v>
      </c>
      <c r="S302" s="202">
        <v>1</v>
      </c>
    </row>
    <row r="303" spans="1:19" x14ac:dyDescent="0.35">
      <c r="A303" s="202">
        <v>23</v>
      </c>
      <c r="B303" s="202">
        <v>16</v>
      </c>
      <c r="C303" s="202">
        <v>3</v>
      </c>
      <c r="D303" s="202">
        <v>17</v>
      </c>
      <c r="E303" s="202">
        <v>47</v>
      </c>
      <c r="F303" s="202">
        <v>1</v>
      </c>
      <c r="G303" s="202">
        <v>3</v>
      </c>
      <c r="H303" s="202">
        <v>9</v>
      </c>
      <c r="I303" s="202">
        <v>1</v>
      </c>
      <c r="K303" s="202">
        <v>69</v>
      </c>
      <c r="L303" s="202">
        <v>10</v>
      </c>
      <c r="M303" s="202">
        <v>4</v>
      </c>
      <c r="N303" s="202">
        <v>15</v>
      </c>
      <c r="O303" s="202">
        <v>48</v>
      </c>
      <c r="P303" s="202">
        <v>4</v>
      </c>
      <c r="Q303" s="202">
        <v>10</v>
      </c>
      <c r="R303" s="202">
        <v>34</v>
      </c>
      <c r="S303" s="202">
        <v>2</v>
      </c>
    </row>
    <row r="304" spans="1:19" x14ac:dyDescent="0.35">
      <c r="A304" s="202">
        <v>23</v>
      </c>
      <c r="B304" s="202">
        <v>16</v>
      </c>
      <c r="C304" s="202">
        <v>3</v>
      </c>
      <c r="D304" s="202">
        <v>17</v>
      </c>
      <c r="E304" s="202">
        <v>47</v>
      </c>
      <c r="F304" s="202">
        <v>4</v>
      </c>
      <c r="G304" s="202">
        <v>3</v>
      </c>
      <c r="H304" s="202">
        <v>9</v>
      </c>
      <c r="I304" s="202">
        <v>1</v>
      </c>
      <c r="K304" s="202">
        <v>13</v>
      </c>
      <c r="L304" s="202">
        <v>24</v>
      </c>
      <c r="M304" s="202">
        <v>2</v>
      </c>
      <c r="N304" s="202">
        <v>4</v>
      </c>
      <c r="O304" s="202">
        <v>48</v>
      </c>
      <c r="P304" s="202">
        <v>2</v>
      </c>
      <c r="Q304" s="202">
        <v>18</v>
      </c>
      <c r="R304" s="202">
        <v>46</v>
      </c>
      <c r="S304" s="202">
        <v>1</v>
      </c>
    </row>
    <row r="305" spans="1:19" x14ac:dyDescent="0.35">
      <c r="A305" s="202">
        <v>24</v>
      </c>
      <c r="B305" s="202">
        <v>76</v>
      </c>
      <c r="C305" s="202">
        <v>3</v>
      </c>
      <c r="D305" s="202">
        <v>4</v>
      </c>
      <c r="E305" s="202">
        <v>1</v>
      </c>
      <c r="F305" s="202">
        <v>1</v>
      </c>
      <c r="G305" s="202">
        <v>1</v>
      </c>
      <c r="H305" s="202">
        <v>28</v>
      </c>
      <c r="I305" s="202">
        <v>2</v>
      </c>
      <c r="K305" s="202">
        <v>25</v>
      </c>
      <c r="L305" s="202">
        <v>24</v>
      </c>
      <c r="M305" s="202">
        <v>4</v>
      </c>
      <c r="N305" s="202">
        <v>10</v>
      </c>
      <c r="O305" s="202">
        <v>42</v>
      </c>
      <c r="P305" s="202">
        <v>1</v>
      </c>
      <c r="Q305" s="202">
        <v>1</v>
      </c>
      <c r="R305" s="202">
        <v>96</v>
      </c>
      <c r="S305" s="202">
        <v>1</v>
      </c>
    </row>
    <row r="306" spans="1:19" x14ac:dyDescent="0.35">
      <c r="A306" s="202">
        <v>24</v>
      </c>
      <c r="B306" s="202">
        <v>76</v>
      </c>
      <c r="C306" s="202">
        <v>3</v>
      </c>
      <c r="D306" s="202">
        <v>4</v>
      </c>
      <c r="E306" s="202">
        <v>1</v>
      </c>
      <c r="F306" s="202">
        <v>4</v>
      </c>
      <c r="G306" s="202">
        <v>14</v>
      </c>
      <c r="H306" s="202">
        <v>37</v>
      </c>
      <c r="I306" s="202">
        <v>2</v>
      </c>
      <c r="K306" s="202">
        <v>4</v>
      </c>
      <c r="L306" s="202">
        <v>46</v>
      </c>
      <c r="M306" s="202">
        <v>4</v>
      </c>
      <c r="N306" s="202">
        <v>16</v>
      </c>
      <c r="O306" s="202">
        <v>45</v>
      </c>
      <c r="P306" s="202">
        <v>5</v>
      </c>
      <c r="Q306" s="202">
        <v>23</v>
      </c>
      <c r="R306" s="202">
        <v>42</v>
      </c>
      <c r="S306" s="202">
        <v>1</v>
      </c>
    </row>
    <row r="307" spans="1:19" x14ac:dyDescent="0.35">
      <c r="A307" s="202">
        <v>24</v>
      </c>
      <c r="B307" s="202">
        <v>26</v>
      </c>
      <c r="C307" s="202">
        <v>4</v>
      </c>
      <c r="D307" s="202">
        <v>8</v>
      </c>
      <c r="E307" s="202">
        <v>45</v>
      </c>
      <c r="F307" s="202">
        <v>2</v>
      </c>
      <c r="G307" s="202">
        <v>18</v>
      </c>
      <c r="H307" s="202">
        <v>4</v>
      </c>
      <c r="I307" s="202">
        <v>1</v>
      </c>
      <c r="K307" s="202">
        <v>28</v>
      </c>
      <c r="L307" s="202">
        <v>28</v>
      </c>
      <c r="M307" s="202">
        <v>3</v>
      </c>
      <c r="N307" s="202">
        <v>10</v>
      </c>
      <c r="O307" s="202">
        <v>48</v>
      </c>
      <c r="P307" s="202">
        <v>5</v>
      </c>
      <c r="Q307" s="202">
        <v>1</v>
      </c>
      <c r="R307" s="202">
        <v>1</v>
      </c>
      <c r="S307" s="202">
        <v>1</v>
      </c>
    </row>
    <row r="308" spans="1:19" x14ac:dyDescent="0.35">
      <c r="A308" s="202">
        <v>24</v>
      </c>
      <c r="B308" s="202">
        <v>26</v>
      </c>
      <c r="C308" s="202">
        <v>4</v>
      </c>
      <c r="D308" s="202">
        <v>8</v>
      </c>
      <c r="E308" s="202">
        <v>45</v>
      </c>
      <c r="F308" s="202">
        <v>4</v>
      </c>
      <c r="G308" s="202">
        <v>18</v>
      </c>
      <c r="H308" s="202">
        <v>3</v>
      </c>
      <c r="I308" s="202">
        <v>1</v>
      </c>
      <c r="K308" s="202">
        <v>74</v>
      </c>
      <c r="L308" s="202">
        <v>7</v>
      </c>
      <c r="M308" s="202">
        <v>2</v>
      </c>
      <c r="N308" s="202">
        <v>8</v>
      </c>
      <c r="O308" s="202">
        <v>45</v>
      </c>
      <c r="P308" s="202">
        <v>4</v>
      </c>
      <c r="Q308" s="202">
        <v>1</v>
      </c>
      <c r="R308" s="202">
        <v>27</v>
      </c>
      <c r="S308" s="202">
        <v>1</v>
      </c>
    </row>
    <row r="309" spans="1:19" x14ac:dyDescent="0.35">
      <c r="A309" s="202">
        <v>24</v>
      </c>
      <c r="B309" s="202">
        <v>24</v>
      </c>
      <c r="C309" s="202">
        <v>2</v>
      </c>
      <c r="D309" s="202">
        <v>13</v>
      </c>
      <c r="E309" s="202">
        <v>49</v>
      </c>
      <c r="F309" s="202">
        <v>1</v>
      </c>
      <c r="G309" s="202">
        <v>23</v>
      </c>
      <c r="H309" s="202">
        <v>84</v>
      </c>
      <c r="I309" s="202">
        <v>1</v>
      </c>
      <c r="K309" s="202">
        <v>49</v>
      </c>
      <c r="L309" s="202">
        <v>49</v>
      </c>
      <c r="M309" s="202">
        <v>4</v>
      </c>
      <c r="N309" s="202">
        <v>8</v>
      </c>
      <c r="O309" s="202">
        <v>51</v>
      </c>
      <c r="P309" s="202">
        <v>4</v>
      </c>
      <c r="Q309" s="202">
        <v>11</v>
      </c>
      <c r="R309" s="202">
        <v>37</v>
      </c>
      <c r="S309" s="202">
        <v>2</v>
      </c>
    </row>
    <row r="310" spans="1:19" x14ac:dyDescent="0.35">
      <c r="A310" s="202">
        <v>24</v>
      </c>
      <c r="B310" s="202">
        <v>24</v>
      </c>
      <c r="C310" s="202">
        <v>2</v>
      </c>
      <c r="D310" s="202">
        <v>13</v>
      </c>
      <c r="E310" s="202">
        <v>49</v>
      </c>
      <c r="F310" s="202">
        <v>3</v>
      </c>
      <c r="G310" s="202">
        <v>1</v>
      </c>
      <c r="H310" s="202">
        <v>92</v>
      </c>
      <c r="I310" s="202">
        <v>1</v>
      </c>
      <c r="K310" s="202">
        <v>10</v>
      </c>
      <c r="L310" s="202">
        <v>68</v>
      </c>
      <c r="M310" s="202">
        <v>2</v>
      </c>
      <c r="N310" s="202">
        <v>8</v>
      </c>
      <c r="O310" s="202">
        <v>50</v>
      </c>
      <c r="P310" s="202">
        <v>4</v>
      </c>
      <c r="Q310" s="202">
        <v>11</v>
      </c>
      <c r="R310" s="202">
        <v>35</v>
      </c>
      <c r="S310" s="202">
        <v>1</v>
      </c>
    </row>
    <row r="311" spans="1:19" x14ac:dyDescent="0.35">
      <c r="A311" s="202">
        <v>24</v>
      </c>
      <c r="B311" s="202">
        <v>25</v>
      </c>
      <c r="C311" s="202">
        <v>2</v>
      </c>
      <c r="D311" s="202">
        <v>13</v>
      </c>
      <c r="E311" s="202">
        <v>50</v>
      </c>
      <c r="F311" s="202">
        <v>2</v>
      </c>
      <c r="G311" s="202">
        <v>14</v>
      </c>
      <c r="H311" s="202">
        <v>93</v>
      </c>
      <c r="I311" s="202">
        <v>1</v>
      </c>
      <c r="K311" s="202">
        <v>66</v>
      </c>
      <c r="L311" s="202">
        <v>53</v>
      </c>
      <c r="M311" s="202">
        <v>3</v>
      </c>
      <c r="N311" s="202">
        <v>8</v>
      </c>
      <c r="O311" s="202">
        <v>51</v>
      </c>
      <c r="P311" s="202">
        <v>4</v>
      </c>
      <c r="Q311" s="202">
        <v>11</v>
      </c>
      <c r="R311" s="202">
        <v>37</v>
      </c>
      <c r="S311" s="202">
        <v>1</v>
      </c>
    </row>
    <row r="312" spans="1:19" x14ac:dyDescent="0.35">
      <c r="A312" s="202">
        <v>24</v>
      </c>
      <c r="B312" s="202">
        <v>25</v>
      </c>
      <c r="C312" s="202">
        <v>2</v>
      </c>
      <c r="D312" s="202">
        <v>13</v>
      </c>
      <c r="E312" s="202">
        <v>50</v>
      </c>
      <c r="F312" s="202">
        <v>4</v>
      </c>
      <c r="G312" s="202">
        <v>19</v>
      </c>
      <c r="H312" s="202">
        <v>91</v>
      </c>
      <c r="I312" s="202">
        <v>1</v>
      </c>
      <c r="K312" s="202">
        <v>29</v>
      </c>
      <c r="L312" s="202">
        <v>10</v>
      </c>
      <c r="M312" s="202">
        <v>3</v>
      </c>
      <c r="N312" s="202">
        <v>8</v>
      </c>
      <c r="O312" s="202">
        <v>44</v>
      </c>
      <c r="P312" s="202">
        <v>3</v>
      </c>
      <c r="Q312" s="202">
        <v>2</v>
      </c>
      <c r="R312" s="202">
        <v>9</v>
      </c>
      <c r="S312" s="202">
        <v>1</v>
      </c>
    </row>
    <row r="313" spans="1:19" x14ac:dyDescent="0.35">
      <c r="A313" s="202">
        <v>24</v>
      </c>
      <c r="B313" s="202">
        <v>33</v>
      </c>
      <c r="C313" s="202">
        <v>3</v>
      </c>
      <c r="D313" s="202">
        <v>15</v>
      </c>
      <c r="E313" s="202">
        <v>39</v>
      </c>
      <c r="F313" s="202">
        <v>1</v>
      </c>
      <c r="G313" s="202">
        <v>10</v>
      </c>
      <c r="H313" s="202">
        <v>49</v>
      </c>
      <c r="I313" s="202">
        <v>2</v>
      </c>
      <c r="K313" s="202">
        <v>20</v>
      </c>
      <c r="L313" s="202">
        <v>10</v>
      </c>
      <c r="M313" s="202">
        <v>1</v>
      </c>
      <c r="N313" s="202">
        <v>15</v>
      </c>
      <c r="O313" s="202">
        <v>43</v>
      </c>
      <c r="P313" s="202">
        <v>1</v>
      </c>
      <c r="Q313" s="202">
        <v>11</v>
      </c>
      <c r="R313" s="202">
        <v>28</v>
      </c>
      <c r="S313" s="202">
        <v>1</v>
      </c>
    </row>
    <row r="314" spans="1:19" x14ac:dyDescent="0.35">
      <c r="A314" s="202">
        <v>24</v>
      </c>
      <c r="B314" s="202">
        <v>33</v>
      </c>
      <c r="C314" s="202">
        <v>3</v>
      </c>
      <c r="D314" s="202">
        <v>15</v>
      </c>
      <c r="E314" s="202">
        <v>39</v>
      </c>
      <c r="F314" s="202">
        <v>4</v>
      </c>
      <c r="G314" s="202">
        <v>7</v>
      </c>
      <c r="H314" s="202">
        <v>49</v>
      </c>
      <c r="I314" s="202">
        <v>2</v>
      </c>
      <c r="K314" s="202">
        <v>66</v>
      </c>
      <c r="L314" s="202">
        <v>101</v>
      </c>
      <c r="M314" s="202">
        <v>4</v>
      </c>
      <c r="N314" s="202">
        <v>15</v>
      </c>
      <c r="O314" s="202">
        <v>43</v>
      </c>
      <c r="P314" s="202">
        <v>4</v>
      </c>
      <c r="Q314" s="202">
        <v>1</v>
      </c>
      <c r="R314" s="202">
        <v>34</v>
      </c>
      <c r="S314" s="202">
        <v>1</v>
      </c>
    </row>
    <row r="315" spans="1:19" x14ac:dyDescent="0.35">
      <c r="A315" s="202">
        <v>24</v>
      </c>
      <c r="B315" s="202">
        <v>46</v>
      </c>
      <c r="C315" s="202">
        <v>4</v>
      </c>
      <c r="D315" s="202">
        <v>15</v>
      </c>
      <c r="E315" s="202">
        <v>11</v>
      </c>
      <c r="F315" s="202">
        <v>5</v>
      </c>
      <c r="G315" s="202">
        <v>25</v>
      </c>
      <c r="H315" s="202">
        <v>34</v>
      </c>
      <c r="I315" s="202">
        <v>3</v>
      </c>
      <c r="K315" s="202">
        <v>45</v>
      </c>
      <c r="L315" s="202">
        <v>33</v>
      </c>
      <c r="M315" s="202">
        <v>2</v>
      </c>
      <c r="N315" s="202">
        <v>15</v>
      </c>
      <c r="O315" s="202">
        <v>27</v>
      </c>
      <c r="P315" s="202">
        <v>1</v>
      </c>
      <c r="Q315" s="202">
        <v>23</v>
      </c>
      <c r="R315" s="202">
        <v>35</v>
      </c>
      <c r="S315" s="202">
        <v>2</v>
      </c>
    </row>
    <row r="316" spans="1:19" x14ac:dyDescent="0.35">
      <c r="A316" s="202">
        <v>25</v>
      </c>
      <c r="B316" s="202">
        <v>20</v>
      </c>
      <c r="C316" s="202">
        <v>3</v>
      </c>
      <c r="D316" s="202">
        <v>15</v>
      </c>
      <c r="E316" s="202">
        <v>54</v>
      </c>
      <c r="F316" s="202">
        <v>2</v>
      </c>
      <c r="G316" s="202">
        <v>14</v>
      </c>
      <c r="H316" s="202">
        <v>47</v>
      </c>
      <c r="I316" s="202">
        <v>1</v>
      </c>
      <c r="K316" s="202">
        <v>31</v>
      </c>
      <c r="L316" s="202">
        <v>25</v>
      </c>
      <c r="M316" s="202">
        <v>2</v>
      </c>
      <c r="N316" s="202">
        <v>18</v>
      </c>
      <c r="O316" s="202">
        <v>49</v>
      </c>
      <c r="P316" s="202">
        <v>1</v>
      </c>
      <c r="Q316" s="202">
        <v>7</v>
      </c>
      <c r="R316" s="202">
        <v>24</v>
      </c>
      <c r="S316" s="202">
        <v>1</v>
      </c>
    </row>
    <row r="317" spans="1:19" x14ac:dyDescent="0.35">
      <c r="A317" s="202">
        <v>25</v>
      </c>
      <c r="B317" s="202">
        <v>20</v>
      </c>
      <c r="C317" s="202">
        <v>3</v>
      </c>
      <c r="D317" s="202">
        <v>15</v>
      </c>
      <c r="E317" s="202">
        <v>54</v>
      </c>
      <c r="F317" s="202">
        <v>4</v>
      </c>
      <c r="G317" s="202">
        <v>10</v>
      </c>
      <c r="H317" s="202">
        <v>11</v>
      </c>
      <c r="I317" s="202">
        <v>1</v>
      </c>
      <c r="K317" s="202">
        <v>82</v>
      </c>
      <c r="L317" s="202">
        <v>83</v>
      </c>
      <c r="M317" s="202">
        <v>2</v>
      </c>
      <c r="N317" s="202">
        <v>8</v>
      </c>
      <c r="O317" s="202">
        <v>51</v>
      </c>
      <c r="P317" s="202">
        <v>4</v>
      </c>
      <c r="Q317" s="202">
        <v>4</v>
      </c>
      <c r="R317" s="202">
        <v>47</v>
      </c>
      <c r="S317" s="202">
        <v>1</v>
      </c>
    </row>
    <row r="318" spans="1:19" x14ac:dyDescent="0.35">
      <c r="A318" s="202">
        <v>25</v>
      </c>
      <c r="B318" s="202">
        <v>20</v>
      </c>
      <c r="C318" s="202">
        <v>3</v>
      </c>
      <c r="D318" s="202">
        <v>15</v>
      </c>
      <c r="E318" s="202">
        <v>53</v>
      </c>
      <c r="F318" s="202">
        <v>2</v>
      </c>
      <c r="G318" s="202">
        <v>14</v>
      </c>
      <c r="H318" s="202">
        <v>31</v>
      </c>
      <c r="I318" s="202">
        <v>2</v>
      </c>
      <c r="K318" s="202">
        <v>20</v>
      </c>
      <c r="L318" s="202">
        <v>78</v>
      </c>
      <c r="M318" s="202">
        <v>4</v>
      </c>
      <c r="N318" s="202">
        <v>15</v>
      </c>
      <c r="O318" s="202">
        <v>42</v>
      </c>
      <c r="P318" s="202">
        <v>5</v>
      </c>
      <c r="Q318" s="202">
        <v>19</v>
      </c>
      <c r="R318" s="202">
        <v>71</v>
      </c>
      <c r="S318" s="202">
        <v>2</v>
      </c>
    </row>
    <row r="319" spans="1:19" x14ac:dyDescent="0.35">
      <c r="A319" s="202">
        <v>25</v>
      </c>
      <c r="B319" s="202">
        <v>20</v>
      </c>
      <c r="C319" s="202">
        <v>3</v>
      </c>
      <c r="D319" s="202">
        <v>15</v>
      </c>
      <c r="E319" s="202">
        <v>53</v>
      </c>
      <c r="F319" s="202">
        <v>5</v>
      </c>
      <c r="G319" s="202">
        <v>10</v>
      </c>
      <c r="H319" s="202">
        <v>11</v>
      </c>
      <c r="I319" s="202">
        <v>2</v>
      </c>
      <c r="K319" s="202">
        <v>42</v>
      </c>
      <c r="L319" s="202">
        <v>24</v>
      </c>
      <c r="M319" s="202">
        <v>4</v>
      </c>
      <c r="N319" s="202">
        <v>17</v>
      </c>
      <c r="O319" s="202">
        <v>42</v>
      </c>
      <c r="P319" s="202">
        <v>5</v>
      </c>
      <c r="Q319" s="202">
        <v>2</v>
      </c>
      <c r="R319" s="202">
        <v>74</v>
      </c>
      <c r="S319" s="202">
        <v>1</v>
      </c>
    </row>
    <row r="320" spans="1:19" x14ac:dyDescent="0.35">
      <c r="A320" s="202">
        <v>25</v>
      </c>
      <c r="B320" s="202">
        <v>48</v>
      </c>
      <c r="C320" s="202">
        <v>4</v>
      </c>
      <c r="D320" s="202">
        <v>15</v>
      </c>
      <c r="E320" s="202">
        <v>26</v>
      </c>
      <c r="F320" s="202">
        <v>2</v>
      </c>
      <c r="G320" s="202">
        <v>2</v>
      </c>
      <c r="H320" s="202">
        <v>9</v>
      </c>
      <c r="I320" s="202">
        <v>1</v>
      </c>
      <c r="K320" s="202">
        <v>43</v>
      </c>
      <c r="L320" s="202">
        <v>27</v>
      </c>
      <c r="M320" s="202">
        <v>4</v>
      </c>
      <c r="N320" s="202">
        <v>17</v>
      </c>
      <c r="O320" s="202">
        <v>1</v>
      </c>
      <c r="P320" s="202">
        <v>2</v>
      </c>
      <c r="Q320" s="202">
        <v>18</v>
      </c>
      <c r="R320" s="202">
        <v>29</v>
      </c>
      <c r="S320" s="202">
        <v>1</v>
      </c>
    </row>
    <row r="321" spans="1:19" x14ac:dyDescent="0.35">
      <c r="A321" s="202">
        <v>25</v>
      </c>
      <c r="B321" s="202">
        <v>48</v>
      </c>
      <c r="C321" s="202">
        <v>4</v>
      </c>
      <c r="D321" s="202">
        <v>15</v>
      </c>
      <c r="E321" s="202">
        <v>26</v>
      </c>
      <c r="F321" s="202">
        <v>4</v>
      </c>
      <c r="G321" s="202">
        <v>20</v>
      </c>
      <c r="H321" s="202">
        <v>41</v>
      </c>
      <c r="I321" s="202">
        <v>1</v>
      </c>
      <c r="K321" s="202">
        <v>59</v>
      </c>
      <c r="L321" s="202">
        <v>48</v>
      </c>
      <c r="M321" s="202">
        <v>3</v>
      </c>
      <c r="N321" s="202">
        <v>8</v>
      </c>
      <c r="O321" s="202">
        <v>50</v>
      </c>
      <c r="P321" s="202">
        <v>1</v>
      </c>
      <c r="Q321" s="202">
        <v>2</v>
      </c>
      <c r="R321" s="202">
        <v>35</v>
      </c>
      <c r="S321" s="202">
        <v>2</v>
      </c>
    </row>
    <row r="322" spans="1:19" x14ac:dyDescent="0.35">
      <c r="A322" s="202">
        <v>25</v>
      </c>
      <c r="B322" s="202">
        <v>48</v>
      </c>
      <c r="C322" s="202">
        <v>4</v>
      </c>
      <c r="D322" s="202">
        <v>15</v>
      </c>
      <c r="E322" s="202">
        <v>27</v>
      </c>
      <c r="F322" s="202">
        <v>1</v>
      </c>
      <c r="G322" s="202">
        <v>24</v>
      </c>
      <c r="H322" s="202">
        <v>51</v>
      </c>
      <c r="I322" s="202">
        <v>1</v>
      </c>
      <c r="K322" s="202">
        <v>70</v>
      </c>
      <c r="L322" s="202">
        <v>17</v>
      </c>
      <c r="M322" s="202">
        <v>4</v>
      </c>
      <c r="N322" s="202">
        <v>15</v>
      </c>
      <c r="O322" s="202">
        <v>51</v>
      </c>
      <c r="P322" s="202">
        <v>5</v>
      </c>
      <c r="Q322" s="202">
        <v>2</v>
      </c>
      <c r="R322" s="202">
        <v>17</v>
      </c>
      <c r="S322" s="202">
        <v>1</v>
      </c>
    </row>
    <row r="323" spans="1:19" x14ac:dyDescent="0.35">
      <c r="A323" s="202">
        <v>25</v>
      </c>
      <c r="B323" s="202">
        <v>48</v>
      </c>
      <c r="C323" s="202">
        <v>4</v>
      </c>
      <c r="D323" s="202">
        <v>15</v>
      </c>
      <c r="E323" s="202">
        <v>27</v>
      </c>
      <c r="F323" s="202">
        <v>5</v>
      </c>
      <c r="G323" s="202">
        <v>2</v>
      </c>
      <c r="H323" s="202">
        <v>34</v>
      </c>
      <c r="I323" s="202">
        <v>1</v>
      </c>
      <c r="K323" s="202">
        <v>49</v>
      </c>
      <c r="L323" s="202">
        <v>78</v>
      </c>
      <c r="M323" s="202">
        <v>4</v>
      </c>
      <c r="N323" s="202">
        <v>15</v>
      </c>
      <c r="O323" s="202">
        <v>43</v>
      </c>
      <c r="P323" s="202">
        <v>4</v>
      </c>
      <c r="Q323" s="202">
        <v>19</v>
      </c>
      <c r="R323" s="202">
        <v>3</v>
      </c>
      <c r="S323" s="202">
        <v>2</v>
      </c>
    </row>
    <row r="324" spans="1:19" x14ac:dyDescent="0.35">
      <c r="A324" s="202">
        <v>25</v>
      </c>
      <c r="B324" s="202">
        <v>48</v>
      </c>
      <c r="C324" s="202">
        <v>2</v>
      </c>
      <c r="D324" s="202">
        <v>15</v>
      </c>
      <c r="E324" s="202">
        <v>28</v>
      </c>
      <c r="F324" s="202">
        <v>1</v>
      </c>
      <c r="G324" s="202">
        <v>2</v>
      </c>
      <c r="H324" s="202">
        <v>52</v>
      </c>
      <c r="I324" s="202">
        <v>1</v>
      </c>
      <c r="K324" s="202">
        <v>62</v>
      </c>
      <c r="L324" s="202">
        <v>80</v>
      </c>
      <c r="M324" s="202">
        <v>2</v>
      </c>
      <c r="N324" s="202">
        <v>15</v>
      </c>
      <c r="O324" s="202">
        <v>43</v>
      </c>
      <c r="P324" s="202">
        <v>3</v>
      </c>
      <c r="Q324" s="202">
        <v>15</v>
      </c>
      <c r="R324" s="202">
        <v>80</v>
      </c>
      <c r="S324" s="202">
        <v>1</v>
      </c>
    </row>
    <row r="325" spans="1:19" x14ac:dyDescent="0.35">
      <c r="A325" s="202">
        <v>25</v>
      </c>
      <c r="B325" s="202">
        <v>48</v>
      </c>
      <c r="C325" s="202">
        <v>2</v>
      </c>
      <c r="D325" s="202">
        <v>15</v>
      </c>
      <c r="E325" s="202">
        <v>28</v>
      </c>
      <c r="F325" s="202">
        <v>3</v>
      </c>
      <c r="G325" s="202">
        <v>2</v>
      </c>
      <c r="H325" s="202">
        <v>48</v>
      </c>
      <c r="I325" s="202">
        <v>1</v>
      </c>
      <c r="K325" s="202">
        <v>71</v>
      </c>
      <c r="L325" s="202">
        <v>5</v>
      </c>
      <c r="M325" s="202">
        <v>2</v>
      </c>
      <c r="N325" s="202">
        <v>4</v>
      </c>
      <c r="O325" s="202">
        <v>25</v>
      </c>
      <c r="P325" s="202">
        <v>5</v>
      </c>
      <c r="Q325" s="202">
        <v>8</v>
      </c>
      <c r="R325" s="202">
        <v>31</v>
      </c>
      <c r="S325" s="202">
        <v>1</v>
      </c>
    </row>
    <row r="326" spans="1:19" x14ac:dyDescent="0.35">
      <c r="A326" s="202">
        <v>25</v>
      </c>
      <c r="B326" s="202">
        <v>46</v>
      </c>
      <c r="C326" s="202">
        <v>4</v>
      </c>
      <c r="D326" s="202">
        <v>15</v>
      </c>
      <c r="E326" s="202">
        <v>12</v>
      </c>
      <c r="F326" s="202">
        <v>5</v>
      </c>
      <c r="G326" s="202">
        <v>25</v>
      </c>
      <c r="H326" s="202">
        <v>36</v>
      </c>
      <c r="I326" s="202">
        <v>3</v>
      </c>
      <c r="K326" s="202">
        <v>29</v>
      </c>
      <c r="L326" s="202">
        <v>68</v>
      </c>
      <c r="M326" s="202">
        <v>4</v>
      </c>
      <c r="N326" s="202">
        <v>15</v>
      </c>
      <c r="O326" s="202">
        <v>25</v>
      </c>
      <c r="P326" s="202">
        <v>1</v>
      </c>
      <c r="Q326" s="202">
        <v>25</v>
      </c>
      <c r="R326" s="202">
        <v>77</v>
      </c>
      <c r="S326" s="202">
        <v>2</v>
      </c>
    </row>
    <row r="327" spans="1:19" x14ac:dyDescent="0.35">
      <c r="A327" s="202">
        <v>25</v>
      </c>
      <c r="B327" s="202">
        <v>22</v>
      </c>
      <c r="C327" s="202">
        <v>4</v>
      </c>
      <c r="D327" s="202">
        <v>15</v>
      </c>
      <c r="E327" s="202">
        <v>2</v>
      </c>
      <c r="F327" s="202">
        <v>1</v>
      </c>
      <c r="G327" s="202">
        <v>24</v>
      </c>
      <c r="H327" s="202">
        <v>44</v>
      </c>
      <c r="I327" s="202">
        <v>3</v>
      </c>
      <c r="K327" s="202">
        <v>54</v>
      </c>
      <c r="L327" s="202">
        <v>78</v>
      </c>
      <c r="M327" s="202">
        <v>4</v>
      </c>
      <c r="N327" s="202">
        <v>10</v>
      </c>
      <c r="O327" s="202">
        <v>1</v>
      </c>
      <c r="P327" s="202">
        <v>2</v>
      </c>
      <c r="Q327" s="202">
        <v>19</v>
      </c>
      <c r="R327" s="202">
        <v>46</v>
      </c>
      <c r="S327" s="202">
        <v>1</v>
      </c>
    </row>
    <row r="328" spans="1:19" x14ac:dyDescent="0.35">
      <c r="A328" s="202">
        <v>26</v>
      </c>
      <c r="B328" s="202">
        <v>48</v>
      </c>
      <c r="C328" s="202">
        <v>4</v>
      </c>
      <c r="D328" s="202">
        <v>18</v>
      </c>
      <c r="E328" s="202">
        <v>43</v>
      </c>
      <c r="F328" s="202">
        <v>4</v>
      </c>
      <c r="G328" s="202">
        <v>2</v>
      </c>
      <c r="H328" s="202">
        <v>20</v>
      </c>
      <c r="I328" s="202">
        <v>1</v>
      </c>
      <c r="K328" s="202">
        <v>51</v>
      </c>
      <c r="L328" s="202">
        <v>32</v>
      </c>
      <c r="M328" s="202">
        <v>3</v>
      </c>
      <c r="N328" s="202">
        <v>8</v>
      </c>
      <c r="O328" s="202">
        <v>27</v>
      </c>
      <c r="P328" s="202">
        <v>2</v>
      </c>
      <c r="Q328" s="202">
        <v>14</v>
      </c>
      <c r="R328" s="202">
        <v>55</v>
      </c>
      <c r="S328" s="202">
        <v>2</v>
      </c>
    </row>
    <row r="329" spans="1:19" x14ac:dyDescent="0.35">
      <c r="A329" s="202">
        <v>26</v>
      </c>
      <c r="B329" s="202">
        <v>48</v>
      </c>
      <c r="C329" s="202">
        <v>4</v>
      </c>
      <c r="D329" s="202">
        <v>18</v>
      </c>
      <c r="E329" s="202">
        <v>43</v>
      </c>
      <c r="F329" s="202">
        <v>5</v>
      </c>
      <c r="G329" s="202">
        <v>20</v>
      </c>
      <c r="H329" s="202">
        <v>20</v>
      </c>
      <c r="I329" s="202">
        <v>1</v>
      </c>
      <c r="K329" s="202">
        <v>4</v>
      </c>
      <c r="L329" s="202">
        <v>17</v>
      </c>
      <c r="M329" s="202">
        <v>3</v>
      </c>
      <c r="N329" s="202">
        <v>17</v>
      </c>
      <c r="O329" s="202">
        <v>49</v>
      </c>
      <c r="P329" s="202">
        <v>1</v>
      </c>
      <c r="Q329" s="202">
        <v>3</v>
      </c>
      <c r="R329" s="202">
        <v>27</v>
      </c>
      <c r="S329" s="202">
        <v>1</v>
      </c>
    </row>
    <row r="330" spans="1:19" x14ac:dyDescent="0.35">
      <c r="A330" s="202">
        <v>26</v>
      </c>
      <c r="B330" s="202">
        <v>77</v>
      </c>
      <c r="C330" s="202">
        <v>3</v>
      </c>
      <c r="D330" s="202">
        <v>18</v>
      </c>
      <c r="E330" s="202">
        <v>25</v>
      </c>
      <c r="F330" s="202">
        <v>1</v>
      </c>
      <c r="G330" s="202">
        <v>14</v>
      </c>
      <c r="H330" s="202">
        <v>46</v>
      </c>
      <c r="I330" s="202">
        <v>2</v>
      </c>
      <c r="K330" s="202">
        <v>69</v>
      </c>
      <c r="L330" s="202">
        <v>24</v>
      </c>
      <c r="M330" s="202">
        <v>2</v>
      </c>
      <c r="N330" s="202">
        <v>15</v>
      </c>
      <c r="O330" s="202">
        <v>26</v>
      </c>
      <c r="P330" s="202">
        <v>1</v>
      </c>
      <c r="Q330" s="202">
        <v>10</v>
      </c>
      <c r="R330" s="202">
        <v>72</v>
      </c>
      <c r="S330" s="202">
        <v>1</v>
      </c>
    </row>
    <row r="331" spans="1:19" x14ac:dyDescent="0.35">
      <c r="A331" s="202">
        <v>26</v>
      </c>
      <c r="B331" s="202">
        <v>77</v>
      </c>
      <c r="C331" s="202">
        <v>3</v>
      </c>
      <c r="D331" s="202">
        <v>18</v>
      </c>
      <c r="E331" s="202">
        <v>25</v>
      </c>
      <c r="F331" s="202">
        <v>3</v>
      </c>
      <c r="G331" s="202">
        <v>14</v>
      </c>
      <c r="H331" s="202">
        <v>46</v>
      </c>
      <c r="I331" s="202">
        <v>2</v>
      </c>
      <c r="K331" s="202">
        <v>83</v>
      </c>
      <c r="L331" s="202">
        <v>25</v>
      </c>
      <c r="M331" s="202">
        <v>4</v>
      </c>
      <c r="N331" s="202">
        <v>8</v>
      </c>
      <c r="O331" s="202">
        <v>45</v>
      </c>
      <c r="P331" s="202">
        <v>4</v>
      </c>
      <c r="Q331" s="202">
        <v>19</v>
      </c>
      <c r="R331" s="202">
        <v>96</v>
      </c>
      <c r="S331" s="202">
        <v>2</v>
      </c>
    </row>
    <row r="332" spans="1:19" x14ac:dyDescent="0.35">
      <c r="A332" s="202">
        <v>26</v>
      </c>
      <c r="B332" s="202">
        <v>78</v>
      </c>
      <c r="C332" s="202">
        <v>3</v>
      </c>
      <c r="D332" s="202">
        <v>10</v>
      </c>
      <c r="E332" s="202">
        <v>49</v>
      </c>
      <c r="F332" s="202">
        <v>1</v>
      </c>
      <c r="G332" s="202">
        <v>19</v>
      </c>
      <c r="H332" s="202">
        <v>33</v>
      </c>
      <c r="I332" s="202">
        <v>2</v>
      </c>
      <c r="K332" s="202">
        <v>18</v>
      </c>
      <c r="L332" s="202">
        <v>24</v>
      </c>
      <c r="M332" s="202">
        <v>3</v>
      </c>
      <c r="N332" s="202">
        <v>4</v>
      </c>
      <c r="O332" s="202">
        <v>43</v>
      </c>
      <c r="P332" s="202">
        <v>2</v>
      </c>
      <c r="Q332" s="202">
        <v>20</v>
      </c>
      <c r="R332" s="202">
        <v>18</v>
      </c>
      <c r="S332" s="202">
        <v>2</v>
      </c>
    </row>
    <row r="333" spans="1:19" x14ac:dyDescent="0.35">
      <c r="A333" s="202">
        <v>26</v>
      </c>
      <c r="B333" s="202">
        <v>78</v>
      </c>
      <c r="C333" s="202">
        <v>3</v>
      </c>
      <c r="D333" s="202">
        <v>10</v>
      </c>
      <c r="E333" s="202">
        <v>49</v>
      </c>
      <c r="F333" s="202">
        <v>4</v>
      </c>
      <c r="G333" s="202">
        <v>14</v>
      </c>
      <c r="H333" s="202">
        <v>6</v>
      </c>
      <c r="I333" s="202">
        <v>2</v>
      </c>
      <c r="K333" s="202">
        <v>58</v>
      </c>
      <c r="L333" s="202">
        <v>28</v>
      </c>
      <c r="M333" s="202">
        <v>2</v>
      </c>
      <c r="N333" s="202">
        <v>15</v>
      </c>
      <c r="O333" s="202">
        <v>42</v>
      </c>
      <c r="P333" s="202">
        <v>1</v>
      </c>
      <c r="Q333" s="202">
        <v>19</v>
      </c>
      <c r="R333" s="202">
        <v>55</v>
      </c>
      <c r="S333" s="202">
        <v>2</v>
      </c>
    </row>
    <row r="334" spans="1:19" x14ac:dyDescent="0.35">
      <c r="A334" s="202">
        <v>26</v>
      </c>
      <c r="B334" s="202">
        <v>78</v>
      </c>
      <c r="C334" s="202">
        <v>3</v>
      </c>
      <c r="D334" s="202">
        <v>10</v>
      </c>
      <c r="E334" s="202">
        <v>50</v>
      </c>
      <c r="F334" s="202">
        <v>2</v>
      </c>
      <c r="G334" s="202">
        <v>19</v>
      </c>
      <c r="H334" s="202">
        <v>37</v>
      </c>
      <c r="I334" s="202">
        <v>1</v>
      </c>
      <c r="K334" s="202">
        <v>43</v>
      </c>
      <c r="L334" s="202">
        <v>93</v>
      </c>
      <c r="M334" s="202">
        <v>4</v>
      </c>
      <c r="N334" s="202">
        <v>18</v>
      </c>
      <c r="O334" s="202">
        <v>47</v>
      </c>
      <c r="P334" s="202">
        <v>2</v>
      </c>
      <c r="Q334" s="202">
        <v>2</v>
      </c>
      <c r="R334" s="202">
        <v>47</v>
      </c>
      <c r="S334" s="202">
        <v>1</v>
      </c>
    </row>
    <row r="335" spans="1:19" x14ac:dyDescent="0.35">
      <c r="A335" s="202">
        <v>26</v>
      </c>
      <c r="B335" s="202">
        <v>78</v>
      </c>
      <c r="C335" s="202">
        <v>3</v>
      </c>
      <c r="D335" s="202">
        <v>10</v>
      </c>
      <c r="E335" s="202">
        <v>50</v>
      </c>
      <c r="F335" s="202">
        <v>5</v>
      </c>
      <c r="G335" s="202">
        <v>1</v>
      </c>
      <c r="H335" s="202">
        <v>22</v>
      </c>
      <c r="I335" s="202">
        <v>1</v>
      </c>
      <c r="K335" s="202">
        <v>8</v>
      </c>
      <c r="L335" s="202">
        <v>73</v>
      </c>
      <c r="M335" s="202">
        <v>4</v>
      </c>
      <c r="N335" s="202">
        <v>17</v>
      </c>
      <c r="O335" s="202">
        <v>2</v>
      </c>
      <c r="P335" s="202">
        <v>4</v>
      </c>
      <c r="Q335" s="202">
        <v>11</v>
      </c>
      <c r="R335" s="202">
        <v>34</v>
      </c>
      <c r="S335" s="202">
        <v>2</v>
      </c>
    </row>
    <row r="336" spans="1:19" x14ac:dyDescent="0.35">
      <c r="A336" s="202">
        <v>26</v>
      </c>
      <c r="B336" s="202">
        <v>71</v>
      </c>
      <c r="C336" s="202">
        <v>1</v>
      </c>
      <c r="D336" s="202">
        <v>16</v>
      </c>
      <c r="E336" s="202">
        <v>48</v>
      </c>
      <c r="F336" s="202">
        <v>1</v>
      </c>
      <c r="G336" s="202">
        <v>1</v>
      </c>
      <c r="H336" s="202">
        <v>37</v>
      </c>
      <c r="I336" s="202">
        <v>1</v>
      </c>
      <c r="K336" s="202">
        <v>28</v>
      </c>
      <c r="L336" s="202">
        <v>81</v>
      </c>
      <c r="M336" s="202">
        <v>2</v>
      </c>
      <c r="N336" s="202">
        <v>15</v>
      </c>
      <c r="O336" s="202">
        <v>28</v>
      </c>
      <c r="P336" s="202">
        <v>2</v>
      </c>
      <c r="Q336" s="202">
        <v>24</v>
      </c>
      <c r="R336" s="202">
        <v>24</v>
      </c>
      <c r="S336" s="202">
        <v>1</v>
      </c>
    </row>
    <row r="337" spans="1:19" x14ac:dyDescent="0.35">
      <c r="A337" s="202">
        <v>26</v>
      </c>
      <c r="B337" s="202">
        <v>71</v>
      </c>
      <c r="C337" s="202">
        <v>1</v>
      </c>
      <c r="D337" s="202">
        <v>16</v>
      </c>
      <c r="E337" s="202">
        <v>48</v>
      </c>
      <c r="F337" s="202">
        <v>2</v>
      </c>
      <c r="G337" s="202">
        <v>1</v>
      </c>
      <c r="H337" s="202">
        <v>37</v>
      </c>
      <c r="I337" s="202">
        <v>1</v>
      </c>
      <c r="K337" s="202">
        <v>49</v>
      </c>
      <c r="L337" s="202">
        <v>101</v>
      </c>
      <c r="M337" s="202">
        <v>3</v>
      </c>
      <c r="N337" s="202">
        <v>18</v>
      </c>
      <c r="O337" s="202">
        <v>42</v>
      </c>
      <c r="P337" s="202">
        <v>3</v>
      </c>
      <c r="Q337" s="202">
        <v>2</v>
      </c>
      <c r="R337" s="202">
        <v>24</v>
      </c>
      <c r="S337" s="202">
        <v>2</v>
      </c>
    </row>
    <row r="338" spans="1:19" x14ac:dyDescent="0.35">
      <c r="A338" s="202">
        <v>26</v>
      </c>
      <c r="B338" s="202">
        <v>79</v>
      </c>
      <c r="C338" s="202">
        <v>2</v>
      </c>
      <c r="D338" s="202">
        <v>17</v>
      </c>
      <c r="E338" s="202">
        <v>43</v>
      </c>
      <c r="F338" s="202">
        <v>2</v>
      </c>
      <c r="G338" s="202">
        <v>18</v>
      </c>
      <c r="H338" s="202">
        <v>34</v>
      </c>
      <c r="I338" s="202">
        <v>2</v>
      </c>
      <c r="K338" s="202">
        <v>5</v>
      </c>
      <c r="L338" s="202">
        <v>8</v>
      </c>
      <c r="M338" s="202">
        <v>2</v>
      </c>
      <c r="N338" s="202">
        <v>15</v>
      </c>
      <c r="O338" s="202">
        <v>29</v>
      </c>
      <c r="P338" s="202">
        <v>2</v>
      </c>
      <c r="Q338" s="202">
        <v>19</v>
      </c>
      <c r="R338" s="202">
        <v>36</v>
      </c>
      <c r="S338" s="202">
        <v>1</v>
      </c>
    </row>
    <row r="339" spans="1:19" x14ac:dyDescent="0.35">
      <c r="A339" s="202">
        <v>26</v>
      </c>
      <c r="B339" s="202">
        <v>79</v>
      </c>
      <c r="C339" s="202">
        <v>2</v>
      </c>
      <c r="D339" s="202">
        <v>17</v>
      </c>
      <c r="E339" s="202">
        <v>43</v>
      </c>
      <c r="F339" s="202">
        <v>4</v>
      </c>
      <c r="G339" s="202">
        <v>18</v>
      </c>
      <c r="H339" s="202">
        <v>34</v>
      </c>
      <c r="I339" s="202">
        <v>2</v>
      </c>
      <c r="K339" s="202">
        <v>7</v>
      </c>
      <c r="L339" s="202">
        <v>53</v>
      </c>
      <c r="M339" s="202">
        <v>2</v>
      </c>
      <c r="N339" s="202">
        <v>10</v>
      </c>
      <c r="O339" s="202">
        <v>27</v>
      </c>
      <c r="P339" s="202">
        <v>4</v>
      </c>
      <c r="Q339" s="202">
        <v>24</v>
      </c>
      <c r="R339" s="202">
        <v>34</v>
      </c>
      <c r="S339" s="202">
        <v>1</v>
      </c>
    </row>
    <row r="340" spans="1:19" x14ac:dyDescent="0.35">
      <c r="A340" s="202">
        <v>27</v>
      </c>
      <c r="B340" s="202">
        <v>80</v>
      </c>
      <c r="C340" s="202">
        <v>4</v>
      </c>
      <c r="D340" s="202">
        <v>8</v>
      </c>
      <c r="E340" s="202">
        <v>42</v>
      </c>
      <c r="F340" s="202">
        <v>2</v>
      </c>
      <c r="G340" s="202">
        <v>11</v>
      </c>
      <c r="H340" s="202">
        <v>2</v>
      </c>
      <c r="I340" s="202">
        <v>1</v>
      </c>
      <c r="K340" s="202">
        <v>78</v>
      </c>
      <c r="L340" s="202">
        <v>110</v>
      </c>
      <c r="M340" s="202">
        <v>2</v>
      </c>
      <c r="N340" s="202">
        <v>18</v>
      </c>
      <c r="O340" s="202">
        <v>49</v>
      </c>
      <c r="P340" s="202">
        <v>1</v>
      </c>
      <c r="Q340" s="202">
        <v>2</v>
      </c>
      <c r="R340" s="202">
        <v>29</v>
      </c>
      <c r="S340" s="202">
        <v>2</v>
      </c>
    </row>
    <row r="341" spans="1:19" x14ac:dyDescent="0.35">
      <c r="A341" s="202">
        <v>27</v>
      </c>
      <c r="B341" s="202">
        <v>80</v>
      </c>
      <c r="C341" s="202">
        <v>4</v>
      </c>
      <c r="D341" s="202">
        <v>8</v>
      </c>
      <c r="E341" s="202">
        <v>42</v>
      </c>
      <c r="F341" s="202">
        <v>4</v>
      </c>
      <c r="G341" s="202">
        <v>11</v>
      </c>
      <c r="H341" s="202">
        <v>2</v>
      </c>
      <c r="I341" s="202">
        <v>1</v>
      </c>
      <c r="K341" s="202">
        <v>19</v>
      </c>
      <c r="L341" s="202">
        <v>24</v>
      </c>
      <c r="M341" s="202">
        <v>4</v>
      </c>
      <c r="N341" s="202">
        <v>10</v>
      </c>
      <c r="O341" s="202">
        <v>48</v>
      </c>
      <c r="P341" s="202">
        <v>2</v>
      </c>
      <c r="Q341" s="202">
        <v>2</v>
      </c>
      <c r="R341" s="202">
        <v>20</v>
      </c>
      <c r="S341" s="202">
        <v>1</v>
      </c>
    </row>
    <row r="342" spans="1:19" x14ac:dyDescent="0.35">
      <c r="A342" s="202">
        <v>27</v>
      </c>
      <c r="B342" s="202">
        <v>80</v>
      </c>
      <c r="C342" s="202">
        <v>4</v>
      </c>
      <c r="D342" s="202">
        <v>8</v>
      </c>
      <c r="E342" s="202">
        <v>43</v>
      </c>
      <c r="F342" s="202">
        <v>3</v>
      </c>
      <c r="G342" s="202">
        <v>2</v>
      </c>
      <c r="H342" s="202">
        <v>2</v>
      </c>
      <c r="I342" s="202">
        <v>1</v>
      </c>
      <c r="K342" s="202">
        <v>34</v>
      </c>
      <c r="L342" s="202">
        <v>17</v>
      </c>
      <c r="M342" s="202">
        <v>3</v>
      </c>
      <c r="N342" s="202">
        <v>11</v>
      </c>
      <c r="O342" s="202">
        <v>28</v>
      </c>
      <c r="P342" s="202">
        <v>4</v>
      </c>
      <c r="Q342" s="202">
        <v>11</v>
      </c>
      <c r="R342" s="202">
        <v>28</v>
      </c>
      <c r="S342" s="202">
        <v>1</v>
      </c>
    </row>
    <row r="343" spans="1:19" x14ac:dyDescent="0.35">
      <c r="A343" s="202">
        <v>27</v>
      </c>
      <c r="B343" s="202">
        <v>80</v>
      </c>
      <c r="C343" s="202">
        <v>4</v>
      </c>
      <c r="D343" s="202">
        <v>8</v>
      </c>
      <c r="E343" s="202">
        <v>43</v>
      </c>
      <c r="F343" s="202">
        <v>5</v>
      </c>
      <c r="G343" s="202">
        <v>2</v>
      </c>
      <c r="H343" s="202">
        <v>2</v>
      </c>
      <c r="I343" s="202">
        <v>1</v>
      </c>
      <c r="K343" s="202">
        <v>50</v>
      </c>
      <c r="L343" s="202">
        <v>33</v>
      </c>
      <c r="M343" s="202">
        <v>4</v>
      </c>
      <c r="N343" s="202">
        <v>10</v>
      </c>
      <c r="O343" s="202">
        <v>25</v>
      </c>
      <c r="P343" s="202">
        <v>1</v>
      </c>
      <c r="Q343" s="202">
        <v>20</v>
      </c>
      <c r="R343" s="202">
        <v>58</v>
      </c>
      <c r="S343" s="202">
        <v>2</v>
      </c>
    </row>
    <row r="344" spans="1:19" x14ac:dyDescent="0.35">
      <c r="A344" s="202">
        <v>27</v>
      </c>
      <c r="B344" s="202">
        <v>1</v>
      </c>
      <c r="C344" s="202">
        <v>4</v>
      </c>
      <c r="D344" s="202">
        <v>8</v>
      </c>
      <c r="E344" s="202">
        <v>25</v>
      </c>
      <c r="F344" s="202">
        <v>1</v>
      </c>
      <c r="G344" s="202">
        <v>2</v>
      </c>
      <c r="H344" s="202">
        <v>2</v>
      </c>
      <c r="I344" s="202">
        <v>2</v>
      </c>
      <c r="K344" s="202">
        <v>59</v>
      </c>
      <c r="L344" s="202">
        <v>80</v>
      </c>
      <c r="M344" s="202">
        <v>2</v>
      </c>
      <c r="N344" s="202">
        <v>17</v>
      </c>
      <c r="O344" s="202">
        <v>4</v>
      </c>
      <c r="P344" s="202">
        <v>1</v>
      </c>
      <c r="Q344" s="202">
        <v>23</v>
      </c>
      <c r="R344" s="202">
        <v>52</v>
      </c>
      <c r="S344" s="202">
        <v>2</v>
      </c>
    </row>
    <row r="345" spans="1:19" x14ac:dyDescent="0.35">
      <c r="A345" s="202">
        <v>27</v>
      </c>
      <c r="B345" s="202">
        <v>1</v>
      </c>
      <c r="C345" s="202">
        <v>4</v>
      </c>
      <c r="D345" s="202">
        <v>8</v>
      </c>
      <c r="E345" s="202">
        <v>25</v>
      </c>
      <c r="F345" s="202">
        <v>3</v>
      </c>
      <c r="G345" s="202">
        <v>2</v>
      </c>
      <c r="H345" s="202">
        <v>2</v>
      </c>
      <c r="I345" s="202">
        <v>2</v>
      </c>
      <c r="K345" s="202">
        <v>25</v>
      </c>
      <c r="L345" s="202">
        <v>14</v>
      </c>
      <c r="M345" s="202">
        <v>4</v>
      </c>
      <c r="N345" s="202">
        <v>15</v>
      </c>
      <c r="O345" s="202">
        <v>48</v>
      </c>
      <c r="P345" s="202">
        <v>4</v>
      </c>
      <c r="Q345" s="202">
        <v>19</v>
      </c>
      <c r="R345" s="202">
        <v>24</v>
      </c>
      <c r="S345" s="202">
        <v>1</v>
      </c>
    </row>
    <row r="346" spans="1:19" x14ac:dyDescent="0.35">
      <c r="A346" s="202">
        <v>27</v>
      </c>
      <c r="B346" s="202">
        <v>81</v>
      </c>
      <c r="C346" s="202">
        <v>3</v>
      </c>
      <c r="D346" s="202">
        <v>8</v>
      </c>
      <c r="E346" s="202">
        <v>48</v>
      </c>
      <c r="F346" s="202">
        <v>1</v>
      </c>
      <c r="G346" s="202">
        <v>11</v>
      </c>
      <c r="H346" s="202">
        <v>4</v>
      </c>
      <c r="I346" s="202">
        <v>2</v>
      </c>
      <c r="K346" s="202">
        <v>69</v>
      </c>
      <c r="L346" s="202">
        <v>14</v>
      </c>
      <c r="M346" s="202">
        <v>3</v>
      </c>
      <c r="N346" s="202">
        <v>18</v>
      </c>
      <c r="O346" s="202">
        <v>48</v>
      </c>
      <c r="P346" s="202">
        <v>1</v>
      </c>
      <c r="Q346" s="202">
        <v>10</v>
      </c>
      <c r="R346" s="202">
        <v>17</v>
      </c>
      <c r="S346" s="202">
        <v>2</v>
      </c>
    </row>
    <row r="347" spans="1:19" x14ac:dyDescent="0.35">
      <c r="A347" s="202">
        <v>27</v>
      </c>
      <c r="B347" s="202">
        <v>81</v>
      </c>
      <c r="C347" s="202">
        <v>3</v>
      </c>
      <c r="D347" s="202">
        <v>8</v>
      </c>
      <c r="E347" s="202">
        <v>48</v>
      </c>
      <c r="F347" s="202">
        <v>3</v>
      </c>
      <c r="G347" s="202">
        <v>11</v>
      </c>
      <c r="H347" s="202">
        <v>17</v>
      </c>
      <c r="I347" s="202">
        <v>2</v>
      </c>
      <c r="K347" s="202">
        <v>51</v>
      </c>
      <c r="L347" s="202">
        <v>100</v>
      </c>
      <c r="M347" s="202">
        <v>2</v>
      </c>
      <c r="N347" s="202">
        <v>15</v>
      </c>
      <c r="O347" s="202">
        <v>33</v>
      </c>
      <c r="P347" s="202">
        <v>5</v>
      </c>
      <c r="Q347" s="202">
        <v>1</v>
      </c>
      <c r="R347" s="202">
        <v>2</v>
      </c>
      <c r="S347" s="202">
        <v>1</v>
      </c>
    </row>
    <row r="348" spans="1:19" x14ac:dyDescent="0.35">
      <c r="A348" s="202">
        <v>27</v>
      </c>
      <c r="B348" s="202">
        <v>81</v>
      </c>
      <c r="C348" s="202">
        <v>3</v>
      </c>
      <c r="D348" s="202">
        <v>8</v>
      </c>
      <c r="E348" s="202">
        <v>49</v>
      </c>
      <c r="F348" s="202">
        <v>2</v>
      </c>
      <c r="G348" s="202">
        <v>2</v>
      </c>
      <c r="H348" s="202">
        <v>1</v>
      </c>
      <c r="I348" s="202">
        <v>2</v>
      </c>
      <c r="K348" s="202">
        <v>52</v>
      </c>
      <c r="L348" s="202">
        <v>25</v>
      </c>
      <c r="M348" s="202">
        <v>2</v>
      </c>
      <c r="N348" s="202">
        <v>17</v>
      </c>
      <c r="O348" s="202">
        <v>29</v>
      </c>
      <c r="P348" s="202">
        <v>1</v>
      </c>
      <c r="Q348" s="202">
        <v>17</v>
      </c>
      <c r="R348" s="202">
        <v>8</v>
      </c>
      <c r="S348" s="202">
        <v>2</v>
      </c>
    </row>
    <row r="349" spans="1:19" x14ac:dyDescent="0.35">
      <c r="A349" s="202">
        <v>27</v>
      </c>
      <c r="B349" s="202">
        <v>81</v>
      </c>
      <c r="C349" s="202">
        <v>3</v>
      </c>
      <c r="D349" s="202">
        <v>8</v>
      </c>
      <c r="E349" s="202">
        <v>49</v>
      </c>
      <c r="F349" s="202">
        <v>4</v>
      </c>
      <c r="G349" s="202">
        <v>8</v>
      </c>
      <c r="H349" s="202">
        <v>1</v>
      </c>
      <c r="I349" s="202">
        <v>2</v>
      </c>
      <c r="K349" s="202">
        <v>12</v>
      </c>
      <c r="L349" s="202">
        <v>11</v>
      </c>
      <c r="M349" s="202">
        <v>2</v>
      </c>
      <c r="N349" s="202">
        <v>8</v>
      </c>
      <c r="O349" s="202">
        <v>48</v>
      </c>
      <c r="P349" s="202">
        <v>3</v>
      </c>
      <c r="Q349" s="202">
        <v>16</v>
      </c>
      <c r="R349" s="202">
        <v>92</v>
      </c>
      <c r="S349" s="202">
        <v>2</v>
      </c>
    </row>
    <row r="350" spans="1:19" x14ac:dyDescent="0.35">
      <c r="A350" s="202">
        <v>27</v>
      </c>
      <c r="B350" s="202">
        <v>81</v>
      </c>
      <c r="C350" s="202">
        <v>3</v>
      </c>
      <c r="D350" s="202">
        <v>8</v>
      </c>
      <c r="E350" s="202">
        <v>50</v>
      </c>
      <c r="F350" s="202">
        <v>2</v>
      </c>
      <c r="G350" s="202">
        <v>20</v>
      </c>
      <c r="H350" s="202">
        <v>4</v>
      </c>
      <c r="I350" s="202">
        <v>2</v>
      </c>
      <c r="K350" s="202">
        <v>14</v>
      </c>
      <c r="L350" s="202">
        <v>30</v>
      </c>
      <c r="M350" s="202">
        <v>4</v>
      </c>
      <c r="N350" s="202">
        <v>15</v>
      </c>
      <c r="O350" s="202">
        <v>42</v>
      </c>
      <c r="P350" s="202">
        <v>2</v>
      </c>
      <c r="Q350" s="202">
        <v>2</v>
      </c>
      <c r="R350" s="202">
        <v>52</v>
      </c>
      <c r="S350" s="202">
        <v>2</v>
      </c>
    </row>
    <row r="351" spans="1:19" x14ac:dyDescent="0.35">
      <c r="A351" s="202">
        <v>27</v>
      </c>
      <c r="B351" s="202">
        <v>81</v>
      </c>
      <c r="C351" s="202">
        <v>3</v>
      </c>
      <c r="D351" s="202">
        <v>8</v>
      </c>
      <c r="E351" s="202">
        <v>50</v>
      </c>
      <c r="F351" s="202">
        <v>4</v>
      </c>
      <c r="G351" s="202">
        <v>20</v>
      </c>
      <c r="H351" s="202">
        <v>1</v>
      </c>
      <c r="I351" s="202">
        <v>2</v>
      </c>
      <c r="K351" s="202">
        <v>42</v>
      </c>
      <c r="L351" s="202">
        <v>29</v>
      </c>
      <c r="M351" s="202">
        <v>2</v>
      </c>
      <c r="N351" s="202">
        <v>18</v>
      </c>
      <c r="O351" s="202">
        <v>27</v>
      </c>
      <c r="P351" s="202">
        <v>1</v>
      </c>
      <c r="Q351" s="202">
        <v>19</v>
      </c>
      <c r="R351" s="202">
        <v>11</v>
      </c>
      <c r="S351" s="202">
        <v>2</v>
      </c>
    </row>
    <row r="352" spans="1:19" x14ac:dyDescent="0.35">
      <c r="A352" s="202">
        <v>27</v>
      </c>
      <c r="B352" s="202">
        <v>81</v>
      </c>
      <c r="C352" s="202">
        <v>3</v>
      </c>
      <c r="D352" s="202">
        <v>8</v>
      </c>
      <c r="E352" s="202">
        <v>51</v>
      </c>
      <c r="F352" s="202">
        <v>2</v>
      </c>
      <c r="G352" s="202">
        <v>20</v>
      </c>
      <c r="H352" s="202">
        <v>1</v>
      </c>
      <c r="I352" s="202">
        <v>2</v>
      </c>
      <c r="K352" s="202">
        <v>31</v>
      </c>
      <c r="L352" s="202">
        <v>24</v>
      </c>
      <c r="M352" s="202">
        <v>4</v>
      </c>
      <c r="N352" s="202">
        <v>8</v>
      </c>
      <c r="O352" s="202">
        <v>43</v>
      </c>
      <c r="P352" s="202">
        <v>2</v>
      </c>
      <c r="Q352" s="202">
        <v>2</v>
      </c>
      <c r="R352" s="202">
        <v>103</v>
      </c>
      <c r="S352" s="202">
        <v>2</v>
      </c>
    </row>
    <row r="353" spans="1:19" x14ac:dyDescent="0.35">
      <c r="A353" s="202">
        <v>27</v>
      </c>
      <c r="B353" s="202">
        <v>81</v>
      </c>
      <c r="C353" s="202">
        <v>3</v>
      </c>
      <c r="D353" s="202">
        <v>8</v>
      </c>
      <c r="E353" s="202">
        <v>51</v>
      </c>
      <c r="F353" s="202">
        <v>5</v>
      </c>
      <c r="G353" s="202">
        <v>2</v>
      </c>
      <c r="H353" s="202">
        <v>1</v>
      </c>
      <c r="I353" s="202">
        <v>2</v>
      </c>
      <c r="K353" s="202">
        <v>54</v>
      </c>
      <c r="L353" s="202">
        <v>79</v>
      </c>
      <c r="M353" s="202">
        <v>4</v>
      </c>
      <c r="N353" s="202">
        <v>15</v>
      </c>
      <c r="O353" s="202">
        <v>26</v>
      </c>
      <c r="P353" s="202">
        <v>1</v>
      </c>
      <c r="Q353" s="202">
        <v>19</v>
      </c>
      <c r="R353" s="202">
        <v>30</v>
      </c>
      <c r="S353" s="202">
        <v>1</v>
      </c>
    </row>
    <row r="354" spans="1:19" x14ac:dyDescent="0.35">
      <c r="A354" s="202">
        <v>28</v>
      </c>
      <c r="B354" s="202">
        <v>11</v>
      </c>
      <c r="C354" s="202">
        <v>4</v>
      </c>
      <c r="D354" s="202">
        <v>18</v>
      </c>
      <c r="E354" s="202">
        <v>49</v>
      </c>
      <c r="F354" s="202">
        <v>1</v>
      </c>
      <c r="G354" s="202">
        <v>11</v>
      </c>
      <c r="H354" s="202">
        <v>17</v>
      </c>
      <c r="I354" s="202">
        <v>2</v>
      </c>
      <c r="K354" s="202">
        <v>26</v>
      </c>
      <c r="L354" s="202">
        <v>24</v>
      </c>
      <c r="M354" s="202">
        <v>4</v>
      </c>
      <c r="N354" s="202">
        <v>16</v>
      </c>
      <c r="O354" s="202">
        <v>42</v>
      </c>
      <c r="P354" s="202">
        <v>4</v>
      </c>
      <c r="Q354" s="202">
        <v>22</v>
      </c>
      <c r="R354" s="202">
        <v>5</v>
      </c>
      <c r="S354" s="202">
        <v>2</v>
      </c>
    </row>
    <row r="355" spans="1:19" x14ac:dyDescent="0.35">
      <c r="A355" s="202">
        <v>28</v>
      </c>
      <c r="B355" s="202">
        <v>11</v>
      </c>
      <c r="C355" s="202">
        <v>4</v>
      </c>
      <c r="D355" s="202">
        <v>18</v>
      </c>
      <c r="E355" s="202">
        <v>49</v>
      </c>
      <c r="F355" s="202">
        <v>2</v>
      </c>
      <c r="G355" s="202">
        <v>11</v>
      </c>
      <c r="H355" s="202">
        <v>1</v>
      </c>
      <c r="I355" s="202">
        <v>2</v>
      </c>
      <c r="K355" s="202">
        <v>42</v>
      </c>
      <c r="L355" s="202">
        <v>25</v>
      </c>
      <c r="M355" s="202">
        <v>3</v>
      </c>
      <c r="N355" s="202">
        <v>8</v>
      </c>
      <c r="O355" s="202">
        <v>42</v>
      </c>
      <c r="P355" s="202">
        <v>1</v>
      </c>
      <c r="Q355" s="202">
        <v>19</v>
      </c>
      <c r="R355" s="202">
        <v>35</v>
      </c>
      <c r="S355" s="202">
        <v>1</v>
      </c>
    </row>
    <row r="356" spans="1:19" x14ac:dyDescent="0.35">
      <c r="A356" s="202">
        <v>28</v>
      </c>
      <c r="B356" s="202">
        <v>59</v>
      </c>
      <c r="C356" s="202">
        <v>4</v>
      </c>
      <c r="D356" s="202">
        <v>10</v>
      </c>
      <c r="E356" s="202">
        <v>25</v>
      </c>
      <c r="F356" s="202">
        <v>1</v>
      </c>
      <c r="G356" s="202">
        <v>20</v>
      </c>
      <c r="H356" s="202">
        <v>38</v>
      </c>
      <c r="I356" s="202">
        <v>2</v>
      </c>
      <c r="K356" s="202">
        <v>41</v>
      </c>
      <c r="L356" s="202">
        <v>113</v>
      </c>
      <c r="M356" s="202">
        <v>4</v>
      </c>
      <c r="N356" s="202">
        <v>15</v>
      </c>
      <c r="O356" s="202">
        <v>49</v>
      </c>
      <c r="P356" s="202">
        <v>4</v>
      </c>
      <c r="Q356" s="202">
        <v>20</v>
      </c>
      <c r="R356" s="202">
        <v>28</v>
      </c>
      <c r="S356" s="202">
        <v>1</v>
      </c>
    </row>
    <row r="357" spans="1:19" x14ac:dyDescent="0.35">
      <c r="A357" s="202">
        <v>28</v>
      </c>
      <c r="B357" s="202">
        <v>59</v>
      </c>
      <c r="C357" s="202">
        <v>4</v>
      </c>
      <c r="D357" s="202">
        <v>10</v>
      </c>
      <c r="E357" s="202">
        <v>25</v>
      </c>
      <c r="F357" s="202">
        <v>5</v>
      </c>
      <c r="G357" s="202">
        <v>2</v>
      </c>
      <c r="H357" s="202">
        <v>38</v>
      </c>
      <c r="I357" s="202">
        <v>2</v>
      </c>
      <c r="K357" s="202">
        <v>19</v>
      </c>
      <c r="L357" s="202">
        <v>25</v>
      </c>
      <c r="M357" s="202">
        <v>4</v>
      </c>
      <c r="N357" s="202">
        <v>15</v>
      </c>
      <c r="O357" s="202">
        <v>50</v>
      </c>
      <c r="P357" s="202">
        <v>3</v>
      </c>
      <c r="Q357" s="202">
        <v>11</v>
      </c>
      <c r="R357" s="202">
        <v>4</v>
      </c>
      <c r="S357" s="202">
        <v>1</v>
      </c>
    </row>
    <row r="358" spans="1:19" x14ac:dyDescent="0.35">
      <c r="A358" s="202">
        <v>28</v>
      </c>
      <c r="B358" s="202">
        <v>11</v>
      </c>
      <c r="C358" s="202">
        <v>4</v>
      </c>
      <c r="D358" s="202">
        <v>10</v>
      </c>
      <c r="E358" s="202">
        <v>25</v>
      </c>
      <c r="F358" s="202">
        <v>1</v>
      </c>
      <c r="G358" s="202">
        <v>2</v>
      </c>
      <c r="H358" s="202">
        <v>31</v>
      </c>
      <c r="I358" s="202">
        <v>2</v>
      </c>
      <c r="K358" s="202">
        <v>40</v>
      </c>
      <c r="L358" s="202">
        <v>17</v>
      </c>
      <c r="M358" s="202">
        <v>2</v>
      </c>
      <c r="N358" s="202">
        <v>10</v>
      </c>
      <c r="O358" s="202">
        <v>28</v>
      </c>
      <c r="P358" s="202">
        <v>2</v>
      </c>
      <c r="Q358" s="202">
        <v>10</v>
      </c>
      <c r="R358" s="202">
        <v>27</v>
      </c>
      <c r="S358" s="202">
        <v>1</v>
      </c>
    </row>
    <row r="359" spans="1:19" x14ac:dyDescent="0.35">
      <c r="A359" s="202">
        <v>28</v>
      </c>
      <c r="B359" s="202">
        <v>11</v>
      </c>
      <c r="C359" s="202">
        <v>4</v>
      </c>
      <c r="D359" s="202">
        <v>10</v>
      </c>
      <c r="E359" s="202">
        <v>25</v>
      </c>
      <c r="F359" s="202">
        <v>2</v>
      </c>
      <c r="G359" s="202">
        <v>2</v>
      </c>
      <c r="H359" s="202">
        <v>38</v>
      </c>
      <c r="I359" s="202">
        <v>2</v>
      </c>
      <c r="K359" s="202">
        <v>2</v>
      </c>
      <c r="L359" s="202">
        <v>74</v>
      </c>
      <c r="M359" s="202">
        <v>4</v>
      </c>
      <c r="N359" s="202">
        <v>18</v>
      </c>
      <c r="O359" s="202">
        <v>29</v>
      </c>
      <c r="P359" s="202">
        <v>3</v>
      </c>
      <c r="Q359" s="202">
        <v>10</v>
      </c>
      <c r="R359" s="202">
        <v>17</v>
      </c>
      <c r="S359" s="202">
        <v>2</v>
      </c>
    </row>
    <row r="360" spans="1:19" x14ac:dyDescent="0.35">
      <c r="A360" s="202">
        <v>28</v>
      </c>
      <c r="B360" s="202">
        <v>11</v>
      </c>
      <c r="C360" s="202">
        <v>4</v>
      </c>
      <c r="D360" s="202">
        <v>10</v>
      </c>
      <c r="E360" s="202">
        <v>50</v>
      </c>
      <c r="F360" s="202">
        <v>1</v>
      </c>
      <c r="G360" s="202">
        <v>11</v>
      </c>
      <c r="H360" s="202">
        <v>8</v>
      </c>
      <c r="I360" s="202">
        <v>1</v>
      </c>
      <c r="K360" s="202">
        <v>49</v>
      </c>
      <c r="L360" s="202">
        <v>24</v>
      </c>
      <c r="M360" s="202">
        <v>4</v>
      </c>
      <c r="N360" s="202">
        <v>8</v>
      </c>
      <c r="O360" s="202">
        <v>48</v>
      </c>
      <c r="P360" s="202">
        <v>5</v>
      </c>
      <c r="Q360" s="202">
        <v>20</v>
      </c>
      <c r="R360" s="202">
        <v>19</v>
      </c>
      <c r="S360" s="202">
        <v>1</v>
      </c>
    </row>
    <row r="361" spans="1:19" x14ac:dyDescent="0.35">
      <c r="A361" s="202">
        <v>28</v>
      </c>
      <c r="B361" s="202">
        <v>11</v>
      </c>
      <c r="C361" s="202">
        <v>4</v>
      </c>
      <c r="D361" s="202">
        <v>10</v>
      </c>
      <c r="E361" s="202">
        <v>50</v>
      </c>
      <c r="F361" s="202">
        <v>5</v>
      </c>
      <c r="G361" s="202">
        <v>8</v>
      </c>
      <c r="H361" s="202">
        <v>22</v>
      </c>
      <c r="I361" s="202">
        <v>1</v>
      </c>
      <c r="K361" s="202">
        <v>36</v>
      </c>
      <c r="L361" s="202">
        <v>53</v>
      </c>
      <c r="M361" s="202">
        <v>4</v>
      </c>
      <c r="N361" s="202">
        <v>4</v>
      </c>
      <c r="O361" s="202">
        <v>43</v>
      </c>
      <c r="P361" s="202">
        <v>2</v>
      </c>
      <c r="Q361" s="202">
        <v>20</v>
      </c>
      <c r="R361" s="202">
        <v>21</v>
      </c>
      <c r="S361" s="202">
        <v>2</v>
      </c>
    </row>
    <row r="362" spans="1:19" x14ac:dyDescent="0.35">
      <c r="A362" s="202">
        <v>29</v>
      </c>
      <c r="B362" s="202">
        <v>63</v>
      </c>
      <c r="C362" s="202">
        <v>4</v>
      </c>
      <c r="D362" s="202">
        <v>15</v>
      </c>
      <c r="E362" s="202">
        <v>45</v>
      </c>
      <c r="F362" s="202">
        <v>1</v>
      </c>
      <c r="G362" s="202">
        <v>20</v>
      </c>
      <c r="H362" s="202">
        <v>36</v>
      </c>
      <c r="I362" s="202">
        <v>2</v>
      </c>
      <c r="K362" s="202">
        <v>49</v>
      </c>
      <c r="L362" s="202">
        <v>33</v>
      </c>
      <c r="M362" s="202">
        <v>1</v>
      </c>
      <c r="N362" s="202">
        <v>15</v>
      </c>
      <c r="O362" s="202">
        <v>48</v>
      </c>
      <c r="P362" s="202">
        <v>5</v>
      </c>
      <c r="Q362" s="202">
        <v>2</v>
      </c>
      <c r="R362" s="202">
        <v>7</v>
      </c>
      <c r="S362" s="202">
        <v>2</v>
      </c>
    </row>
    <row r="363" spans="1:19" x14ac:dyDescent="0.35">
      <c r="A363" s="202">
        <v>29</v>
      </c>
      <c r="B363" s="202">
        <v>63</v>
      </c>
      <c r="C363" s="202">
        <v>4</v>
      </c>
      <c r="D363" s="202">
        <v>15</v>
      </c>
      <c r="E363" s="202">
        <v>45</v>
      </c>
      <c r="F363" s="202">
        <v>5</v>
      </c>
      <c r="G363" s="202">
        <v>20</v>
      </c>
      <c r="H363" s="202">
        <v>30</v>
      </c>
      <c r="I363" s="202">
        <v>2</v>
      </c>
      <c r="K363" s="202">
        <v>46</v>
      </c>
      <c r="L363" s="202">
        <v>33</v>
      </c>
      <c r="M363" s="202">
        <v>1</v>
      </c>
      <c r="N363" s="202">
        <v>10</v>
      </c>
      <c r="O363" s="202">
        <v>42</v>
      </c>
      <c r="P363" s="202">
        <v>4</v>
      </c>
      <c r="Q363" s="202">
        <v>25</v>
      </c>
      <c r="R363" s="202">
        <v>36</v>
      </c>
      <c r="S363" s="202">
        <v>2</v>
      </c>
    </row>
    <row r="364" spans="1:19" x14ac:dyDescent="0.35">
      <c r="A364" s="202">
        <v>29</v>
      </c>
      <c r="B364" s="202">
        <v>15</v>
      </c>
      <c r="C364" s="202">
        <v>3</v>
      </c>
      <c r="D364" s="202">
        <v>15</v>
      </c>
      <c r="E364" s="202">
        <v>29</v>
      </c>
      <c r="F364" s="202">
        <v>1</v>
      </c>
      <c r="G364" s="202">
        <v>1</v>
      </c>
      <c r="H364" s="202">
        <v>11</v>
      </c>
      <c r="I364" s="202">
        <v>1</v>
      </c>
      <c r="K364" s="202">
        <v>6</v>
      </c>
      <c r="L364" s="202">
        <v>89</v>
      </c>
      <c r="M364" s="202">
        <v>2</v>
      </c>
      <c r="N364" s="202">
        <v>10</v>
      </c>
      <c r="O364" s="202">
        <v>49</v>
      </c>
      <c r="P364" s="202">
        <v>4</v>
      </c>
      <c r="Q364" s="202">
        <v>20</v>
      </c>
      <c r="R364" s="202">
        <v>24</v>
      </c>
      <c r="S364" s="202">
        <v>2</v>
      </c>
    </row>
    <row r="365" spans="1:19" x14ac:dyDescent="0.35">
      <c r="A365" s="202">
        <v>29</v>
      </c>
      <c r="B365" s="202">
        <v>15</v>
      </c>
      <c r="C365" s="202">
        <v>3</v>
      </c>
      <c r="D365" s="202">
        <v>15</v>
      </c>
      <c r="E365" s="202">
        <v>29</v>
      </c>
      <c r="F365" s="202">
        <v>4</v>
      </c>
      <c r="G365" s="202">
        <v>10</v>
      </c>
      <c r="H365" s="202">
        <v>33</v>
      </c>
      <c r="I365" s="202">
        <v>1</v>
      </c>
      <c r="K365" s="202">
        <v>83</v>
      </c>
      <c r="L365" s="202">
        <v>24</v>
      </c>
      <c r="M365" s="202">
        <v>4</v>
      </c>
      <c r="N365" s="202">
        <v>16</v>
      </c>
      <c r="O365" s="202">
        <v>42</v>
      </c>
      <c r="P365" s="202">
        <v>2</v>
      </c>
      <c r="Q365" s="202">
        <v>10</v>
      </c>
      <c r="R365" s="202">
        <v>29</v>
      </c>
      <c r="S365" s="202">
        <v>2</v>
      </c>
    </row>
    <row r="366" spans="1:19" x14ac:dyDescent="0.35">
      <c r="A366" s="202">
        <v>29</v>
      </c>
      <c r="B366" s="202">
        <v>69</v>
      </c>
      <c r="C366" s="202">
        <v>3</v>
      </c>
      <c r="D366" s="202">
        <v>15</v>
      </c>
      <c r="E366" s="202">
        <v>28</v>
      </c>
      <c r="F366" s="202">
        <v>2</v>
      </c>
      <c r="G366" s="202">
        <v>4</v>
      </c>
      <c r="H366" s="202">
        <v>36</v>
      </c>
      <c r="I366" s="202">
        <v>1</v>
      </c>
      <c r="K366" s="202">
        <v>20</v>
      </c>
      <c r="L366" s="202">
        <v>103</v>
      </c>
      <c r="M366" s="202">
        <v>1</v>
      </c>
      <c r="N366" s="202">
        <v>8</v>
      </c>
      <c r="O366" s="202">
        <v>43</v>
      </c>
      <c r="P366" s="202">
        <v>1</v>
      </c>
      <c r="Q366" s="202">
        <v>24</v>
      </c>
      <c r="R366" s="202">
        <v>19</v>
      </c>
      <c r="S366" s="202">
        <v>2</v>
      </c>
    </row>
    <row r="367" spans="1:19" x14ac:dyDescent="0.35">
      <c r="A367" s="202">
        <v>29</v>
      </c>
      <c r="B367" s="202">
        <v>69</v>
      </c>
      <c r="C367" s="202">
        <v>3</v>
      </c>
      <c r="D367" s="202">
        <v>15</v>
      </c>
      <c r="E367" s="202">
        <v>28</v>
      </c>
      <c r="F367" s="202">
        <v>5</v>
      </c>
      <c r="G367" s="202">
        <v>1</v>
      </c>
      <c r="H367" s="202">
        <v>30</v>
      </c>
      <c r="I367" s="202">
        <v>1</v>
      </c>
      <c r="K367" s="202">
        <v>27</v>
      </c>
      <c r="L367" s="202">
        <v>101</v>
      </c>
      <c r="M367" s="202">
        <v>4</v>
      </c>
      <c r="N367" s="202">
        <v>8</v>
      </c>
      <c r="O367" s="202">
        <v>43</v>
      </c>
      <c r="P367" s="202">
        <v>3</v>
      </c>
      <c r="Q367" s="202">
        <v>2</v>
      </c>
      <c r="R367" s="202">
        <v>52</v>
      </c>
      <c r="S367" s="202">
        <v>2</v>
      </c>
    </row>
    <row r="368" spans="1:19" x14ac:dyDescent="0.35">
      <c r="A368" s="202">
        <v>29</v>
      </c>
      <c r="B368" s="202">
        <v>25</v>
      </c>
      <c r="C368" s="202">
        <v>2</v>
      </c>
      <c r="D368" s="202">
        <v>13</v>
      </c>
      <c r="E368" s="202">
        <v>52</v>
      </c>
      <c r="F368" s="202">
        <v>1</v>
      </c>
      <c r="G368" s="202">
        <v>1</v>
      </c>
      <c r="H368" s="202">
        <v>85</v>
      </c>
      <c r="I368" s="202">
        <v>1</v>
      </c>
      <c r="K368" s="202">
        <v>38</v>
      </c>
      <c r="L368" s="202">
        <v>24</v>
      </c>
      <c r="M368" s="202">
        <v>4</v>
      </c>
      <c r="N368" s="202">
        <v>17</v>
      </c>
      <c r="O368" s="202">
        <v>49</v>
      </c>
      <c r="P368" s="202">
        <v>3</v>
      </c>
      <c r="Q368" s="202">
        <v>10</v>
      </c>
      <c r="R368" s="202">
        <v>30</v>
      </c>
      <c r="S368" s="202">
        <v>2</v>
      </c>
    </row>
    <row r="369" spans="1:19" x14ac:dyDescent="0.35">
      <c r="A369" s="202">
        <v>29</v>
      </c>
      <c r="B369" s="202">
        <v>25</v>
      </c>
      <c r="C369" s="202">
        <v>2</v>
      </c>
      <c r="D369" s="202">
        <v>13</v>
      </c>
      <c r="E369" s="202">
        <v>52</v>
      </c>
      <c r="F369" s="202">
        <v>3</v>
      </c>
      <c r="G369" s="202">
        <v>1</v>
      </c>
      <c r="H369" s="202">
        <v>86</v>
      </c>
      <c r="I369" s="202">
        <v>1</v>
      </c>
      <c r="K369" s="202">
        <v>31</v>
      </c>
      <c r="L369" s="202">
        <v>71</v>
      </c>
      <c r="M369" s="202">
        <v>4</v>
      </c>
      <c r="N369" s="202">
        <v>18</v>
      </c>
      <c r="O369" s="202">
        <v>48</v>
      </c>
      <c r="P369" s="202">
        <v>2</v>
      </c>
      <c r="Q369" s="202">
        <v>15</v>
      </c>
      <c r="R369" s="202">
        <v>41</v>
      </c>
      <c r="S369" s="202">
        <v>1</v>
      </c>
    </row>
    <row r="370" spans="1:19" x14ac:dyDescent="0.35">
      <c r="A370" s="202">
        <v>29</v>
      </c>
      <c r="B370" s="202">
        <v>24</v>
      </c>
      <c r="C370" s="202">
        <v>2</v>
      </c>
      <c r="D370" s="202">
        <v>9</v>
      </c>
      <c r="E370" s="202">
        <v>50</v>
      </c>
      <c r="F370" s="202">
        <v>2</v>
      </c>
      <c r="G370" s="202">
        <v>23</v>
      </c>
      <c r="H370" s="202">
        <v>89</v>
      </c>
      <c r="I370" s="202">
        <v>1</v>
      </c>
      <c r="K370" s="202">
        <v>71</v>
      </c>
      <c r="L370" s="202">
        <v>69</v>
      </c>
      <c r="M370" s="202">
        <v>2</v>
      </c>
      <c r="N370" s="202">
        <v>16</v>
      </c>
      <c r="O370" s="202">
        <v>25</v>
      </c>
      <c r="P370" s="202">
        <v>2</v>
      </c>
      <c r="Q370" s="202">
        <v>7</v>
      </c>
      <c r="R370" s="202">
        <v>35</v>
      </c>
      <c r="S370" s="202">
        <v>1</v>
      </c>
    </row>
    <row r="371" spans="1:19" x14ac:dyDescent="0.35">
      <c r="A371" s="202">
        <v>29</v>
      </c>
      <c r="B371" s="202">
        <v>24</v>
      </c>
      <c r="C371" s="202">
        <v>2</v>
      </c>
      <c r="D371" s="202">
        <v>9</v>
      </c>
      <c r="E371" s="202">
        <v>50</v>
      </c>
      <c r="F371" s="202">
        <v>4</v>
      </c>
      <c r="G371" s="202">
        <v>1</v>
      </c>
      <c r="H371" s="202">
        <v>89</v>
      </c>
      <c r="I371" s="202">
        <v>1</v>
      </c>
      <c r="K371" s="202">
        <v>60</v>
      </c>
      <c r="L371" s="202">
        <v>48</v>
      </c>
      <c r="M371" s="202">
        <v>4</v>
      </c>
      <c r="N371" s="202">
        <v>8</v>
      </c>
      <c r="O371" s="202">
        <v>27</v>
      </c>
      <c r="P371" s="202">
        <v>1</v>
      </c>
      <c r="Q371" s="202">
        <v>4</v>
      </c>
      <c r="R371" s="202">
        <v>35</v>
      </c>
      <c r="S371" s="202">
        <v>1</v>
      </c>
    </row>
    <row r="372" spans="1:19" x14ac:dyDescent="0.35">
      <c r="A372" s="202">
        <v>29</v>
      </c>
      <c r="B372" s="202">
        <v>25</v>
      </c>
      <c r="C372" s="202">
        <v>2</v>
      </c>
      <c r="D372" s="202">
        <v>12</v>
      </c>
      <c r="E372" s="202">
        <v>48</v>
      </c>
      <c r="F372" s="202">
        <v>3</v>
      </c>
      <c r="G372" s="202">
        <v>20</v>
      </c>
      <c r="H372" s="202">
        <v>71</v>
      </c>
      <c r="I372" s="202">
        <v>1</v>
      </c>
      <c r="K372" s="202">
        <v>5</v>
      </c>
      <c r="L372" s="202">
        <v>71</v>
      </c>
      <c r="M372" s="202">
        <v>3</v>
      </c>
      <c r="N372" s="202">
        <v>18</v>
      </c>
      <c r="O372" s="202">
        <v>48</v>
      </c>
      <c r="P372" s="202">
        <v>5</v>
      </c>
      <c r="Q372" s="202">
        <v>17</v>
      </c>
      <c r="R372" s="202">
        <v>12</v>
      </c>
      <c r="S372" s="202">
        <v>1</v>
      </c>
    </row>
    <row r="373" spans="1:19" x14ac:dyDescent="0.35">
      <c r="A373" s="202">
        <v>29</v>
      </c>
      <c r="B373" s="202">
        <v>25</v>
      </c>
      <c r="C373" s="202">
        <v>2</v>
      </c>
      <c r="D373" s="202">
        <v>12</v>
      </c>
      <c r="E373" s="202">
        <v>48</v>
      </c>
      <c r="F373" s="202">
        <v>5</v>
      </c>
      <c r="G373" s="202">
        <v>2</v>
      </c>
      <c r="H373" s="202">
        <v>69</v>
      </c>
      <c r="I373" s="202">
        <v>1</v>
      </c>
      <c r="K373" s="202">
        <v>54</v>
      </c>
      <c r="L373" s="202">
        <v>74</v>
      </c>
      <c r="M373" s="202">
        <v>4</v>
      </c>
      <c r="N373" s="202">
        <v>10</v>
      </c>
      <c r="O373" s="202">
        <v>20</v>
      </c>
      <c r="P373" s="202">
        <v>1</v>
      </c>
      <c r="Q373" s="202">
        <v>19</v>
      </c>
      <c r="R373" s="202">
        <v>5</v>
      </c>
      <c r="S373" s="202">
        <v>2</v>
      </c>
    </row>
    <row r="374" spans="1:19" x14ac:dyDescent="0.35">
      <c r="A374" s="202">
        <v>29</v>
      </c>
      <c r="B374" s="202">
        <v>24</v>
      </c>
      <c r="C374" s="202">
        <v>2</v>
      </c>
      <c r="D374" s="202">
        <v>12</v>
      </c>
      <c r="E374" s="202">
        <v>51</v>
      </c>
      <c r="F374" s="202">
        <v>4</v>
      </c>
      <c r="G374" s="202">
        <v>23</v>
      </c>
      <c r="H374" s="202">
        <v>7</v>
      </c>
      <c r="I374" s="202">
        <v>1</v>
      </c>
      <c r="K374" s="202">
        <v>53</v>
      </c>
      <c r="L374" s="202">
        <v>44</v>
      </c>
      <c r="M374" s="202">
        <v>4</v>
      </c>
      <c r="N374" s="202">
        <v>8</v>
      </c>
      <c r="O374" s="202">
        <v>26</v>
      </c>
      <c r="P374" s="202">
        <v>1</v>
      </c>
      <c r="Q374" s="202">
        <v>8</v>
      </c>
      <c r="R374" s="202">
        <v>51</v>
      </c>
      <c r="S374" s="202">
        <v>2</v>
      </c>
    </row>
    <row r="375" spans="1:19" x14ac:dyDescent="0.35">
      <c r="A375" s="202">
        <v>29</v>
      </c>
      <c r="B375" s="202">
        <v>24</v>
      </c>
      <c r="C375" s="202">
        <v>2</v>
      </c>
      <c r="D375" s="202">
        <v>12</v>
      </c>
      <c r="E375" s="202">
        <v>51</v>
      </c>
      <c r="F375" s="202">
        <v>5</v>
      </c>
      <c r="G375" s="202">
        <v>23</v>
      </c>
      <c r="H375" s="202">
        <v>7</v>
      </c>
      <c r="I375" s="202">
        <v>1</v>
      </c>
      <c r="K375" s="202">
        <v>73</v>
      </c>
      <c r="L375" s="202">
        <v>25</v>
      </c>
      <c r="M375" s="202">
        <v>3</v>
      </c>
      <c r="N375" s="202">
        <v>11</v>
      </c>
      <c r="O375" s="202">
        <v>45</v>
      </c>
      <c r="P375" s="202">
        <v>5</v>
      </c>
      <c r="Q375" s="202">
        <v>24</v>
      </c>
      <c r="R375" s="202">
        <v>30</v>
      </c>
      <c r="S375" s="202">
        <v>2</v>
      </c>
    </row>
    <row r="376" spans="1:19" x14ac:dyDescent="0.35">
      <c r="A376" s="202">
        <v>29</v>
      </c>
      <c r="B376" s="202">
        <v>46</v>
      </c>
      <c r="C376" s="202">
        <v>4</v>
      </c>
      <c r="D376" s="202">
        <v>15</v>
      </c>
      <c r="E376" s="202">
        <v>13</v>
      </c>
      <c r="F376" s="202">
        <v>5</v>
      </c>
      <c r="G376" s="202">
        <v>25</v>
      </c>
      <c r="H376" s="202">
        <v>52</v>
      </c>
      <c r="I376" s="202">
        <v>3</v>
      </c>
      <c r="K376" s="202">
        <v>38</v>
      </c>
      <c r="L376" s="202">
        <v>53</v>
      </c>
      <c r="M376" s="202">
        <v>4</v>
      </c>
      <c r="N376" s="202">
        <v>8</v>
      </c>
      <c r="O376" s="202">
        <v>45</v>
      </c>
      <c r="P376" s="202">
        <v>1</v>
      </c>
      <c r="Q376" s="202">
        <v>20</v>
      </c>
      <c r="R376" s="202">
        <v>19</v>
      </c>
      <c r="S376" s="202">
        <v>1</v>
      </c>
    </row>
    <row r="377" spans="1:19" x14ac:dyDescent="0.35">
      <c r="A377" s="202">
        <v>30</v>
      </c>
      <c r="B377" s="202">
        <v>78</v>
      </c>
      <c r="C377" s="202">
        <v>3</v>
      </c>
      <c r="D377" s="202">
        <v>4</v>
      </c>
      <c r="E377" s="202">
        <v>48</v>
      </c>
      <c r="F377" s="202">
        <v>1</v>
      </c>
      <c r="G377" s="202">
        <v>19</v>
      </c>
      <c r="H377" s="202">
        <v>52</v>
      </c>
      <c r="I377" s="202">
        <v>2</v>
      </c>
      <c r="K377" s="202">
        <v>14</v>
      </c>
      <c r="L377" s="202">
        <v>17</v>
      </c>
      <c r="M377" s="202">
        <v>3</v>
      </c>
      <c r="N377" s="202">
        <v>16</v>
      </c>
      <c r="O377" s="202">
        <v>27</v>
      </c>
      <c r="P377" s="202">
        <v>5</v>
      </c>
      <c r="Q377" s="202">
        <v>11</v>
      </c>
      <c r="R377" s="202">
        <v>10</v>
      </c>
      <c r="S377" s="202">
        <v>1</v>
      </c>
    </row>
    <row r="378" spans="1:19" x14ac:dyDescent="0.35">
      <c r="A378" s="202">
        <v>30</v>
      </c>
      <c r="B378" s="202">
        <v>78</v>
      </c>
      <c r="C378" s="202">
        <v>3</v>
      </c>
      <c r="D378" s="202">
        <v>4</v>
      </c>
      <c r="E378" s="202">
        <v>48</v>
      </c>
      <c r="F378" s="202">
        <v>4</v>
      </c>
      <c r="G378" s="202">
        <v>1</v>
      </c>
      <c r="H378" s="202">
        <v>51</v>
      </c>
      <c r="I378" s="202">
        <v>2</v>
      </c>
      <c r="K378" s="202">
        <v>68</v>
      </c>
      <c r="L378" s="202">
        <v>74</v>
      </c>
      <c r="M378" s="202">
        <v>4</v>
      </c>
      <c r="N378" s="202">
        <v>15</v>
      </c>
      <c r="O378" s="202">
        <v>26</v>
      </c>
      <c r="P378" s="202">
        <v>2</v>
      </c>
      <c r="Q378" s="202">
        <v>1</v>
      </c>
      <c r="R378" s="202">
        <v>99</v>
      </c>
      <c r="S378" s="202">
        <v>2</v>
      </c>
    </row>
    <row r="379" spans="1:19" x14ac:dyDescent="0.35">
      <c r="A379" s="202">
        <v>30</v>
      </c>
      <c r="B379" s="202">
        <v>78</v>
      </c>
      <c r="C379" s="202">
        <v>3</v>
      </c>
      <c r="D379" s="202">
        <v>15</v>
      </c>
      <c r="E379" s="202">
        <v>48</v>
      </c>
      <c r="F379" s="202">
        <v>1</v>
      </c>
      <c r="G379" s="202">
        <v>7</v>
      </c>
      <c r="H379" s="202">
        <v>51</v>
      </c>
      <c r="I379" s="202">
        <v>2</v>
      </c>
      <c r="K379" s="202">
        <v>39</v>
      </c>
      <c r="L379" s="202">
        <v>50</v>
      </c>
      <c r="M379" s="202">
        <v>4</v>
      </c>
      <c r="N379" s="202">
        <v>8</v>
      </c>
      <c r="O379" s="202">
        <v>49</v>
      </c>
      <c r="P379" s="202">
        <v>2</v>
      </c>
      <c r="Q379" s="202">
        <v>20</v>
      </c>
      <c r="R379" s="202">
        <v>27</v>
      </c>
      <c r="S379" s="202">
        <v>1</v>
      </c>
    </row>
    <row r="380" spans="1:19" x14ac:dyDescent="0.35">
      <c r="A380" s="202">
        <v>30</v>
      </c>
      <c r="B380" s="202">
        <v>78</v>
      </c>
      <c r="C380" s="202">
        <v>3</v>
      </c>
      <c r="D380" s="202">
        <v>15</v>
      </c>
      <c r="E380" s="202">
        <v>48</v>
      </c>
      <c r="F380" s="202">
        <v>4</v>
      </c>
      <c r="G380" s="202">
        <v>19</v>
      </c>
      <c r="H380" s="202">
        <v>51</v>
      </c>
      <c r="I380" s="202">
        <v>2</v>
      </c>
      <c r="K380" s="202">
        <v>22</v>
      </c>
      <c r="L380" s="202">
        <v>26</v>
      </c>
      <c r="M380" s="202">
        <v>1</v>
      </c>
      <c r="N380" s="202">
        <v>18</v>
      </c>
      <c r="O380" s="202">
        <v>53</v>
      </c>
      <c r="P380" s="202">
        <v>2</v>
      </c>
      <c r="Q380" s="202">
        <v>20</v>
      </c>
      <c r="R380" s="202">
        <v>14</v>
      </c>
      <c r="S380" s="202">
        <v>1</v>
      </c>
    </row>
    <row r="381" spans="1:19" x14ac:dyDescent="0.35">
      <c r="A381" s="202">
        <v>30</v>
      </c>
      <c r="B381" s="202">
        <v>78</v>
      </c>
      <c r="C381" s="202">
        <v>3</v>
      </c>
      <c r="D381" s="202">
        <v>15</v>
      </c>
      <c r="E381" s="202">
        <v>49</v>
      </c>
      <c r="F381" s="202">
        <v>1</v>
      </c>
      <c r="G381" s="202">
        <v>1</v>
      </c>
      <c r="H381" s="202">
        <v>35</v>
      </c>
      <c r="I381" s="202">
        <v>2</v>
      </c>
      <c r="K381" s="202">
        <v>80</v>
      </c>
      <c r="L381" s="202">
        <v>80</v>
      </c>
      <c r="M381" s="202">
        <v>4</v>
      </c>
      <c r="N381" s="202">
        <v>17</v>
      </c>
      <c r="O381" s="202">
        <v>48</v>
      </c>
      <c r="P381" s="202">
        <v>4</v>
      </c>
      <c r="Q381" s="202">
        <v>2</v>
      </c>
      <c r="R381" s="202">
        <v>31</v>
      </c>
      <c r="S381" s="202">
        <v>1</v>
      </c>
    </row>
    <row r="382" spans="1:19" x14ac:dyDescent="0.35">
      <c r="A382" s="202">
        <v>30</v>
      </c>
      <c r="B382" s="202">
        <v>78</v>
      </c>
      <c r="C382" s="202">
        <v>3</v>
      </c>
      <c r="D382" s="202">
        <v>15</v>
      </c>
      <c r="E382" s="202">
        <v>49</v>
      </c>
      <c r="F382" s="202">
        <v>4</v>
      </c>
      <c r="G382" s="202">
        <v>23</v>
      </c>
      <c r="H382" s="202">
        <v>48</v>
      </c>
      <c r="I382" s="202">
        <v>2</v>
      </c>
      <c r="K382" s="202">
        <v>54</v>
      </c>
      <c r="L382" s="202">
        <v>25</v>
      </c>
      <c r="M382" s="202">
        <v>2</v>
      </c>
      <c r="N382" s="202">
        <v>15</v>
      </c>
      <c r="O382" s="202">
        <v>54</v>
      </c>
      <c r="P382" s="202">
        <v>2</v>
      </c>
      <c r="Q382" s="202">
        <v>10</v>
      </c>
      <c r="R382" s="202">
        <v>93</v>
      </c>
      <c r="S382" s="202">
        <v>2</v>
      </c>
    </row>
    <row r="383" spans="1:19" x14ac:dyDescent="0.35">
      <c r="A383" s="202">
        <v>30</v>
      </c>
      <c r="B383" s="202">
        <v>24</v>
      </c>
      <c r="C383" s="202">
        <v>2</v>
      </c>
      <c r="D383" s="202">
        <v>9</v>
      </c>
      <c r="E383" s="202">
        <v>48</v>
      </c>
      <c r="F383" s="202">
        <v>2</v>
      </c>
      <c r="G383" s="202">
        <v>23</v>
      </c>
      <c r="H383" s="202">
        <v>88</v>
      </c>
      <c r="I383" s="202">
        <v>1</v>
      </c>
      <c r="K383" s="202">
        <v>79</v>
      </c>
      <c r="L383" s="202">
        <v>26</v>
      </c>
      <c r="M383" s="202">
        <v>2</v>
      </c>
      <c r="N383" s="202">
        <v>15</v>
      </c>
      <c r="O383" s="202">
        <v>44</v>
      </c>
      <c r="P383" s="202">
        <v>2</v>
      </c>
      <c r="Q383" s="202">
        <v>2</v>
      </c>
      <c r="R383" s="202">
        <v>1</v>
      </c>
      <c r="S383" s="202">
        <v>1</v>
      </c>
    </row>
    <row r="384" spans="1:19" x14ac:dyDescent="0.35">
      <c r="A384" s="202">
        <v>30</v>
      </c>
      <c r="B384" s="202">
        <v>24</v>
      </c>
      <c r="C384" s="202">
        <v>2</v>
      </c>
      <c r="D384" s="202">
        <v>9</v>
      </c>
      <c r="E384" s="202">
        <v>48</v>
      </c>
      <c r="F384" s="202">
        <v>4</v>
      </c>
      <c r="G384" s="202">
        <v>1</v>
      </c>
      <c r="H384" s="202">
        <v>88</v>
      </c>
      <c r="I384" s="202">
        <v>1</v>
      </c>
      <c r="K384" s="202">
        <v>38</v>
      </c>
      <c r="L384" s="202">
        <v>25</v>
      </c>
      <c r="M384" s="202">
        <v>2</v>
      </c>
      <c r="N384" s="202">
        <v>15</v>
      </c>
      <c r="O384" s="202">
        <v>1</v>
      </c>
      <c r="P384" s="202">
        <v>5</v>
      </c>
      <c r="Q384" s="202">
        <v>10</v>
      </c>
      <c r="R384" s="202">
        <v>37</v>
      </c>
      <c r="S384" s="202">
        <v>2</v>
      </c>
    </row>
    <row r="385" spans="1:19" x14ac:dyDescent="0.35">
      <c r="A385" s="202">
        <v>30</v>
      </c>
      <c r="B385" s="202">
        <v>25</v>
      </c>
      <c r="C385" s="202">
        <v>2</v>
      </c>
      <c r="D385" s="202">
        <v>9</v>
      </c>
      <c r="E385" s="202">
        <v>49</v>
      </c>
      <c r="F385" s="202">
        <v>2</v>
      </c>
      <c r="G385" s="202">
        <v>19</v>
      </c>
      <c r="H385" s="202">
        <v>90</v>
      </c>
      <c r="I385" s="202">
        <v>1</v>
      </c>
      <c r="K385" s="202">
        <v>17</v>
      </c>
      <c r="L385" s="202">
        <v>70</v>
      </c>
      <c r="M385" s="202">
        <v>2</v>
      </c>
      <c r="N385" s="202">
        <v>18</v>
      </c>
      <c r="O385" s="202">
        <v>43</v>
      </c>
      <c r="P385" s="202">
        <v>2</v>
      </c>
      <c r="Q385" s="202">
        <v>8</v>
      </c>
      <c r="R385" s="202">
        <v>19</v>
      </c>
      <c r="S385" s="202">
        <v>3</v>
      </c>
    </row>
    <row r="386" spans="1:19" x14ac:dyDescent="0.35">
      <c r="A386" s="202">
        <v>30</v>
      </c>
      <c r="B386" s="202">
        <v>25</v>
      </c>
      <c r="C386" s="202">
        <v>2</v>
      </c>
      <c r="D386" s="202">
        <v>9</v>
      </c>
      <c r="E386" s="202">
        <v>49</v>
      </c>
      <c r="F386" s="202">
        <v>4</v>
      </c>
      <c r="G386" s="202">
        <v>14</v>
      </c>
      <c r="H386" s="202">
        <v>90</v>
      </c>
      <c r="I386" s="202">
        <v>1</v>
      </c>
      <c r="K386" s="202">
        <v>35</v>
      </c>
      <c r="L386" s="202">
        <v>66</v>
      </c>
      <c r="M386" s="202">
        <v>3</v>
      </c>
      <c r="N386" s="202">
        <v>16</v>
      </c>
      <c r="O386" s="202">
        <v>50</v>
      </c>
      <c r="P386" s="202">
        <v>1</v>
      </c>
      <c r="Q386" s="202">
        <v>2</v>
      </c>
      <c r="R386" s="202">
        <v>35</v>
      </c>
      <c r="S386" s="202">
        <v>2</v>
      </c>
    </row>
    <row r="387" spans="1:19" x14ac:dyDescent="0.35">
      <c r="A387" s="202">
        <v>30</v>
      </c>
      <c r="B387" s="202">
        <v>25</v>
      </c>
      <c r="C387" s="202">
        <v>2</v>
      </c>
      <c r="D387" s="202">
        <v>3</v>
      </c>
      <c r="E387" s="202">
        <v>48</v>
      </c>
      <c r="F387" s="202">
        <v>1</v>
      </c>
      <c r="G387" s="202">
        <v>14</v>
      </c>
      <c r="H387" s="202">
        <v>90</v>
      </c>
      <c r="I387" s="202">
        <v>1</v>
      </c>
      <c r="K387" s="202">
        <v>35</v>
      </c>
      <c r="L387" s="202">
        <v>76</v>
      </c>
      <c r="M387" s="202">
        <v>4</v>
      </c>
      <c r="N387" s="202">
        <v>8</v>
      </c>
      <c r="O387" s="202">
        <v>48</v>
      </c>
      <c r="P387" s="202">
        <v>5</v>
      </c>
      <c r="Q387" s="202">
        <v>20</v>
      </c>
      <c r="R387" s="202">
        <v>7</v>
      </c>
      <c r="S387" s="202">
        <v>1</v>
      </c>
    </row>
    <row r="388" spans="1:19" x14ac:dyDescent="0.35">
      <c r="A388" s="202">
        <v>30</v>
      </c>
      <c r="B388" s="202">
        <v>25</v>
      </c>
      <c r="C388" s="202">
        <v>2</v>
      </c>
      <c r="D388" s="202">
        <v>3</v>
      </c>
      <c r="E388" s="202">
        <v>48</v>
      </c>
      <c r="F388" s="202">
        <v>3</v>
      </c>
      <c r="G388" s="202">
        <v>1</v>
      </c>
      <c r="H388" s="202">
        <v>90</v>
      </c>
      <c r="I388" s="202">
        <v>1</v>
      </c>
      <c r="K388" s="202">
        <v>65</v>
      </c>
      <c r="L388" s="202">
        <v>78</v>
      </c>
      <c r="M388" s="202">
        <v>3</v>
      </c>
      <c r="N388" s="202">
        <v>15</v>
      </c>
      <c r="O388" s="202">
        <v>27</v>
      </c>
      <c r="P388" s="202">
        <v>4</v>
      </c>
      <c r="Q388" s="202">
        <v>2</v>
      </c>
      <c r="R388" s="202">
        <v>27</v>
      </c>
      <c r="S388" s="202">
        <v>2</v>
      </c>
    </row>
    <row r="389" spans="1:19" x14ac:dyDescent="0.35">
      <c r="A389" s="202">
        <v>30</v>
      </c>
      <c r="B389" s="202">
        <v>33</v>
      </c>
      <c r="C389" s="202">
        <v>3</v>
      </c>
      <c r="D389" s="202">
        <v>15</v>
      </c>
      <c r="E389" s="202">
        <v>35</v>
      </c>
      <c r="F389" s="202">
        <v>1</v>
      </c>
      <c r="G389" s="202">
        <v>1</v>
      </c>
      <c r="H389" s="202">
        <v>40</v>
      </c>
      <c r="I389" s="202">
        <v>1</v>
      </c>
      <c r="K389" s="202">
        <v>5</v>
      </c>
      <c r="L389" s="202">
        <v>63</v>
      </c>
      <c r="M389" s="202">
        <v>1</v>
      </c>
      <c r="N389" s="202">
        <v>15</v>
      </c>
      <c r="O389" s="202">
        <v>27</v>
      </c>
      <c r="P389" s="202">
        <v>1</v>
      </c>
      <c r="Q389" s="202">
        <v>23</v>
      </c>
      <c r="R389" s="202">
        <v>51</v>
      </c>
      <c r="S389" s="202">
        <v>1</v>
      </c>
    </row>
    <row r="390" spans="1:19" x14ac:dyDescent="0.35">
      <c r="A390" s="202">
        <v>30</v>
      </c>
      <c r="B390" s="202">
        <v>33</v>
      </c>
      <c r="C390" s="202">
        <v>3</v>
      </c>
      <c r="D390" s="202">
        <v>15</v>
      </c>
      <c r="E390" s="202">
        <v>35</v>
      </c>
      <c r="F390" s="202">
        <v>4</v>
      </c>
      <c r="G390" s="202">
        <v>1</v>
      </c>
      <c r="H390" s="202">
        <v>40</v>
      </c>
      <c r="I390" s="202">
        <v>1</v>
      </c>
      <c r="K390" s="202">
        <v>30</v>
      </c>
      <c r="L390" s="202">
        <v>106</v>
      </c>
      <c r="M390" s="202">
        <v>4</v>
      </c>
      <c r="N390" s="202">
        <v>15</v>
      </c>
      <c r="O390" s="202">
        <v>49</v>
      </c>
      <c r="P390" s="202">
        <v>5</v>
      </c>
      <c r="Q390" s="202">
        <v>22</v>
      </c>
      <c r="R390" s="202">
        <v>8</v>
      </c>
      <c r="S390" s="202">
        <v>1</v>
      </c>
    </row>
    <row r="391" spans="1:19" x14ac:dyDescent="0.35">
      <c r="A391" s="202">
        <v>30</v>
      </c>
      <c r="B391" s="202">
        <v>46</v>
      </c>
      <c r="C391" s="202">
        <v>4</v>
      </c>
      <c r="D391" s="202">
        <v>15</v>
      </c>
      <c r="E391" s="202">
        <v>14</v>
      </c>
      <c r="F391" s="202">
        <v>5</v>
      </c>
      <c r="G391" s="202">
        <v>25</v>
      </c>
      <c r="H391" s="202">
        <v>8</v>
      </c>
      <c r="I391" s="202">
        <v>3</v>
      </c>
      <c r="K391" s="202">
        <v>83</v>
      </c>
      <c r="L391" s="202">
        <v>43</v>
      </c>
      <c r="M391" s="202">
        <v>3</v>
      </c>
      <c r="N391" s="202">
        <v>10</v>
      </c>
      <c r="O391" s="202">
        <v>49</v>
      </c>
      <c r="P391" s="202">
        <v>3</v>
      </c>
      <c r="Q391" s="202">
        <v>14</v>
      </c>
      <c r="R391" s="202">
        <v>87</v>
      </c>
      <c r="S391" s="202">
        <v>1</v>
      </c>
    </row>
    <row r="392" spans="1:19" x14ac:dyDescent="0.35">
      <c r="A392" s="202">
        <v>31</v>
      </c>
      <c r="B392" s="202">
        <v>20</v>
      </c>
      <c r="C392" s="202">
        <v>3</v>
      </c>
      <c r="D392" s="202">
        <v>10</v>
      </c>
      <c r="E392" s="202">
        <v>49</v>
      </c>
      <c r="F392" s="202">
        <v>2</v>
      </c>
      <c r="G392" s="202">
        <v>25</v>
      </c>
      <c r="H392" s="202">
        <v>38</v>
      </c>
      <c r="I392" s="202">
        <v>1</v>
      </c>
      <c r="K392" s="202">
        <v>53</v>
      </c>
      <c r="L392" s="202">
        <v>20</v>
      </c>
      <c r="M392" s="202">
        <v>4</v>
      </c>
      <c r="N392" s="202">
        <v>17</v>
      </c>
      <c r="O392" s="202">
        <v>42</v>
      </c>
      <c r="P392" s="202">
        <v>4</v>
      </c>
      <c r="Q392" s="202">
        <v>20</v>
      </c>
      <c r="R392" s="202">
        <v>7</v>
      </c>
      <c r="S392" s="202">
        <v>2</v>
      </c>
    </row>
    <row r="393" spans="1:19" x14ac:dyDescent="0.35">
      <c r="A393" s="202">
        <v>31</v>
      </c>
      <c r="B393" s="202">
        <v>20</v>
      </c>
      <c r="C393" s="202">
        <v>3</v>
      </c>
      <c r="D393" s="202">
        <v>10</v>
      </c>
      <c r="E393" s="202">
        <v>49</v>
      </c>
      <c r="F393" s="202">
        <v>5</v>
      </c>
      <c r="G393" s="202">
        <v>1</v>
      </c>
      <c r="H393" s="202">
        <v>24</v>
      </c>
      <c r="I393" s="202">
        <v>1</v>
      </c>
      <c r="K393" s="202">
        <v>44</v>
      </c>
      <c r="L393" s="202">
        <v>85</v>
      </c>
      <c r="M393" s="202">
        <v>2</v>
      </c>
      <c r="N393" s="202">
        <v>12</v>
      </c>
      <c r="O393" s="202">
        <v>38</v>
      </c>
      <c r="P393" s="202">
        <v>5</v>
      </c>
      <c r="Q393" s="202">
        <v>8</v>
      </c>
      <c r="R393" s="202">
        <v>20</v>
      </c>
      <c r="S393" s="202">
        <v>2</v>
      </c>
    </row>
    <row r="394" spans="1:19" x14ac:dyDescent="0.35">
      <c r="A394" s="202">
        <v>31</v>
      </c>
      <c r="B394" s="202">
        <v>83</v>
      </c>
      <c r="C394" s="202">
        <v>2</v>
      </c>
      <c r="D394" s="202">
        <v>10</v>
      </c>
      <c r="E394" s="202">
        <v>42</v>
      </c>
      <c r="F394" s="202">
        <v>1</v>
      </c>
      <c r="G394" s="202">
        <v>18</v>
      </c>
      <c r="H394" s="202">
        <v>30</v>
      </c>
      <c r="I394" s="202">
        <v>1</v>
      </c>
      <c r="K394" s="202">
        <v>30</v>
      </c>
      <c r="L394" s="202">
        <v>96</v>
      </c>
      <c r="M394" s="202">
        <v>4</v>
      </c>
      <c r="N394" s="202">
        <v>17</v>
      </c>
      <c r="O394" s="202">
        <v>48</v>
      </c>
      <c r="P394" s="202">
        <v>1</v>
      </c>
      <c r="Q394" s="202">
        <v>20</v>
      </c>
      <c r="R394" s="202">
        <v>22</v>
      </c>
      <c r="S394" s="202">
        <v>2</v>
      </c>
    </row>
    <row r="395" spans="1:19" x14ac:dyDescent="0.35">
      <c r="A395" s="202">
        <v>31</v>
      </c>
      <c r="B395" s="202">
        <v>83</v>
      </c>
      <c r="C395" s="202">
        <v>2</v>
      </c>
      <c r="D395" s="202">
        <v>10</v>
      </c>
      <c r="E395" s="202">
        <v>42</v>
      </c>
      <c r="F395" s="202">
        <v>3</v>
      </c>
      <c r="G395" s="202">
        <v>18</v>
      </c>
      <c r="H395" s="202">
        <v>35</v>
      </c>
      <c r="I395" s="202">
        <v>1</v>
      </c>
      <c r="K395" s="202">
        <v>68</v>
      </c>
      <c r="L395" s="202">
        <v>68</v>
      </c>
      <c r="M395" s="202">
        <v>4</v>
      </c>
      <c r="N395" s="202">
        <v>15</v>
      </c>
      <c r="O395" s="202">
        <v>42</v>
      </c>
      <c r="P395" s="202">
        <v>4</v>
      </c>
      <c r="Q395" s="202">
        <v>1</v>
      </c>
      <c r="R395" s="202">
        <v>34</v>
      </c>
      <c r="S395" s="202">
        <v>2</v>
      </c>
    </row>
    <row r="396" spans="1:19" x14ac:dyDescent="0.35">
      <c r="A396" s="202">
        <v>31</v>
      </c>
      <c r="B396" s="202">
        <v>83</v>
      </c>
      <c r="C396" s="202">
        <v>2</v>
      </c>
      <c r="D396" s="202">
        <v>10</v>
      </c>
      <c r="E396" s="202">
        <v>43</v>
      </c>
      <c r="F396" s="202">
        <v>2</v>
      </c>
      <c r="G396" s="202">
        <v>11</v>
      </c>
      <c r="H396" s="202">
        <v>12</v>
      </c>
      <c r="I396" s="202">
        <v>1</v>
      </c>
      <c r="K396" s="202">
        <v>64</v>
      </c>
      <c r="L396" s="202">
        <v>11</v>
      </c>
      <c r="M396" s="202">
        <v>4</v>
      </c>
      <c r="N396" s="202">
        <v>4</v>
      </c>
      <c r="O396" s="202">
        <v>42</v>
      </c>
      <c r="P396" s="202">
        <v>2</v>
      </c>
      <c r="Q396" s="202">
        <v>13</v>
      </c>
      <c r="R396" s="202">
        <v>27</v>
      </c>
      <c r="S396" s="202">
        <v>2</v>
      </c>
    </row>
    <row r="397" spans="1:19" x14ac:dyDescent="0.35">
      <c r="A397" s="202">
        <v>31</v>
      </c>
      <c r="B397" s="202">
        <v>83</v>
      </c>
      <c r="C397" s="202">
        <v>2</v>
      </c>
      <c r="D397" s="202">
        <v>10</v>
      </c>
      <c r="E397" s="202">
        <v>43</v>
      </c>
      <c r="F397" s="202">
        <v>3</v>
      </c>
      <c r="G397" s="202">
        <v>24</v>
      </c>
      <c r="H397" s="202">
        <v>31</v>
      </c>
      <c r="I397" s="202">
        <v>1</v>
      </c>
      <c r="K397" s="202">
        <v>52</v>
      </c>
      <c r="L397" s="202">
        <v>25</v>
      </c>
      <c r="M397" s="202">
        <v>2</v>
      </c>
      <c r="N397" s="202">
        <v>9</v>
      </c>
      <c r="O397" s="202">
        <v>48</v>
      </c>
      <c r="P397" s="202">
        <v>1</v>
      </c>
      <c r="Q397" s="202">
        <v>2</v>
      </c>
      <c r="R397" s="202">
        <v>34</v>
      </c>
      <c r="S397" s="202">
        <v>1</v>
      </c>
    </row>
    <row r="398" spans="1:19" x14ac:dyDescent="0.35">
      <c r="A398" s="202">
        <v>31</v>
      </c>
      <c r="B398" s="202">
        <v>18</v>
      </c>
      <c r="C398" s="202">
        <v>2</v>
      </c>
      <c r="D398" s="202">
        <v>10</v>
      </c>
      <c r="E398" s="202">
        <v>43</v>
      </c>
      <c r="F398" s="202">
        <v>1</v>
      </c>
      <c r="G398" s="202">
        <v>2</v>
      </c>
      <c r="H398" s="202">
        <v>23</v>
      </c>
      <c r="I398" s="202">
        <v>2</v>
      </c>
      <c r="K398" s="202">
        <v>57</v>
      </c>
      <c r="L398" s="202">
        <v>24</v>
      </c>
      <c r="M398" s="202">
        <v>2</v>
      </c>
      <c r="N398" s="202">
        <v>15</v>
      </c>
      <c r="O398" s="202">
        <v>52</v>
      </c>
      <c r="P398" s="202">
        <v>1</v>
      </c>
      <c r="Q398" s="202">
        <v>2</v>
      </c>
      <c r="R398" s="202">
        <v>19</v>
      </c>
      <c r="S398" s="202">
        <v>2</v>
      </c>
    </row>
    <row r="399" spans="1:19" x14ac:dyDescent="0.35">
      <c r="A399" s="202">
        <v>31</v>
      </c>
      <c r="B399" s="202">
        <v>18</v>
      </c>
      <c r="C399" s="202">
        <v>2</v>
      </c>
      <c r="D399" s="202">
        <v>10</v>
      </c>
      <c r="E399" s="202">
        <v>43</v>
      </c>
      <c r="F399" s="202">
        <v>5</v>
      </c>
      <c r="G399" s="202">
        <v>20</v>
      </c>
      <c r="H399" s="202">
        <v>12</v>
      </c>
      <c r="I399" s="202">
        <v>2</v>
      </c>
      <c r="K399" s="202">
        <v>54</v>
      </c>
      <c r="L399" s="202">
        <v>78</v>
      </c>
      <c r="M399" s="202">
        <v>3</v>
      </c>
      <c r="N399" s="202">
        <v>15</v>
      </c>
      <c r="O399" s="202">
        <v>53</v>
      </c>
      <c r="P399" s="202">
        <v>1</v>
      </c>
      <c r="Q399" s="202">
        <v>2</v>
      </c>
      <c r="R399" s="202">
        <v>41</v>
      </c>
      <c r="S399" s="202">
        <v>1</v>
      </c>
    </row>
    <row r="400" spans="1:19" x14ac:dyDescent="0.35">
      <c r="A400" s="202">
        <v>31</v>
      </c>
      <c r="B400" s="202">
        <v>18</v>
      </c>
      <c r="C400" s="202">
        <v>2</v>
      </c>
      <c r="D400" s="202">
        <v>10</v>
      </c>
      <c r="E400" s="202">
        <v>44</v>
      </c>
      <c r="F400" s="202">
        <v>2</v>
      </c>
      <c r="G400" s="202">
        <v>20</v>
      </c>
      <c r="H400" s="202">
        <v>24</v>
      </c>
      <c r="I400" s="202">
        <v>1</v>
      </c>
      <c r="K400" s="202">
        <v>29</v>
      </c>
      <c r="L400" s="202">
        <v>11</v>
      </c>
      <c r="M400" s="202">
        <v>2</v>
      </c>
      <c r="N400" s="202">
        <v>1</v>
      </c>
      <c r="O400" s="202">
        <v>48</v>
      </c>
      <c r="P400" s="202">
        <v>4</v>
      </c>
      <c r="Q400" s="202">
        <v>1</v>
      </c>
      <c r="R400" s="202">
        <v>30</v>
      </c>
      <c r="S400" s="202">
        <v>2</v>
      </c>
    </row>
    <row r="401" spans="1:19" x14ac:dyDescent="0.35">
      <c r="A401" s="202">
        <v>31</v>
      </c>
      <c r="B401" s="202">
        <v>18</v>
      </c>
      <c r="C401" s="202">
        <v>2</v>
      </c>
      <c r="D401" s="202">
        <v>10</v>
      </c>
      <c r="E401" s="202">
        <v>44</v>
      </c>
      <c r="F401" s="202">
        <v>5</v>
      </c>
      <c r="G401" s="202">
        <v>20</v>
      </c>
      <c r="H401" s="202">
        <v>21</v>
      </c>
      <c r="I401" s="202">
        <v>1</v>
      </c>
      <c r="K401" s="202">
        <v>59</v>
      </c>
      <c r="L401" s="202">
        <v>24</v>
      </c>
      <c r="M401" s="202">
        <v>1</v>
      </c>
      <c r="N401" s="202">
        <v>17</v>
      </c>
      <c r="O401" s="202">
        <v>44</v>
      </c>
      <c r="P401" s="202">
        <v>1</v>
      </c>
      <c r="Q401" s="202">
        <v>20</v>
      </c>
      <c r="R401" s="202">
        <v>67</v>
      </c>
      <c r="S401" s="202">
        <v>1</v>
      </c>
    </row>
    <row r="402" spans="1:19" x14ac:dyDescent="0.35">
      <c r="A402" s="202">
        <v>31</v>
      </c>
      <c r="B402" s="202">
        <v>55</v>
      </c>
      <c r="C402" s="202">
        <v>2</v>
      </c>
      <c r="D402" s="202">
        <v>10</v>
      </c>
      <c r="E402" s="202">
        <v>1</v>
      </c>
      <c r="F402" s="202">
        <v>4</v>
      </c>
      <c r="G402" s="202">
        <v>2</v>
      </c>
      <c r="H402" s="202">
        <v>6</v>
      </c>
      <c r="I402" s="202">
        <v>1</v>
      </c>
      <c r="K402" s="202">
        <v>1</v>
      </c>
      <c r="L402" s="202">
        <v>71</v>
      </c>
      <c r="M402" s="202">
        <v>4</v>
      </c>
      <c r="N402" s="202">
        <v>8</v>
      </c>
      <c r="O402" s="202">
        <v>43</v>
      </c>
      <c r="P402" s="202">
        <v>1</v>
      </c>
      <c r="Q402" s="202">
        <v>19</v>
      </c>
      <c r="R402" s="202">
        <v>45</v>
      </c>
      <c r="S402" s="202">
        <v>2</v>
      </c>
    </row>
    <row r="403" spans="1:19" x14ac:dyDescent="0.35">
      <c r="A403" s="202">
        <v>31</v>
      </c>
      <c r="B403" s="202">
        <v>55</v>
      </c>
      <c r="C403" s="202">
        <v>2</v>
      </c>
      <c r="D403" s="202">
        <v>10</v>
      </c>
      <c r="E403" s="202">
        <v>1</v>
      </c>
      <c r="F403" s="202">
        <v>5</v>
      </c>
      <c r="G403" s="202">
        <v>6</v>
      </c>
      <c r="H403" s="202">
        <v>24</v>
      </c>
      <c r="I403" s="202">
        <v>1</v>
      </c>
      <c r="K403" s="202">
        <v>34</v>
      </c>
      <c r="L403" s="202">
        <v>89</v>
      </c>
      <c r="M403" s="202">
        <v>1</v>
      </c>
      <c r="N403" s="202">
        <v>15</v>
      </c>
      <c r="O403" s="202">
        <v>43</v>
      </c>
      <c r="P403" s="202">
        <v>1</v>
      </c>
      <c r="Q403" s="202">
        <v>11</v>
      </c>
      <c r="R403" s="202">
        <v>7</v>
      </c>
      <c r="S403" s="202">
        <v>2</v>
      </c>
    </row>
    <row r="404" spans="1:19" x14ac:dyDescent="0.35">
      <c r="A404" s="202">
        <v>31</v>
      </c>
      <c r="B404" s="202">
        <v>96</v>
      </c>
      <c r="C404" s="202">
        <v>4</v>
      </c>
      <c r="D404" s="202">
        <v>4</v>
      </c>
      <c r="E404" s="202">
        <v>42</v>
      </c>
      <c r="F404" s="202">
        <v>1</v>
      </c>
      <c r="G404" s="202">
        <v>11</v>
      </c>
      <c r="H404" s="202">
        <v>47</v>
      </c>
      <c r="I404" s="202">
        <v>2</v>
      </c>
      <c r="K404" s="202">
        <v>83</v>
      </c>
      <c r="L404" s="202">
        <v>24</v>
      </c>
      <c r="M404" s="202">
        <v>4</v>
      </c>
      <c r="N404" s="202">
        <v>8</v>
      </c>
      <c r="O404" s="202">
        <v>50</v>
      </c>
      <c r="P404" s="202">
        <v>3</v>
      </c>
      <c r="Q404" s="202">
        <v>20</v>
      </c>
      <c r="R404" s="202">
        <v>7</v>
      </c>
      <c r="S404" s="202">
        <v>2</v>
      </c>
    </row>
    <row r="405" spans="1:19" x14ac:dyDescent="0.35">
      <c r="A405" s="202">
        <v>31</v>
      </c>
      <c r="B405" s="202">
        <v>96</v>
      </c>
      <c r="C405" s="202">
        <v>4</v>
      </c>
      <c r="D405" s="202">
        <v>4</v>
      </c>
      <c r="E405" s="202">
        <v>42</v>
      </c>
      <c r="F405" s="202">
        <v>5</v>
      </c>
      <c r="G405" s="202">
        <v>2</v>
      </c>
      <c r="H405" s="202">
        <v>35</v>
      </c>
      <c r="I405" s="202">
        <v>2</v>
      </c>
      <c r="K405" s="202">
        <v>4</v>
      </c>
      <c r="L405" s="202">
        <v>25</v>
      </c>
      <c r="M405" s="202">
        <v>2</v>
      </c>
      <c r="N405" s="202">
        <v>12</v>
      </c>
      <c r="O405" s="202">
        <v>49</v>
      </c>
      <c r="P405" s="202">
        <v>5</v>
      </c>
      <c r="Q405" s="202">
        <v>18</v>
      </c>
      <c r="R405" s="202">
        <v>38</v>
      </c>
      <c r="S405" s="202">
        <v>2</v>
      </c>
    </row>
    <row r="406" spans="1:19" x14ac:dyDescent="0.35">
      <c r="A406" s="202">
        <v>31</v>
      </c>
      <c r="B406" s="202">
        <v>13</v>
      </c>
      <c r="C406" s="202">
        <v>2</v>
      </c>
      <c r="D406" s="202">
        <v>16</v>
      </c>
      <c r="E406" s="202">
        <v>42</v>
      </c>
      <c r="F406" s="202">
        <v>1</v>
      </c>
      <c r="G406" s="202">
        <v>2</v>
      </c>
      <c r="H406" s="202">
        <v>8</v>
      </c>
      <c r="I406" s="202">
        <v>1</v>
      </c>
      <c r="K406" s="202">
        <v>17</v>
      </c>
      <c r="L406" s="202">
        <v>89</v>
      </c>
      <c r="M406" s="202">
        <v>4</v>
      </c>
      <c r="N406" s="202">
        <v>15</v>
      </c>
      <c r="O406" s="202">
        <v>43</v>
      </c>
      <c r="P406" s="202">
        <v>5</v>
      </c>
      <c r="Q406" s="202">
        <v>2</v>
      </c>
      <c r="R406" s="202">
        <v>18</v>
      </c>
      <c r="S406" s="202">
        <v>1</v>
      </c>
    </row>
    <row r="407" spans="1:19" x14ac:dyDescent="0.35">
      <c r="A407" s="202">
        <v>31</v>
      </c>
      <c r="B407" s="202">
        <v>13</v>
      </c>
      <c r="C407" s="202">
        <v>2</v>
      </c>
      <c r="D407" s="202">
        <v>16</v>
      </c>
      <c r="E407" s="202">
        <v>42</v>
      </c>
      <c r="F407" s="202">
        <v>2</v>
      </c>
      <c r="G407" s="202">
        <v>2</v>
      </c>
      <c r="H407" s="202">
        <v>22</v>
      </c>
      <c r="I407" s="202">
        <v>1</v>
      </c>
      <c r="K407" s="202">
        <v>31</v>
      </c>
      <c r="L407" s="202">
        <v>24</v>
      </c>
      <c r="M407" s="202">
        <v>4</v>
      </c>
      <c r="N407" s="202">
        <v>4</v>
      </c>
      <c r="O407" s="202">
        <v>25</v>
      </c>
      <c r="P407" s="202">
        <v>2</v>
      </c>
      <c r="Q407" s="202">
        <v>11</v>
      </c>
      <c r="R407" s="202">
        <v>5</v>
      </c>
      <c r="S407" s="202">
        <v>2</v>
      </c>
    </row>
    <row r="408" spans="1:19" x14ac:dyDescent="0.35">
      <c r="A408" s="202">
        <v>31</v>
      </c>
      <c r="B408" s="202">
        <v>68</v>
      </c>
      <c r="C408" s="202">
        <v>2</v>
      </c>
      <c r="D408" s="202">
        <v>17</v>
      </c>
      <c r="E408" s="202">
        <v>43</v>
      </c>
      <c r="F408" s="202">
        <v>2</v>
      </c>
      <c r="G408" s="202">
        <v>20</v>
      </c>
      <c r="H408" s="202">
        <v>34</v>
      </c>
      <c r="I408" s="202">
        <v>2</v>
      </c>
      <c r="K408" s="202">
        <v>83</v>
      </c>
      <c r="L408" s="202">
        <v>11</v>
      </c>
      <c r="M408" s="202">
        <v>2</v>
      </c>
      <c r="N408" s="202">
        <v>15</v>
      </c>
      <c r="O408" s="202">
        <v>48</v>
      </c>
      <c r="P408" s="202">
        <v>2</v>
      </c>
      <c r="Q408" s="202">
        <v>1</v>
      </c>
      <c r="R408" s="202">
        <v>20</v>
      </c>
      <c r="S408" s="202">
        <v>2</v>
      </c>
    </row>
    <row r="409" spans="1:19" x14ac:dyDescent="0.35">
      <c r="A409" s="202">
        <v>31</v>
      </c>
      <c r="B409" s="202">
        <v>68</v>
      </c>
      <c r="C409" s="202">
        <v>2</v>
      </c>
      <c r="D409" s="202">
        <v>17</v>
      </c>
      <c r="E409" s="202">
        <v>43</v>
      </c>
      <c r="F409" s="202">
        <v>4</v>
      </c>
      <c r="G409" s="202">
        <v>20</v>
      </c>
      <c r="H409" s="202">
        <v>34</v>
      </c>
      <c r="I409" s="202">
        <v>2</v>
      </c>
      <c r="K409" s="202">
        <v>83</v>
      </c>
      <c r="L409" s="202">
        <v>17</v>
      </c>
      <c r="M409" s="202">
        <v>1</v>
      </c>
      <c r="N409" s="202">
        <v>17</v>
      </c>
      <c r="O409" s="202">
        <v>42</v>
      </c>
      <c r="P409" s="202">
        <v>1</v>
      </c>
      <c r="Q409" s="202">
        <v>25</v>
      </c>
      <c r="R409" s="202">
        <v>21</v>
      </c>
      <c r="S409" s="202">
        <v>1</v>
      </c>
    </row>
    <row r="410" spans="1:19" x14ac:dyDescent="0.35">
      <c r="A410" s="202">
        <v>31</v>
      </c>
      <c r="B410" s="202">
        <v>2</v>
      </c>
      <c r="C410" s="202">
        <v>2</v>
      </c>
      <c r="D410" s="202">
        <v>17</v>
      </c>
      <c r="E410" s="202">
        <v>45</v>
      </c>
      <c r="F410" s="202">
        <v>1</v>
      </c>
      <c r="G410" s="202">
        <v>22</v>
      </c>
      <c r="H410" s="202">
        <v>34</v>
      </c>
      <c r="I410" s="202">
        <v>1</v>
      </c>
      <c r="K410" s="202">
        <v>47</v>
      </c>
      <c r="L410" s="202">
        <v>30</v>
      </c>
      <c r="M410" s="202">
        <v>4</v>
      </c>
      <c r="N410" s="202">
        <v>17</v>
      </c>
      <c r="O410" s="202">
        <v>1</v>
      </c>
      <c r="P410" s="202">
        <v>5</v>
      </c>
      <c r="Q410" s="202">
        <v>11</v>
      </c>
      <c r="R410" s="202">
        <v>34</v>
      </c>
      <c r="S410" s="202">
        <v>2</v>
      </c>
    </row>
    <row r="411" spans="1:19" x14ac:dyDescent="0.35">
      <c r="A411" s="202">
        <v>31</v>
      </c>
      <c r="B411" s="202">
        <v>2</v>
      </c>
      <c r="C411" s="202">
        <v>2</v>
      </c>
      <c r="D411" s="202">
        <v>17</v>
      </c>
      <c r="E411" s="202">
        <v>45</v>
      </c>
      <c r="F411" s="202">
        <v>4</v>
      </c>
      <c r="G411" s="202">
        <v>22</v>
      </c>
      <c r="H411" s="202">
        <v>34</v>
      </c>
      <c r="I411" s="202">
        <v>1</v>
      </c>
      <c r="K411" s="202">
        <v>35</v>
      </c>
      <c r="L411" s="202">
        <v>27</v>
      </c>
      <c r="M411" s="202">
        <v>4</v>
      </c>
      <c r="N411" s="202">
        <v>8</v>
      </c>
      <c r="O411" s="202">
        <v>42</v>
      </c>
      <c r="P411" s="202">
        <v>1</v>
      </c>
      <c r="Q411" s="202">
        <v>1</v>
      </c>
      <c r="R411" s="202">
        <v>11</v>
      </c>
      <c r="S411" s="202">
        <v>1</v>
      </c>
    </row>
    <row r="412" spans="1:19" x14ac:dyDescent="0.35">
      <c r="A412" s="202">
        <v>31</v>
      </c>
      <c r="B412" s="202">
        <v>22</v>
      </c>
      <c r="C412" s="202">
        <v>4</v>
      </c>
      <c r="D412" s="202">
        <v>10</v>
      </c>
      <c r="E412" s="202">
        <v>6</v>
      </c>
      <c r="F412" s="202">
        <v>1</v>
      </c>
      <c r="G412" s="202">
        <v>24</v>
      </c>
      <c r="H412" s="202">
        <v>39</v>
      </c>
      <c r="I412" s="202">
        <v>3</v>
      </c>
      <c r="K412" s="202">
        <v>30</v>
      </c>
      <c r="L412" s="202">
        <v>76</v>
      </c>
      <c r="M412" s="202">
        <v>2</v>
      </c>
      <c r="N412" s="202">
        <v>4</v>
      </c>
      <c r="O412" s="202">
        <v>1</v>
      </c>
      <c r="P412" s="202">
        <v>5</v>
      </c>
      <c r="Q412" s="202">
        <v>22</v>
      </c>
      <c r="R412" s="202">
        <v>5</v>
      </c>
      <c r="S412" s="202">
        <v>1</v>
      </c>
    </row>
    <row r="413" spans="1:19" x14ac:dyDescent="0.35">
      <c r="A413" s="202">
        <v>32</v>
      </c>
      <c r="B413" s="202">
        <v>25</v>
      </c>
      <c r="C413" s="202">
        <v>2</v>
      </c>
      <c r="D413" s="202">
        <v>18</v>
      </c>
      <c r="E413" s="202">
        <v>49</v>
      </c>
      <c r="F413" s="202">
        <v>1</v>
      </c>
      <c r="G413" s="202">
        <v>1</v>
      </c>
      <c r="H413" s="202">
        <v>33</v>
      </c>
      <c r="I413" s="202">
        <v>1</v>
      </c>
      <c r="K413" s="202">
        <v>43</v>
      </c>
      <c r="L413" s="202">
        <v>47</v>
      </c>
      <c r="M413" s="202">
        <v>3</v>
      </c>
      <c r="N413" s="202">
        <v>10</v>
      </c>
      <c r="O413" s="202">
        <v>26</v>
      </c>
      <c r="P413" s="202">
        <v>5</v>
      </c>
      <c r="Q413" s="202">
        <v>2</v>
      </c>
      <c r="R413" s="202">
        <v>45</v>
      </c>
      <c r="S413" s="202">
        <v>1</v>
      </c>
    </row>
    <row r="414" spans="1:19" x14ac:dyDescent="0.35">
      <c r="A414" s="202">
        <v>32</v>
      </c>
      <c r="B414" s="202">
        <v>25</v>
      </c>
      <c r="C414" s="202">
        <v>2</v>
      </c>
      <c r="D414" s="202">
        <v>18</v>
      </c>
      <c r="E414" s="202">
        <v>49</v>
      </c>
      <c r="F414" s="202">
        <v>5</v>
      </c>
      <c r="G414" s="202">
        <v>19</v>
      </c>
      <c r="H414" s="202">
        <v>2</v>
      </c>
      <c r="I414" s="202">
        <v>1</v>
      </c>
      <c r="K414" s="202">
        <v>32</v>
      </c>
      <c r="L414" s="202">
        <v>48</v>
      </c>
      <c r="M414" s="202">
        <v>2</v>
      </c>
      <c r="N414" s="202">
        <v>10</v>
      </c>
      <c r="O414" s="202">
        <v>28</v>
      </c>
      <c r="P414" s="202">
        <v>3</v>
      </c>
      <c r="Q414" s="202">
        <v>23</v>
      </c>
      <c r="R414" s="202">
        <v>21</v>
      </c>
      <c r="S414" s="202">
        <v>1</v>
      </c>
    </row>
    <row r="415" spans="1:19" x14ac:dyDescent="0.35">
      <c r="A415" s="202">
        <v>32</v>
      </c>
      <c r="B415" s="202">
        <v>24</v>
      </c>
      <c r="C415" s="202">
        <v>2</v>
      </c>
      <c r="D415" s="202">
        <v>18</v>
      </c>
      <c r="E415" s="202">
        <v>50</v>
      </c>
      <c r="F415" s="202">
        <v>2</v>
      </c>
      <c r="G415" s="202">
        <v>23</v>
      </c>
      <c r="H415" s="202">
        <v>7</v>
      </c>
      <c r="I415" s="202">
        <v>2</v>
      </c>
      <c r="K415" s="202">
        <v>56</v>
      </c>
      <c r="L415" s="202">
        <v>4</v>
      </c>
      <c r="M415" s="202">
        <v>2</v>
      </c>
      <c r="N415" s="202">
        <v>12</v>
      </c>
      <c r="O415" s="202">
        <v>29</v>
      </c>
      <c r="P415" s="202">
        <v>4</v>
      </c>
      <c r="Q415" s="202">
        <v>10</v>
      </c>
      <c r="R415" s="202">
        <v>24</v>
      </c>
      <c r="S415" s="202">
        <v>2</v>
      </c>
    </row>
    <row r="416" spans="1:19" x14ac:dyDescent="0.35">
      <c r="A416" s="202">
        <v>32</v>
      </c>
      <c r="B416" s="202">
        <v>24</v>
      </c>
      <c r="C416" s="202">
        <v>2</v>
      </c>
      <c r="D416" s="202">
        <v>18</v>
      </c>
      <c r="E416" s="202">
        <v>50</v>
      </c>
      <c r="F416" s="202">
        <v>5</v>
      </c>
      <c r="G416" s="202">
        <v>7</v>
      </c>
      <c r="H416" s="202">
        <v>7</v>
      </c>
      <c r="I416" s="202">
        <v>2</v>
      </c>
      <c r="K416" s="202">
        <v>64</v>
      </c>
      <c r="L416" s="202">
        <v>24</v>
      </c>
      <c r="M416" s="202">
        <v>4</v>
      </c>
      <c r="N416" s="202">
        <v>18</v>
      </c>
      <c r="O416" s="202">
        <v>50</v>
      </c>
      <c r="P416" s="202">
        <v>2</v>
      </c>
      <c r="Q416" s="202">
        <v>1</v>
      </c>
      <c r="R416" s="202">
        <v>3</v>
      </c>
      <c r="S416" s="202">
        <v>2</v>
      </c>
    </row>
    <row r="417" spans="1:19" x14ac:dyDescent="0.35">
      <c r="A417" s="202">
        <v>32</v>
      </c>
      <c r="B417" s="202">
        <v>78</v>
      </c>
      <c r="C417" s="202">
        <v>3</v>
      </c>
      <c r="D417" s="202">
        <v>18</v>
      </c>
      <c r="E417" s="202">
        <v>49</v>
      </c>
      <c r="F417" s="202">
        <v>2</v>
      </c>
      <c r="G417" s="202">
        <v>7</v>
      </c>
      <c r="H417" s="202">
        <v>31</v>
      </c>
      <c r="I417" s="202">
        <v>2</v>
      </c>
      <c r="K417" s="202">
        <v>49</v>
      </c>
      <c r="L417" s="202">
        <v>27</v>
      </c>
      <c r="M417" s="202">
        <v>4</v>
      </c>
      <c r="N417" s="202">
        <v>14</v>
      </c>
      <c r="O417" s="202">
        <v>45</v>
      </c>
      <c r="P417" s="202">
        <v>5</v>
      </c>
      <c r="Q417" s="202">
        <v>19</v>
      </c>
      <c r="R417" s="202">
        <v>52</v>
      </c>
      <c r="S417" s="202">
        <v>1</v>
      </c>
    </row>
    <row r="418" spans="1:19" x14ac:dyDescent="0.35">
      <c r="A418" s="202">
        <v>32</v>
      </c>
      <c r="B418" s="202">
        <v>78</v>
      </c>
      <c r="C418" s="202">
        <v>3</v>
      </c>
      <c r="D418" s="202">
        <v>18</v>
      </c>
      <c r="E418" s="202">
        <v>49</v>
      </c>
      <c r="F418" s="202">
        <v>3</v>
      </c>
      <c r="G418" s="202">
        <v>19</v>
      </c>
      <c r="H418" s="202">
        <v>9</v>
      </c>
      <c r="I418" s="202">
        <v>2</v>
      </c>
      <c r="K418" s="202">
        <v>53</v>
      </c>
      <c r="L418" s="202">
        <v>8</v>
      </c>
      <c r="M418" s="202">
        <v>4</v>
      </c>
      <c r="N418" s="202">
        <v>15</v>
      </c>
      <c r="O418" s="202">
        <v>51</v>
      </c>
      <c r="P418" s="202">
        <v>1</v>
      </c>
      <c r="Q418" s="202">
        <v>3</v>
      </c>
      <c r="R418" s="202">
        <v>31</v>
      </c>
      <c r="S418" s="202">
        <v>2</v>
      </c>
    </row>
    <row r="419" spans="1:19" x14ac:dyDescent="0.35">
      <c r="A419" s="202">
        <v>32</v>
      </c>
      <c r="B419" s="202">
        <v>78</v>
      </c>
      <c r="C419" s="202">
        <v>3</v>
      </c>
      <c r="D419" s="202">
        <v>18</v>
      </c>
      <c r="E419" s="202">
        <v>50</v>
      </c>
      <c r="F419" s="202">
        <v>1</v>
      </c>
      <c r="G419" s="202">
        <v>10</v>
      </c>
      <c r="H419" s="202">
        <v>24</v>
      </c>
      <c r="I419" s="202">
        <v>1</v>
      </c>
      <c r="K419" s="202">
        <v>68</v>
      </c>
      <c r="L419" s="202">
        <v>64</v>
      </c>
      <c r="M419" s="202">
        <v>4</v>
      </c>
      <c r="N419" s="202">
        <v>13</v>
      </c>
      <c r="O419" s="202">
        <v>22</v>
      </c>
      <c r="P419" s="202">
        <v>2</v>
      </c>
      <c r="Q419" s="202">
        <v>10</v>
      </c>
      <c r="R419" s="202">
        <v>7</v>
      </c>
      <c r="S419" s="202">
        <v>1</v>
      </c>
    </row>
    <row r="420" spans="1:19" x14ac:dyDescent="0.35">
      <c r="A420" s="202">
        <v>32</v>
      </c>
      <c r="B420" s="202">
        <v>78</v>
      </c>
      <c r="C420" s="202">
        <v>3</v>
      </c>
      <c r="D420" s="202">
        <v>18</v>
      </c>
      <c r="E420" s="202">
        <v>50</v>
      </c>
      <c r="F420" s="202">
        <v>2</v>
      </c>
      <c r="G420" s="202">
        <v>1</v>
      </c>
      <c r="H420" s="202">
        <v>24</v>
      </c>
      <c r="I420" s="202">
        <v>1</v>
      </c>
      <c r="K420" s="202">
        <v>50</v>
      </c>
      <c r="L420" s="202">
        <v>76</v>
      </c>
      <c r="M420" s="202">
        <v>3</v>
      </c>
      <c r="N420" s="202">
        <v>15</v>
      </c>
      <c r="O420" s="202">
        <v>26</v>
      </c>
      <c r="P420" s="202">
        <v>3</v>
      </c>
      <c r="Q420" s="202">
        <v>10</v>
      </c>
      <c r="R420" s="202">
        <v>49</v>
      </c>
      <c r="S420" s="202">
        <v>1</v>
      </c>
    </row>
    <row r="421" spans="1:19" x14ac:dyDescent="0.35">
      <c r="A421" s="202">
        <v>32</v>
      </c>
      <c r="B421" s="202">
        <v>84</v>
      </c>
      <c r="C421" s="202">
        <v>3</v>
      </c>
      <c r="D421" s="202">
        <v>18</v>
      </c>
      <c r="E421" s="202">
        <v>43</v>
      </c>
      <c r="F421" s="202">
        <v>2</v>
      </c>
      <c r="G421" s="202">
        <v>1</v>
      </c>
      <c r="H421" s="202">
        <v>5</v>
      </c>
      <c r="I421" s="202">
        <v>2</v>
      </c>
      <c r="K421" s="202">
        <v>44</v>
      </c>
      <c r="L421" s="202">
        <v>78</v>
      </c>
      <c r="M421" s="202">
        <v>2</v>
      </c>
      <c r="N421" s="202">
        <v>15</v>
      </c>
      <c r="O421" s="202">
        <v>46</v>
      </c>
      <c r="P421" s="202">
        <v>2</v>
      </c>
      <c r="Q421" s="202">
        <v>25</v>
      </c>
      <c r="R421" s="202">
        <v>20</v>
      </c>
      <c r="S421" s="202">
        <v>2</v>
      </c>
    </row>
    <row r="422" spans="1:19" x14ac:dyDescent="0.35">
      <c r="A422" s="202">
        <v>32</v>
      </c>
      <c r="B422" s="202">
        <v>84</v>
      </c>
      <c r="C422" s="202">
        <v>3</v>
      </c>
      <c r="D422" s="202">
        <v>18</v>
      </c>
      <c r="E422" s="202">
        <v>43</v>
      </c>
      <c r="F422" s="202">
        <v>3</v>
      </c>
      <c r="G422" s="202">
        <v>14</v>
      </c>
      <c r="H422" s="202">
        <v>19</v>
      </c>
      <c r="I422" s="202">
        <v>2</v>
      </c>
      <c r="K422" s="202">
        <v>7</v>
      </c>
      <c r="L422" s="202">
        <v>24</v>
      </c>
      <c r="M422" s="202">
        <v>2</v>
      </c>
      <c r="N422" s="202">
        <v>8</v>
      </c>
      <c r="O422" s="202">
        <v>44</v>
      </c>
      <c r="P422" s="202">
        <v>2</v>
      </c>
      <c r="Q422" s="202">
        <v>14</v>
      </c>
      <c r="R422" s="202">
        <v>28</v>
      </c>
      <c r="S422" s="202">
        <v>1</v>
      </c>
    </row>
    <row r="423" spans="1:19" x14ac:dyDescent="0.35">
      <c r="A423" s="202">
        <v>32</v>
      </c>
      <c r="B423" s="202">
        <v>4</v>
      </c>
      <c r="C423" s="202">
        <v>4</v>
      </c>
      <c r="D423" s="202">
        <v>18</v>
      </c>
      <c r="E423" s="202">
        <v>26</v>
      </c>
      <c r="F423" s="202">
        <v>1</v>
      </c>
      <c r="G423" s="202">
        <v>18</v>
      </c>
      <c r="H423" s="202">
        <v>19</v>
      </c>
      <c r="I423" s="202">
        <v>2</v>
      </c>
      <c r="K423" s="202">
        <v>39</v>
      </c>
      <c r="L423" s="202">
        <v>25</v>
      </c>
      <c r="M423" s="202">
        <v>4</v>
      </c>
      <c r="N423" s="202">
        <v>10</v>
      </c>
      <c r="O423" s="202">
        <v>51</v>
      </c>
      <c r="P423" s="202">
        <v>1</v>
      </c>
      <c r="Q423" s="202">
        <v>23</v>
      </c>
      <c r="R423" s="202">
        <v>5</v>
      </c>
      <c r="S423" s="202">
        <v>1</v>
      </c>
    </row>
    <row r="424" spans="1:19" x14ac:dyDescent="0.35">
      <c r="A424" s="202">
        <v>32</v>
      </c>
      <c r="B424" s="202">
        <v>4</v>
      </c>
      <c r="C424" s="202">
        <v>4</v>
      </c>
      <c r="D424" s="202">
        <v>18</v>
      </c>
      <c r="E424" s="202">
        <v>26</v>
      </c>
      <c r="F424" s="202">
        <v>2</v>
      </c>
      <c r="G424" s="202">
        <v>18</v>
      </c>
      <c r="H424" s="202">
        <v>19</v>
      </c>
      <c r="I424" s="202">
        <v>2</v>
      </c>
      <c r="K424" s="202">
        <v>59</v>
      </c>
      <c r="L424" s="202">
        <v>83</v>
      </c>
      <c r="M424" s="202">
        <v>4</v>
      </c>
      <c r="N424" s="202">
        <v>18</v>
      </c>
      <c r="O424" s="202">
        <v>45</v>
      </c>
      <c r="P424" s="202">
        <v>2</v>
      </c>
      <c r="Q424" s="202">
        <v>11</v>
      </c>
      <c r="R424" s="202">
        <v>6</v>
      </c>
      <c r="S424" s="202">
        <v>2</v>
      </c>
    </row>
    <row r="425" spans="1:19" x14ac:dyDescent="0.35">
      <c r="A425" s="202">
        <v>32</v>
      </c>
      <c r="B425" s="202">
        <v>101</v>
      </c>
      <c r="C425" s="202">
        <v>4</v>
      </c>
      <c r="D425" s="202">
        <v>18</v>
      </c>
      <c r="E425" s="202">
        <v>42</v>
      </c>
      <c r="F425" s="202">
        <v>2</v>
      </c>
      <c r="G425" s="202">
        <v>16</v>
      </c>
      <c r="H425" s="202">
        <v>19</v>
      </c>
      <c r="I425" s="202">
        <v>1</v>
      </c>
      <c r="K425" s="202">
        <v>10</v>
      </c>
      <c r="L425" s="202">
        <v>26</v>
      </c>
      <c r="M425" s="202">
        <v>3</v>
      </c>
      <c r="N425" s="202">
        <v>8</v>
      </c>
      <c r="O425" s="202">
        <v>48</v>
      </c>
      <c r="P425" s="202">
        <v>2</v>
      </c>
      <c r="Q425" s="202">
        <v>23</v>
      </c>
      <c r="R425" s="202">
        <v>17</v>
      </c>
      <c r="S425" s="202">
        <v>1</v>
      </c>
    </row>
    <row r="426" spans="1:19" x14ac:dyDescent="0.35">
      <c r="A426" s="202">
        <v>32</v>
      </c>
      <c r="B426" s="202">
        <v>101</v>
      </c>
      <c r="C426" s="202">
        <v>4</v>
      </c>
      <c r="D426" s="202">
        <v>18</v>
      </c>
      <c r="E426" s="202">
        <v>42</v>
      </c>
      <c r="F426" s="202">
        <v>3</v>
      </c>
      <c r="G426" s="202">
        <v>11</v>
      </c>
      <c r="H426" s="202">
        <v>19</v>
      </c>
      <c r="I426" s="202">
        <v>1</v>
      </c>
      <c r="K426" s="202">
        <v>19</v>
      </c>
      <c r="L426" s="202">
        <v>78</v>
      </c>
      <c r="M426" s="202">
        <v>4</v>
      </c>
      <c r="N426" s="202">
        <v>15</v>
      </c>
      <c r="O426" s="202">
        <v>44</v>
      </c>
      <c r="P426" s="202">
        <v>2</v>
      </c>
      <c r="Q426" s="202">
        <v>2</v>
      </c>
      <c r="R426" s="202">
        <v>21</v>
      </c>
      <c r="S426" s="202">
        <v>2</v>
      </c>
    </row>
    <row r="427" spans="1:19" x14ac:dyDescent="0.35">
      <c r="A427" s="202">
        <v>32</v>
      </c>
      <c r="B427" s="202">
        <v>7</v>
      </c>
      <c r="C427" s="202">
        <v>3</v>
      </c>
      <c r="D427" s="202">
        <v>8</v>
      </c>
      <c r="E427" s="202">
        <v>49</v>
      </c>
      <c r="F427" s="202">
        <v>2</v>
      </c>
      <c r="G427" s="202">
        <v>9</v>
      </c>
      <c r="H427" s="202">
        <v>2</v>
      </c>
      <c r="I427" s="202">
        <v>2</v>
      </c>
      <c r="K427" s="202">
        <v>66</v>
      </c>
      <c r="L427" s="202">
        <v>2</v>
      </c>
      <c r="M427" s="202">
        <v>1</v>
      </c>
      <c r="N427" s="202">
        <v>10</v>
      </c>
      <c r="O427" s="202">
        <v>45</v>
      </c>
      <c r="P427" s="202">
        <v>2</v>
      </c>
      <c r="Q427" s="202">
        <v>2</v>
      </c>
      <c r="R427" s="202">
        <v>6</v>
      </c>
      <c r="S427" s="202">
        <v>2</v>
      </c>
    </row>
    <row r="428" spans="1:19" x14ac:dyDescent="0.35">
      <c r="A428" s="202">
        <v>32</v>
      </c>
      <c r="B428" s="202">
        <v>7</v>
      </c>
      <c r="C428" s="202">
        <v>3</v>
      </c>
      <c r="D428" s="202">
        <v>8</v>
      </c>
      <c r="E428" s="202">
        <v>49</v>
      </c>
      <c r="F428" s="202">
        <v>5</v>
      </c>
      <c r="G428" s="202">
        <v>1</v>
      </c>
      <c r="H428" s="202">
        <v>10</v>
      </c>
      <c r="I428" s="202">
        <v>2</v>
      </c>
      <c r="K428" s="202">
        <v>48</v>
      </c>
      <c r="L428" s="202">
        <v>29</v>
      </c>
      <c r="M428" s="202">
        <v>4</v>
      </c>
      <c r="N428" s="202">
        <v>10</v>
      </c>
      <c r="O428" s="202">
        <v>47</v>
      </c>
      <c r="P428" s="202">
        <v>1</v>
      </c>
      <c r="Q428" s="202">
        <v>11</v>
      </c>
      <c r="R428" s="202">
        <v>38</v>
      </c>
      <c r="S428" s="202">
        <v>1</v>
      </c>
    </row>
    <row r="429" spans="1:19" x14ac:dyDescent="0.35">
      <c r="A429" s="202">
        <v>33</v>
      </c>
      <c r="B429" s="202">
        <v>63</v>
      </c>
      <c r="C429" s="202">
        <v>4</v>
      </c>
      <c r="D429" s="202">
        <v>15</v>
      </c>
      <c r="E429" s="202">
        <v>43</v>
      </c>
      <c r="F429" s="202">
        <v>3</v>
      </c>
      <c r="G429" s="202">
        <v>20</v>
      </c>
      <c r="H429" s="202">
        <v>37</v>
      </c>
      <c r="I429" s="202">
        <v>2</v>
      </c>
      <c r="K429" s="202">
        <v>57</v>
      </c>
      <c r="L429" s="202">
        <v>24</v>
      </c>
      <c r="M429" s="202">
        <v>4</v>
      </c>
      <c r="N429" s="202">
        <v>13</v>
      </c>
      <c r="O429" s="202">
        <v>49</v>
      </c>
      <c r="P429" s="202">
        <v>1</v>
      </c>
      <c r="Q429" s="202">
        <v>20</v>
      </c>
      <c r="R429" s="202">
        <v>21</v>
      </c>
      <c r="S429" s="202">
        <v>1</v>
      </c>
    </row>
    <row r="430" spans="1:19" x14ac:dyDescent="0.35">
      <c r="A430" s="202">
        <v>33</v>
      </c>
      <c r="B430" s="202">
        <v>63</v>
      </c>
      <c r="C430" s="202">
        <v>4</v>
      </c>
      <c r="D430" s="202">
        <v>15</v>
      </c>
      <c r="E430" s="202">
        <v>43</v>
      </c>
      <c r="F430" s="202">
        <v>5</v>
      </c>
      <c r="G430" s="202">
        <v>20</v>
      </c>
      <c r="H430" s="202">
        <v>31</v>
      </c>
      <c r="I430" s="202">
        <v>2</v>
      </c>
      <c r="K430" s="202">
        <v>4</v>
      </c>
      <c r="L430" s="202">
        <v>15</v>
      </c>
      <c r="M430" s="202">
        <v>4</v>
      </c>
      <c r="N430" s="202">
        <v>8</v>
      </c>
      <c r="O430" s="202">
        <v>52</v>
      </c>
      <c r="P430" s="202">
        <v>4</v>
      </c>
      <c r="Q430" s="202">
        <v>11</v>
      </c>
      <c r="R430" s="202">
        <v>7</v>
      </c>
      <c r="S430" s="202">
        <v>2</v>
      </c>
    </row>
    <row r="431" spans="1:19" x14ac:dyDescent="0.35">
      <c r="A431" s="202">
        <v>33</v>
      </c>
      <c r="B431" s="202">
        <v>63</v>
      </c>
      <c r="C431" s="202">
        <v>4</v>
      </c>
      <c r="D431" s="202">
        <v>15</v>
      </c>
      <c r="E431" s="202">
        <v>44</v>
      </c>
      <c r="F431" s="202">
        <v>1</v>
      </c>
      <c r="G431" s="202">
        <v>2</v>
      </c>
      <c r="H431" s="202">
        <v>36</v>
      </c>
      <c r="I431" s="202">
        <v>2</v>
      </c>
      <c r="K431" s="202">
        <v>1</v>
      </c>
      <c r="L431" s="202">
        <v>74</v>
      </c>
      <c r="M431" s="202">
        <v>3</v>
      </c>
      <c r="N431" s="202">
        <v>15</v>
      </c>
      <c r="O431" s="202">
        <v>48</v>
      </c>
      <c r="P431" s="202">
        <v>1</v>
      </c>
      <c r="Q431" s="202">
        <v>25</v>
      </c>
      <c r="R431" s="202">
        <v>3</v>
      </c>
      <c r="S431" s="202">
        <v>1</v>
      </c>
    </row>
    <row r="432" spans="1:19" x14ac:dyDescent="0.35">
      <c r="A432" s="202">
        <v>33</v>
      </c>
      <c r="B432" s="202">
        <v>63</v>
      </c>
      <c r="C432" s="202">
        <v>4</v>
      </c>
      <c r="D432" s="202">
        <v>15</v>
      </c>
      <c r="E432" s="202">
        <v>44</v>
      </c>
      <c r="F432" s="202">
        <v>4</v>
      </c>
      <c r="G432" s="202">
        <v>8</v>
      </c>
      <c r="H432" s="202">
        <v>51</v>
      </c>
      <c r="I432" s="202">
        <v>2</v>
      </c>
      <c r="K432" s="202">
        <v>8</v>
      </c>
      <c r="L432" s="202">
        <v>25</v>
      </c>
      <c r="M432" s="202">
        <v>3</v>
      </c>
      <c r="N432" s="202">
        <v>10</v>
      </c>
      <c r="O432" s="202">
        <v>48</v>
      </c>
      <c r="P432" s="202">
        <v>1</v>
      </c>
      <c r="Q432" s="202">
        <v>1</v>
      </c>
      <c r="R432" s="202">
        <v>7</v>
      </c>
      <c r="S432" s="202">
        <v>1</v>
      </c>
    </row>
    <row r="433" spans="1:19" x14ac:dyDescent="0.35">
      <c r="A433" s="202">
        <v>33</v>
      </c>
      <c r="B433" s="202">
        <v>70</v>
      </c>
      <c r="C433" s="202">
        <v>4</v>
      </c>
      <c r="D433" s="202">
        <v>15</v>
      </c>
      <c r="E433" s="202">
        <v>28</v>
      </c>
      <c r="F433" s="202">
        <v>1</v>
      </c>
      <c r="G433" s="202">
        <v>11</v>
      </c>
      <c r="H433" s="202">
        <v>12</v>
      </c>
      <c r="I433" s="202">
        <v>2</v>
      </c>
      <c r="K433" s="202">
        <v>41</v>
      </c>
      <c r="L433" s="202">
        <v>2</v>
      </c>
      <c r="M433" s="202">
        <v>3</v>
      </c>
      <c r="N433" s="202">
        <v>10</v>
      </c>
      <c r="O433" s="202">
        <v>51</v>
      </c>
      <c r="P433" s="202">
        <v>4</v>
      </c>
      <c r="Q433" s="202">
        <v>23</v>
      </c>
      <c r="R433" s="202">
        <v>34</v>
      </c>
      <c r="S433" s="202">
        <v>2</v>
      </c>
    </row>
    <row r="434" spans="1:19" x14ac:dyDescent="0.35">
      <c r="A434" s="202">
        <v>33</v>
      </c>
      <c r="B434" s="202">
        <v>70</v>
      </c>
      <c r="C434" s="202">
        <v>4</v>
      </c>
      <c r="D434" s="202">
        <v>15</v>
      </c>
      <c r="E434" s="202">
        <v>28</v>
      </c>
      <c r="F434" s="202">
        <v>4</v>
      </c>
      <c r="G434" s="202">
        <v>24</v>
      </c>
      <c r="H434" s="202">
        <v>33</v>
      </c>
      <c r="I434" s="202">
        <v>2</v>
      </c>
      <c r="K434" s="202">
        <v>65</v>
      </c>
      <c r="L434" s="202">
        <v>53</v>
      </c>
      <c r="M434" s="202">
        <v>4</v>
      </c>
      <c r="N434" s="202">
        <v>1</v>
      </c>
      <c r="O434" s="202">
        <v>43</v>
      </c>
      <c r="P434" s="202">
        <v>1</v>
      </c>
      <c r="Q434" s="202">
        <v>1</v>
      </c>
      <c r="R434" s="202">
        <v>1</v>
      </c>
      <c r="S434" s="202">
        <v>2</v>
      </c>
    </row>
    <row r="435" spans="1:19" x14ac:dyDescent="0.35">
      <c r="A435" s="202">
        <v>33</v>
      </c>
      <c r="B435" s="202">
        <v>28</v>
      </c>
      <c r="C435" s="202">
        <v>1</v>
      </c>
      <c r="D435" s="202">
        <v>16</v>
      </c>
      <c r="E435" s="202">
        <v>48</v>
      </c>
      <c r="F435" s="202">
        <v>1</v>
      </c>
      <c r="G435" s="202">
        <v>20</v>
      </c>
      <c r="H435" s="202">
        <v>37</v>
      </c>
      <c r="I435" s="202">
        <v>2</v>
      </c>
      <c r="K435" s="202">
        <v>72</v>
      </c>
      <c r="L435" s="202">
        <v>24</v>
      </c>
      <c r="M435" s="202">
        <v>1</v>
      </c>
      <c r="N435" s="202">
        <v>13</v>
      </c>
      <c r="O435" s="202">
        <v>43</v>
      </c>
      <c r="P435" s="202">
        <v>2</v>
      </c>
      <c r="Q435" s="202">
        <v>14</v>
      </c>
      <c r="R435" s="202">
        <v>34</v>
      </c>
      <c r="S435" s="202">
        <v>2</v>
      </c>
    </row>
    <row r="436" spans="1:19" x14ac:dyDescent="0.35">
      <c r="A436" s="202">
        <v>33</v>
      </c>
      <c r="B436" s="202">
        <v>28</v>
      </c>
      <c r="C436" s="202">
        <v>1</v>
      </c>
      <c r="D436" s="202">
        <v>16</v>
      </c>
      <c r="E436" s="202">
        <v>48</v>
      </c>
      <c r="F436" s="202">
        <v>2</v>
      </c>
      <c r="G436" s="202">
        <v>20</v>
      </c>
      <c r="H436" s="202">
        <v>37</v>
      </c>
      <c r="I436" s="202">
        <v>2</v>
      </c>
      <c r="K436" s="202">
        <v>20</v>
      </c>
      <c r="L436" s="202">
        <v>74</v>
      </c>
      <c r="M436" s="202">
        <v>4</v>
      </c>
      <c r="N436" s="202">
        <v>15</v>
      </c>
      <c r="O436" s="202">
        <v>43</v>
      </c>
      <c r="P436" s="202">
        <v>4</v>
      </c>
      <c r="Q436" s="202">
        <v>3</v>
      </c>
      <c r="R436" s="202">
        <v>9</v>
      </c>
      <c r="S436" s="202">
        <v>2</v>
      </c>
    </row>
    <row r="437" spans="1:19" x14ac:dyDescent="0.35">
      <c r="A437" s="202">
        <v>33</v>
      </c>
      <c r="B437" s="202">
        <v>64</v>
      </c>
      <c r="C437" s="202">
        <v>1</v>
      </c>
      <c r="D437" s="202">
        <v>16</v>
      </c>
      <c r="E437" s="202">
        <v>43</v>
      </c>
      <c r="F437" s="202">
        <v>4</v>
      </c>
      <c r="G437" s="202">
        <v>1</v>
      </c>
      <c r="H437" s="202">
        <v>37</v>
      </c>
      <c r="I437" s="202">
        <v>2</v>
      </c>
      <c r="K437" s="202">
        <v>18</v>
      </c>
      <c r="L437" s="202">
        <v>38</v>
      </c>
      <c r="M437" s="202">
        <v>2</v>
      </c>
      <c r="N437" s="202">
        <v>10</v>
      </c>
      <c r="O437" s="202">
        <v>25</v>
      </c>
      <c r="P437" s="202">
        <v>4</v>
      </c>
      <c r="Q437" s="202">
        <v>2</v>
      </c>
      <c r="R437" s="202">
        <v>56</v>
      </c>
      <c r="S437" s="202">
        <v>1</v>
      </c>
    </row>
    <row r="438" spans="1:19" x14ac:dyDescent="0.35">
      <c r="A438" s="202">
        <v>33</v>
      </c>
      <c r="B438" s="202">
        <v>64</v>
      </c>
      <c r="C438" s="202">
        <v>1</v>
      </c>
      <c r="D438" s="202">
        <v>16</v>
      </c>
      <c r="E438" s="202">
        <v>43</v>
      </c>
      <c r="F438" s="202">
        <v>5</v>
      </c>
      <c r="G438" s="202">
        <v>1</v>
      </c>
      <c r="H438" s="202">
        <v>37</v>
      </c>
      <c r="I438" s="202">
        <v>2</v>
      </c>
      <c r="K438" s="202">
        <v>76</v>
      </c>
      <c r="L438" s="202">
        <v>25</v>
      </c>
      <c r="M438" s="202">
        <v>1</v>
      </c>
      <c r="N438" s="202">
        <v>17</v>
      </c>
      <c r="O438" s="202">
        <v>42</v>
      </c>
      <c r="P438" s="202">
        <v>5</v>
      </c>
      <c r="Q438" s="202">
        <v>20</v>
      </c>
      <c r="R438" s="202">
        <v>2</v>
      </c>
      <c r="S438" s="202">
        <v>1</v>
      </c>
    </row>
    <row r="439" spans="1:19" x14ac:dyDescent="0.35">
      <c r="A439" s="202">
        <v>33</v>
      </c>
      <c r="B439" s="202">
        <v>71</v>
      </c>
      <c r="C439" s="202">
        <v>2</v>
      </c>
      <c r="D439" s="202">
        <v>17</v>
      </c>
      <c r="E439" s="202">
        <v>48</v>
      </c>
      <c r="F439" s="202">
        <v>1</v>
      </c>
      <c r="G439" s="202">
        <v>11</v>
      </c>
      <c r="H439" s="202">
        <v>5</v>
      </c>
      <c r="I439" s="202">
        <v>1</v>
      </c>
      <c r="K439" s="202">
        <v>32</v>
      </c>
      <c r="L439" s="202">
        <v>17</v>
      </c>
      <c r="M439" s="202">
        <v>4</v>
      </c>
      <c r="N439" s="202">
        <v>17</v>
      </c>
      <c r="O439" s="202">
        <v>48</v>
      </c>
      <c r="P439" s="202">
        <v>1</v>
      </c>
      <c r="Q439" s="202">
        <v>2</v>
      </c>
      <c r="R439" s="202">
        <v>7</v>
      </c>
      <c r="S439" s="202">
        <v>1</v>
      </c>
    </row>
    <row r="440" spans="1:19" x14ac:dyDescent="0.35">
      <c r="A440" s="202">
        <v>33</v>
      </c>
      <c r="B440" s="202">
        <v>71</v>
      </c>
      <c r="C440" s="202">
        <v>2</v>
      </c>
      <c r="D440" s="202">
        <v>17</v>
      </c>
      <c r="E440" s="202">
        <v>48</v>
      </c>
      <c r="F440" s="202">
        <v>4</v>
      </c>
      <c r="G440" s="202">
        <v>11</v>
      </c>
      <c r="H440" s="202">
        <v>5</v>
      </c>
      <c r="I440" s="202">
        <v>1</v>
      </c>
      <c r="K440" s="202">
        <v>52</v>
      </c>
      <c r="L440" s="202">
        <v>21</v>
      </c>
      <c r="M440" s="202">
        <v>4</v>
      </c>
      <c r="N440" s="202">
        <v>15</v>
      </c>
      <c r="O440" s="202">
        <v>49</v>
      </c>
      <c r="P440" s="202">
        <v>2</v>
      </c>
      <c r="Q440" s="202">
        <v>11</v>
      </c>
      <c r="R440" s="202">
        <v>5</v>
      </c>
      <c r="S440" s="202">
        <v>1</v>
      </c>
    </row>
    <row r="441" spans="1:19" x14ac:dyDescent="0.35">
      <c r="A441" s="202">
        <v>33</v>
      </c>
      <c r="B441" s="202">
        <v>66</v>
      </c>
      <c r="C441" s="202">
        <v>2</v>
      </c>
      <c r="D441" s="202">
        <v>17</v>
      </c>
      <c r="E441" s="202">
        <v>48</v>
      </c>
      <c r="F441" s="202">
        <v>1</v>
      </c>
      <c r="G441" s="202">
        <v>20</v>
      </c>
      <c r="H441" s="202">
        <v>5</v>
      </c>
      <c r="I441" s="202">
        <v>2</v>
      </c>
      <c r="K441" s="202">
        <v>54</v>
      </c>
      <c r="L441" s="202">
        <v>87</v>
      </c>
      <c r="M441" s="202">
        <v>2</v>
      </c>
      <c r="N441" s="202">
        <v>8</v>
      </c>
      <c r="O441" s="202">
        <v>45</v>
      </c>
      <c r="P441" s="202">
        <v>1</v>
      </c>
      <c r="Q441" s="202">
        <v>2</v>
      </c>
      <c r="R441" s="202">
        <v>89</v>
      </c>
      <c r="S441" s="202">
        <v>1</v>
      </c>
    </row>
    <row r="442" spans="1:19" x14ac:dyDescent="0.35">
      <c r="A442" s="202">
        <v>33</v>
      </c>
      <c r="B442" s="202">
        <v>66</v>
      </c>
      <c r="C442" s="202">
        <v>2</v>
      </c>
      <c r="D442" s="202">
        <v>17</v>
      </c>
      <c r="E442" s="202">
        <v>48</v>
      </c>
      <c r="F442" s="202">
        <v>4</v>
      </c>
      <c r="G442" s="202">
        <v>20</v>
      </c>
      <c r="H442" s="202">
        <v>5</v>
      </c>
      <c r="I442" s="202">
        <v>2</v>
      </c>
      <c r="K442" s="202">
        <v>30</v>
      </c>
      <c r="L442" s="202">
        <v>13</v>
      </c>
      <c r="M442" s="202">
        <v>2</v>
      </c>
      <c r="N442" s="202">
        <v>10</v>
      </c>
      <c r="O442" s="202">
        <v>42</v>
      </c>
      <c r="P442" s="202">
        <v>2</v>
      </c>
      <c r="Q442" s="202">
        <v>20</v>
      </c>
      <c r="R442" s="202">
        <v>51</v>
      </c>
      <c r="S442" s="202">
        <v>2</v>
      </c>
    </row>
    <row r="443" spans="1:19" x14ac:dyDescent="0.35">
      <c r="A443" s="202">
        <v>33</v>
      </c>
      <c r="B443" s="202">
        <v>79</v>
      </c>
      <c r="C443" s="202">
        <v>2</v>
      </c>
      <c r="D443" s="202">
        <v>17</v>
      </c>
      <c r="E443" s="202">
        <v>47</v>
      </c>
      <c r="F443" s="202">
        <v>2</v>
      </c>
      <c r="G443" s="202">
        <v>11</v>
      </c>
      <c r="H443" s="202">
        <v>9</v>
      </c>
      <c r="I443" s="202">
        <v>2</v>
      </c>
      <c r="K443" s="202">
        <v>13</v>
      </c>
      <c r="L443" s="202">
        <v>84</v>
      </c>
      <c r="M443" s="202">
        <v>4</v>
      </c>
      <c r="N443" s="202">
        <v>17</v>
      </c>
      <c r="O443" s="202">
        <v>28</v>
      </c>
      <c r="P443" s="202">
        <v>2</v>
      </c>
      <c r="Q443" s="202">
        <v>11</v>
      </c>
      <c r="R443" s="202">
        <v>10</v>
      </c>
      <c r="S443" s="202">
        <v>1</v>
      </c>
    </row>
    <row r="444" spans="1:19" x14ac:dyDescent="0.35">
      <c r="A444" s="202">
        <v>33</v>
      </c>
      <c r="B444" s="202">
        <v>79</v>
      </c>
      <c r="C444" s="202">
        <v>2</v>
      </c>
      <c r="D444" s="202">
        <v>17</v>
      </c>
      <c r="E444" s="202">
        <v>47</v>
      </c>
      <c r="F444" s="202">
        <v>5</v>
      </c>
      <c r="G444" s="202">
        <v>11</v>
      </c>
      <c r="H444" s="202">
        <v>9</v>
      </c>
      <c r="I444" s="202">
        <v>2</v>
      </c>
      <c r="K444" s="202">
        <v>49</v>
      </c>
      <c r="L444" s="202">
        <v>78</v>
      </c>
      <c r="M444" s="202">
        <v>1</v>
      </c>
      <c r="N444" s="202">
        <v>10</v>
      </c>
      <c r="O444" s="202">
        <v>26</v>
      </c>
      <c r="P444" s="202">
        <v>1</v>
      </c>
      <c r="Q444" s="202">
        <v>20</v>
      </c>
      <c r="R444" s="202">
        <v>45</v>
      </c>
      <c r="S444" s="202">
        <v>1</v>
      </c>
    </row>
    <row r="445" spans="1:19" x14ac:dyDescent="0.35">
      <c r="A445" s="202">
        <v>34</v>
      </c>
      <c r="B445" s="202">
        <v>85</v>
      </c>
      <c r="C445" s="202">
        <v>4</v>
      </c>
      <c r="D445" s="202">
        <v>8</v>
      </c>
      <c r="E445" s="202">
        <v>25</v>
      </c>
      <c r="F445" s="202">
        <v>1</v>
      </c>
      <c r="G445" s="202">
        <v>2</v>
      </c>
      <c r="H445" s="202">
        <v>29</v>
      </c>
      <c r="I445" s="202">
        <v>2</v>
      </c>
      <c r="K445" s="202">
        <v>53</v>
      </c>
      <c r="L445" s="202">
        <v>96</v>
      </c>
      <c r="M445" s="202">
        <v>2</v>
      </c>
      <c r="N445" s="202">
        <v>15</v>
      </c>
      <c r="O445" s="202">
        <v>27</v>
      </c>
      <c r="P445" s="202">
        <v>1</v>
      </c>
      <c r="Q445" s="202">
        <v>2</v>
      </c>
      <c r="R445" s="202">
        <v>8</v>
      </c>
      <c r="S445" s="202">
        <v>1</v>
      </c>
    </row>
    <row r="446" spans="1:19" x14ac:dyDescent="0.35">
      <c r="A446" s="202">
        <v>34</v>
      </c>
      <c r="B446" s="202">
        <v>85</v>
      </c>
      <c r="C446" s="202">
        <v>4</v>
      </c>
      <c r="D446" s="202">
        <v>8</v>
      </c>
      <c r="E446" s="202">
        <v>25</v>
      </c>
      <c r="F446" s="202">
        <v>5</v>
      </c>
      <c r="G446" s="202">
        <v>2</v>
      </c>
      <c r="H446" s="202">
        <v>29</v>
      </c>
      <c r="I446" s="202">
        <v>2</v>
      </c>
      <c r="K446" s="202">
        <v>14</v>
      </c>
      <c r="L446" s="202">
        <v>102</v>
      </c>
      <c r="M446" s="202">
        <v>3</v>
      </c>
      <c r="N446" s="202">
        <v>8</v>
      </c>
      <c r="O446" s="202">
        <v>45</v>
      </c>
      <c r="P446" s="202">
        <v>4</v>
      </c>
      <c r="Q446" s="202">
        <v>23</v>
      </c>
      <c r="R446" s="202">
        <v>7</v>
      </c>
      <c r="S446" s="202">
        <v>2</v>
      </c>
    </row>
    <row r="447" spans="1:19" x14ac:dyDescent="0.35">
      <c r="A447" s="202">
        <v>34</v>
      </c>
      <c r="B447" s="202">
        <v>85</v>
      </c>
      <c r="C447" s="202">
        <v>4</v>
      </c>
      <c r="D447" s="202">
        <v>8</v>
      </c>
      <c r="E447" s="202">
        <v>26</v>
      </c>
      <c r="F447" s="202">
        <v>1</v>
      </c>
      <c r="G447" s="202">
        <v>20</v>
      </c>
      <c r="H447" s="202">
        <v>96</v>
      </c>
      <c r="I447" s="202">
        <v>2</v>
      </c>
      <c r="K447" s="202">
        <v>23</v>
      </c>
      <c r="L447" s="202">
        <v>48</v>
      </c>
      <c r="M447" s="202">
        <v>4</v>
      </c>
      <c r="N447" s="202">
        <v>16</v>
      </c>
      <c r="O447" s="202">
        <v>22</v>
      </c>
      <c r="P447" s="202">
        <v>1</v>
      </c>
      <c r="Q447" s="202">
        <v>8</v>
      </c>
      <c r="R447" s="202">
        <v>20</v>
      </c>
      <c r="S447" s="202">
        <v>2</v>
      </c>
    </row>
    <row r="448" spans="1:19" x14ac:dyDescent="0.35">
      <c r="A448" s="202">
        <v>34</v>
      </c>
      <c r="B448" s="202">
        <v>85</v>
      </c>
      <c r="C448" s="202">
        <v>4</v>
      </c>
      <c r="D448" s="202">
        <v>8</v>
      </c>
      <c r="E448" s="202">
        <v>26</v>
      </c>
      <c r="F448" s="202">
        <v>5</v>
      </c>
      <c r="G448" s="202">
        <v>20</v>
      </c>
      <c r="H448" s="202">
        <v>97</v>
      </c>
      <c r="I448" s="202">
        <v>2</v>
      </c>
      <c r="K448" s="202">
        <v>48</v>
      </c>
      <c r="L448" s="202">
        <v>20</v>
      </c>
      <c r="M448" s="202">
        <v>2</v>
      </c>
      <c r="N448" s="202">
        <v>4</v>
      </c>
      <c r="O448" s="202">
        <v>48</v>
      </c>
      <c r="P448" s="202">
        <v>4</v>
      </c>
      <c r="Q448" s="202">
        <v>2</v>
      </c>
      <c r="R448" s="202">
        <v>20</v>
      </c>
      <c r="S448" s="202">
        <v>1</v>
      </c>
    </row>
    <row r="449" spans="1:19" x14ac:dyDescent="0.35">
      <c r="A449" s="202">
        <v>34</v>
      </c>
      <c r="B449" s="202">
        <v>85</v>
      </c>
      <c r="C449" s="202">
        <v>4</v>
      </c>
      <c r="D449" s="202">
        <v>8</v>
      </c>
      <c r="E449" s="202">
        <v>27</v>
      </c>
      <c r="F449" s="202">
        <v>2</v>
      </c>
      <c r="G449" s="202">
        <v>11</v>
      </c>
      <c r="H449" s="202">
        <v>96</v>
      </c>
      <c r="I449" s="202">
        <v>2</v>
      </c>
      <c r="K449" s="202">
        <v>74</v>
      </c>
      <c r="L449" s="202">
        <v>57</v>
      </c>
      <c r="M449" s="202">
        <v>2</v>
      </c>
      <c r="N449" s="202">
        <v>15</v>
      </c>
      <c r="O449" s="202">
        <v>50</v>
      </c>
      <c r="P449" s="202">
        <v>3</v>
      </c>
      <c r="Q449" s="202">
        <v>11</v>
      </c>
      <c r="R449" s="202">
        <v>49</v>
      </c>
      <c r="S449" s="202">
        <v>1</v>
      </c>
    </row>
    <row r="450" spans="1:19" x14ac:dyDescent="0.35">
      <c r="A450" s="202">
        <v>34</v>
      </c>
      <c r="B450" s="202">
        <v>85</v>
      </c>
      <c r="C450" s="202">
        <v>4</v>
      </c>
      <c r="D450" s="202">
        <v>8</v>
      </c>
      <c r="E450" s="202">
        <v>27</v>
      </c>
      <c r="F450" s="202">
        <v>4</v>
      </c>
      <c r="G450" s="202">
        <v>11</v>
      </c>
      <c r="H450" s="202">
        <v>96</v>
      </c>
      <c r="I450" s="202">
        <v>2</v>
      </c>
      <c r="K450" s="202">
        <v>6</v>
      </c>
      <c r="L450" s="202">
        <v>24</v>
      </c>
      <c r="M450" s="202">
        <v>2</v>
      </c>
      <c r="N450" s="202">
        <v>17</v>
      </c>
      <c r="O450" s="202">
        <v>27</v>
      </c>
      <c r="P450" s="202">
        <v>4</v>
      </c>
      <c r="Q450" s="202">
        <v>14</v>
      </c>
      <c r="R450" s="202">
        <v>22</v>
      </c>
      <c r="S450" s="202">
        <v>1</v>
      </c>
    </row>
    <row r="451" spans="1:19" x14ac:dyDescent="0.35">
      <c r="A451" s="202">
        <v>34</v>
      </c>
      <c r="B451" s="202">
        <v>85</v>
      </c>
      <c r="C451" s="202">
        <v>4</v>
      </c>
      <c r="D451" s="202">
        <v>8</v>
      </c>
      <c r="E451" s="202">
        <v>28</v>
      </c>
      <c r="F451" s="202">
        <v>2</v>
      </c>
      <c r="G451" s="202">
        <v>20</v>
      </c>
      <c r="H451" s="202">
        <v>29</v>
      </c>
      <c r="I451" s="202">
        <v>2</v>
      </c>
      <c r="K451" s="202">
        <v>9</v>
      </c>
      <c r="L451" s="202">
        <v>26</v>
      </c>
      <c r="M451" s="202">
        <v>2</v>
      </c>
      <c r="N451" s="202">
        <v>15</v>
      </c>
      <c r="O451" s="202">
        <v>25</v>
      </c>
      <c r="P451" s="202">
        <v>2</v>
      </c>
      <c r="Q451" s="202">
        <v>20</v>
      </c>
      <c r="R451" s="202">
        <v>12</v>
      </c>
      <c r="S451" s="202">
        <v>2</v>
      </c>
    </row>
    <row r="452" spans="1:19" x14ac:dyDescent="0.35">
      <c r="A452" s="202">
        <v>34</v>
      </c>
      <c r="B452" s="202">
        <v>85</v>
      </c>
      <c r="C452" s="202">
        <v>4</v>
      </c>
      <c r="D452" s="202">
        <v>8</v>
      </c>
      <c r="E452" s="202">
        <v>28</v>
      </c>
      <c r="F452" s="202">
        <v>3</v>
      </c>
      <c r="G452" s="202">
        <v>20</v>
      </c>
      <c r="H452" s="202">
        <v>18</v>
      </c>
      <c r="I452" s="202">
        <v>2</v>
      </c>
      <c r="K452" s="202">
        <v>65</v>
      </c>
      <c r="L452" s="202">
        <v>33</v>
      </c>
      <c r="M452" s="202">
        <v>2</v>
      </c>
      <c r="N452" s="202">
        <v>17</v>
      </c>
      <c r="O452" s="202">
        <v>28</v>
      </c>
      <c r="P452" s="202">
        <v>4</v>
      </c>
      <c r="Q452" s="202">
        <v>25</v>
      </c>
      <c r="R452" s="202">
        <v>27</v>
      </c>
      <c r="S452" s="202">
        <v>1</v>
      </c>
    </row>
    <row r="453" spans="1:19" x14ac:dyDescent="0.35">
      <c r="A453" s="202">
        <v>34</v>
      </c>
      <c r="B453" s="202">
        <v>86</v>
      </c>
      <c r="C453" s="202">
        <v>4</v>
      </c>
      <c r="D453" s="202">
        <v>8</v>
      </c>
      <c r="E453" s="202">
        <v>3</v>
      </c>
      <c r="F453" s="202">
        <v>2</v>
      </c>
      <c r="G453" s="202">
        <v>2</v>
      </c>
      <c r="H453" s="202">
        <v>2</v>
      </c>
      <c r="I453" s="202">
        <v>1</v>
      </c>
      <c r="K453" s="202">
        <v>78</v>
      </c>
      <c r="L453" s="202">
        <v>7</v>
      </c>
      <c r="M453" s="202">
        <v>4</v>
      </c>
      <c r="N453" s="202">
        <v>15</v>
      </c>
      <c r="O453" s="202">
        <v>44</v>
      </c>
      <c r="P453" s="202">
        <v>2</v>
      </c>
      <c r="Q453" s="202">
        <v>10</v>
      </c>
      <c r="R453" s="202">
        <v>20</v>
      </c>
      <c r="S453" s="202">
        <v>2</v>
      </c>
    </row>
    <row r="454" spans="1:19" x14ac:dyDescent="0.35">
      <c r="A454" s="202">
        <v>34</v>
      </c>
      <c r="B454" s="202">
        <v>86</v>
      </c>
      <c r="C454" s="202">
        <v>4</v>
      </c>
      <c r="D454" s="202">
        <v>8</v>
      </c>
      <c r="E454" s="202">
        <v>3</v>
      </c>
      <c r="F454" s="202">
        <v>4</v>
      </c>
      <c r="G454" s="202">
        <v>18</v>
      </c>
      <c r="H454" s="202">
        <v>21</v>
      </c>
      <c r="I454" s="202">
        <v>1</v>
      </c>
      <c r="K454" s="202">
        <v>71</v>
      </c>
      <c r="L454" s="202">
        <v>17</v>
      </c>
      <c r="M454" s="202">
        <v>2</v>
      </c>
      <c r="N454" s="202">
        <v>10</v>
      </c>
      <c r="O454" s="202">
        <v>26</v>
      </c>
      <c r="P454" s="202">
        <v>3</v>
      </c>
      <c r="Q454" s="202">
        <v>3</v>
      </c>
      <c r="R454" s="202">
        <v>31</v>
      </c>
      <c r="S454" s="202">
        <v>2</v>
      </c>
    </row>
    <row r="455" spans="1:19" x14ac:dyDescent="0.35">
      <c r="A455" s="202">
        <v>34</v>
      </c>
      <c r="B455" s="202">
        <v>13</v>
      </c>
      <c r="C455" s="202">
        <v>2</v>
      </c>
      <c r="D455" s="202">
        <v>16</v>
      </c>
      <c r="E455" s="202">
        <v>43</v>
      </c>
      <c r="F455" s="202">
        <v>4</v>
      </c>
      <c r="G455" s="202">
        <v>2</v>
      </c>
      <c r="H455" s="202">
        <v>11</v>
      </c>
      <c r="I455" s="202">
        <v>1</v>
      </c>
      <c r="K455" s="202">
        <v>11</v>
      </c>
      <c r="L455" s="202">
        <v>24</v>
      </c>
      <c r="M455" s="202">
        <v>4</v>
      </c>
      <c r="N455" s="202">
        <v>12</v>
      </c>
      <c r="O455" s="202">
        <v>48</v>
      </c>
      <c r="P455" s="202">
        <v>5</v>
      </c>
      <c r="Q455" s="202">
        <v>1</v>
      </c>
      <c r="R455" s="202">
        <v>5</v>
      </c>
      <c r="S455" s="202">
        <v>2</v>
      </c>
    </row>
    <row r="456" spans="1:19" x14ac:dyDescent="0.35">
      <c r="A456" s="202">
        <v>34</v>
      </c>
      <c r="B456" s="202">
        <v>13</v>
      </c>
      <c r="C456" s="202">
        <v>2</v>
      </c>
      <c r="D456" s="202">
        <v>16</v>
      </c>
      <c r="E456" s="202">
        <v>43</v>
      </c>
      <c r="F456" s="202">
        <v>5</v>
      </c>
      <c r="G456" s="202">
        <v>2</v>
      </c>
      <c r="H456" s="202">
        <v>8</v>
      </c>
      <c r="I456" s="202">
        <v>1</v>
      </c>
      <c r="K456" s="202">
        <v>55</v>
      </c>
      <c r="L456" s="202">
        <v>69</v>
      </c>
      <c r="M456" s="202">
        <v>4</v>
      </c>
      <c r="N456" s="202">
        <v>18</v>
      </c>
      <c r="O456" s="202">
        <v>51</v>
      </c>
      <c r="P456" s="202">
        <v>2</v>
      </c>
      <c r="Q456" s="202">
        <v>25</v>
      </c>
      <c r="R456" s="202">
        <v>12</v>
      </c>
      <c r="S456" s="202">
        <v>2</v>
      </c>
    </row>
    <row r="457" spans="1:19" x14ac:dyDescent="0.35">
      <c r="A457" s="202">
        <v>34</v>
      </c>
      <c r="B457" s="202">
        <v>29</v>
      </c>
      <c r="C457" s="202">
        <v>2</v>
      </c>
      <c r="D457" s="202">
        <v>17</v>
      </c>
      <c r="E457" s="202">
        <v>43</v>
      </c>
      <c r="F457" s="202">
        <v>2</v>
      </c>
      <c r="G457" s="202">
        <v>2</v>
      </c>
      <c r="H457" s="202">
        <v>34</v>
      </c>
      <c r="I457" s="202">
        <v>2</v>
      </c>
      <c r="K457" s="202">
        <v>35</v>
      </c>
      <c r="L457" s="202">
        <v>54</v>
      </c>
      <c r="M457" s="202">
        <v>3</v>
      </c>
      <c r="N457" s="202">
        <v>15</v>
      </c>
      <c r="O457" s="202">
        <v>48</v>
      </c>
      <c r="P457" s="202">
        <v>4</v>
      </c>
      <c r="Q457" s="202">
        <v>20</v>
      </c>
      <c r="R457" s="202">
        <v>37</v>
      </c>
      <c r="S457" s="202">
        <v>2</v>
      </c>
    </row>
    <row r="458" spans="1:19" x14ac:dyDescent="0.35">
      <c r="A458" s="202">
        <v>34</v>
      </c>
      <c r="B458" s="202">
        <v>29</v>
      </c>
      <c r="C458" s="202">
        <v>2</v>
      </c>
      <c r="D458" s="202">
        <v>17</v>
      </c>
      <c r="E458" s="202">
        <v>43</v>
      </c>
      <c r="F458" s="202">
        <v>4</v>
      </c>
      <c r="G458" s="202">
        <v>2</v>
      </c>
      <c r="H458" s="202">
        <v>34</v>
      </c>
      <c r="I458" s="202">
        <v>2</v>
      </c>
      <c r="K458" s="202">
        <v>44</v>
      </c>
      <c r="L458" s="202">
        <v>25</v>
      </c>
      <c r="M458" s="202">
        <v>2</v>
      </c>
      <c r="N458" s="202">
        <v>16</v>
      </c>
      <c r="O458" s="202">
        <v>52</v>
      </c>
      <c r="P458" s="202">
        <v>2</v>
      </c>
      <c r="Q458" s="202">
        <v>24</v>
      </c>
      <c r="R458" s="202">
        <v>27</v>
      </c>
      <c r="S458" s="202">
        <v>2</v>
      </c>
    </row>
    <row r="459" spans="1:19" x14ac:dyDescent="0.35">
      <c r="A459" s="202">
        <v>35</v>
      </c>
      <c r="B459" s="202">
        <v>30</v>
      </c>
      <c r="C459" s="202">
        <v>4</v>
      </c>
      <c r="D459" s="202">
        <v>8</v>
      </c>
      <c r="E459" s="202">
        <v>44</v>
      </c>
      <c r="F459" s="202">
        <v>1</v>
      </c>
      <c r="G459" s="202">
        <v>11</v>
      </c>
      <c r="H459" s="202">
        <v>1</v>
      </c>
      <c r="I459" s="202">
        <v>2</v>
      </c>
      <c r="K459" s="202">
        <v>38</v>
      </c>
      <c r="L459" s="202">
        <v>94</v>
      </c>
      <c r="M459" s="202">
        <v>4</v>
      </c>
      <c r="N459" s="202">
        <v>8</v>
      </c>
      <c r="O459" s="202">
        <v>51</v>
      </c>
      <c r="P459" s="202">
        <v>5</v>
      </c>
      <c r="Q459" s="202">
        <v>1</v>
      </c>
      <c r="R459" s="202">
        <v>18</v>
      </c>
      <c r="S459" s="202">
        <v>1</v>
      </c>
    </row>
    <row r="460" spans="1:19" x14ac:dyDescent="0.35">
      <c r="A460" s="202">
        <v>35</v>
      </c>
      <c r="B460" s="202">
        <v>30</v>
      </c>
      <c r="C460" s="202">
        <v>4</v>
      </c>
      <c r="D460" s="202">
        <v>8</v>
      </c>
      <c r="E460" s="202">
        <v>44</v>
      </c>
      <c r="F460" s="202">
        <v>3</v>
      </c>
      <c r="G460" s="202">
        <v>11</v>
      </c>
      <c r="H460" s="202">
        <v>1</v>
      </c>
      <c r="I460" s="202">
        <v>2</v>
      </c>
      <c r="K460" s="202">
        <v>50</v>
      </c>
      <c r="L460" s="202">
        <v>49</v>
      </c>
      <c r="M460" s="202">
        <v>2</v>
      </c>
      <c r="N460" s="202">
        <v>11</v>
      </c>
      <c r="O460" s="202">
        <v>48</v>
      </c>
      <c r="P460" s="202">
        <v>4</v>
      </c>
      <c r="Q460" s="202">
        <v>2</v>
      </c>
      <c r="R460" s="202">
        <v>3</v>
      </c>
      <c r="S460" s="202">
        <v>1</v>
      </c>
    </row>
    <row r="461" spans="1:19" x14ac:dyDescent="0.35">
      <c r="A461" s="202">
        <v>35</v>
      </c>
      <c r="B461" s="202">
        <v>30</v>
      </c>
      <c r="C461" s="202">
        <v>4</v>
      </c>
      <c r="D461" s="202">
        <v>8</v>
      </c>
      <c r="E461" s="202">
        <v>45</v>
      </c>
      <c r="F461" s="202">
        <v>2</v>
      </c>
      <c r="G461" s="202">
        <v>2</v>
      </c>
      <c r="H461" s="202">
        <v>4</v>
      </c>
      <c r="I461" s="202">
        <v>2</v>
      </c>
      <c r="K461" s="202">
        <v>44</v>
      </c>
      <c r="L461" s="202">
        <v>33</v>
      </c>
      <c r="M461" s="202">
        <v>4</v>
      </c>
      <c r="N461" s="202">
        <v>15</v>
      </c>
      <c r="O461" s="202">
        <v>27</v>
      </c>
      <c r="P461" s="202">
        <v>4</v>
      </c>
      <c r="Q461" s="202">
        <v>11</v>
      </c>
      <c r="R461" s="202">
        <v>98</v>
      </c>
      <c r="S461" s="202">
        <v>1</v>
      </c>
    </row>
    <row r="462" spans="1:19" x14ac:dyDescent="0.35">
      <c r="A462" s="202">
        <v>35</v>
      </c>
      <c r="B462" s="202">
        <v>30</v>
      </c>
      <c r="C462" s="202">
        <v>4</v>
      </c>
      <c r="D462" s="202">
        <v>8</v>
      </c>
      <c r="E462" s="202">
        <v>45</v>
      </c>
      <c r="F462" s="202">
        <v>4</v>
      </c>
      <c r="G462" s="202">
        <v>2</v>
      </c>
      <c r="H462" s="202">
        <v>4</v>
      </c>
      <c r="I462" s="202">
        <v>2</v>
      </c>
      <c r="K462" s="202">
        <v>71</v>
      </c>
      <c r="L462" s="202">
        <v>29</v>
      </c>
      <c r="M462" s="202">
        <v>2</v>
      </c>
      <c r="N462" s="202">
        <v>8</v>
      </c>
      <c r="O462" s="202">
        <v>48</v>
      </c>
      <c r="P462" s="202">
        <v>1</v>
      </c>
      <c r="Q462" s="202">
        <v>14</v>
      </c>
      <c r="R462" s="202">
        <v>27</v>
      </c>
      <c r="S462" s="202">
        <v>2</v>
      </c>
    </row>
    <row r="463" spans="1:19" x14ac:dyDescent="0.35">
      <c r="A463" s="202">
        <v>35</v>
      </c>
      <c r="B463" s="202">
        <v>1</v>
      </c>
      <c r="C463" s="202">
        <v>4</v>
      </c>
      <c r="D463" s="202">
        <v>8</v>
      </c>
      <c r="E463" s="202">
        <v>28</v>
      </c>
      <c r="F463" s="202">
        <v>1</v>
      </c>
      <c r="G463" s="202">
        <v>2</v>
      </c>
      <c r="H463" s="202">
        <v>4</v>
      </c>
      <c r="I463" s="202">
        <v>2</v>
      </c>
      <c r="K463" s="202">
        <v>15</v>
      </c>
      <c r="L463" s="202">
        <v>74</v>
      </c>
      <c r="M463" s="202">
        <v>4</v>
      </c>
      <c r="N463" s="202">
        <v>15</v>
      </c>
      <c r="O463" s="202">
        <v>52</v>
      </c>
      <c r="P463" s="202">
        <v>2</v>
      </c>
      <c r="Q463" s="202">
        <v>8</v>
      </c>
      <c r="R463" s="202">
        <v>45</v>
      </c>
      <c r="S463" s="202">
        <v>3</v>
      </c>
    </row>
    <row r="464" spans="1:19" x14ac:dyDescent="0.35">
      <c r="A464" s="202">
        <v>35</v>
      </c>
      <c r="B464" s="202">
        <v>1</v>
      </c>
      <c r="C464" s="202">
        <v>4</v>
      </c>
      <c r="D464" s="202">
        <v>8</v>
      </c>
      <c r="E464" s="202">
        <v>28</v>
      </c>
      <c r="F464" s="202">
        <v>3</v>
      </c>
      <c r="G464" s="202">
        <v>2</v>
      </c>
      <c r="H464" s="202">
        <v>4</v>
      </c>
      <c r="I464" s="202">
        <v>2</v>
      </c>
      <c r="K464" s="202">
        <v>65</v>
      </c>
      <c r="L464" s="202">
        <v>42</v>
      </c>
      <c r="M464" s="202">
        <v>3</v>
      </c>
      <c r="N464" s="202">
        <v>10</v>
      </c>
      <c r="O464" s="202">
        <v>30</v>
      </c>
      <c r="P464" s="202">
        <v>4</v>
      </c>
      <c r="Q464" s="202">
        <v>20</v>
      </c>
      <c r="R464" s="202">
        <v>3</v>
      </c>
      <c r="S464" s="202">
        <v>1</v>
      </c>
    </row>
    <row r="465" spans="1:19" x14ac:dyDescent="0.35">
      <c r="A465" s="202">
        <v>35</v>
      </c>
      <c r="B465" s="202">
        <v>86</v>
      </c>
      <c r="C465" s="202">
        <v>4</v>
      </c>
      <c r="D465" s="202">
        <v>8</v>
      </c>
      <c r="E465" s="202">
        <v>1</v>
      </c>
      <c r="F465" s="202">
        <v>1</v>
      </c>
      <c r="G465" s="202">
        <v>2</v>
      </c>
      <c r="H465" s="202">
        <v>4</v>
      </c>
      <c r="I465" s="202">
        <v>1</v>
      </c>
      <c r="K465" s="202">
        <v>15</v>
      </c>
      <c r="L465" s="202">
        <v>78</v>
      </c>
      <c r="M465" s="202">
        <v>4</v>
      </c>
      <c r="N465" s="202">
        <v>10</v>
      </c>
      <c r="O465" s="202">
        <v>25</v>
      </c>
      <c r="P465" s="202">
        <v>2</v>
      </c>
      <c r="Q465" s="202">
        <v>11</v>
      </c>
      <c r="R465" s="202">
        <v>7</v>
      </c>
      <c r="S465" s="202">
        <v>1</v>
      </c>
    </row>
    <row r="466" spans="1:19" x14ac:dyDescent="0.35">
      <c r="A466" s="202">
        <v>35</v>
      </c>
      <c r="B466" s="202">
        <v>86</v>
      </c>
      <c r="C466" s="202">
        <v>4</v>
      </c>
      <c r="D466" s="202">
        <v>8</v>
      </c>
      <c r="E466" s="202">
        <v>1</v>
      </c>
      <c r="F466" s="202">
        <v>3</v>
      </c>
      <c r="G466" s="202">
        <v>2</v>
      </c>
      <c r="H466" s="202">
        <v>4</v>
      </c>
      <c r="I466" s="202">
        <v>1</v>
      </c>
      <c r="K466" s="202">
        <v>70</v>
      </c>
      <c r="L466" s="202">
        <v>87</v>
      </c>
      <c r="M466" s="202">
        <v>2</v>
      </c>
      <c r="N466" s="202">
        <v>11</v>
      </c>
      <c r="O466" s="202">
        <v>42</v>
      </c>
      <c r="P466" s="202">
        <v>4</v>
      </c>
      <c r="Q466" s="202">
        <v>2</v>
      </c>
      <c r="R466" s="202">
        <v>31</v>
      </c>
      <c r="S466" s="202">
        <v>1</v>
      </c>
    </row>
    <row r="467" spans="1:19" x14ac:dyDescent="0.35">
      <c r="A467" s="202">
        <v>35</v>
      </c>
      <c r="B467" s="202">
        <v>86</v>
      </c>
      <c r="C467" s="202">
        <v>4</v>
      </c>
      <c r="D467" s="202">
        <v>8</v>
      </c>
      <c r="E467" s="202">
        <v>2</v>
      </c>
      <c r="F467" s="202">
        <v>1</v>
      </c>
      <c r="G467" s="202">
        <v>11</v>
      </c>
      <c r="H467" s="202">
        <v>1</v>
      </c>
      <c r="I467" s="202">
        <v>1</v>
      </c>
      <c r="K467" s="202">
        <v>16</v>
      </c>
      <c r="L467" s="202">
        <v>25</v>
      </c>
      <c r="M467" s="202">
        <v>3</v>
      </c>
      <c r="N467" s="202">
        <v>8</v>
      </c>
      <c r="O467" s="202">
        <v>50</v>
      </c>
      <c r="P467" s="202">
        <v>5</v>
      </c>
      <c r="Q467" s="202">
        <v>15</v>
      </c>
      <c r="R467" s="202">
        <v>4</v>
      </c>
      <c r="S467" s="202">
        <v>1</v>
      </c>
    </row>
    <row r="468" spans="1:19" x14ac:dyDescent="0.35">
      <c r="A468" s="202">
        <v>35</v>
      </c>
      <c r="B468" s="202">
        <v>86</v>
      </c>
      <c r="C468" s="202">
        <v>4</v>
      </c>
      <c r="D468" s="202">
        <v>8</v>
      </c>
      <c r="E468" s="202">
        <v>2</v>
      </c>
      <c r="F468" s="202">
        <v>3</v>
      </c>
      <c r="G468" s="202">
        <v>11</v>
      </c>
      <c r="H468" s="202">
        <v>1</v>
      </c>
      <c r="I468" s="202">
        <v>1</v>
      </c>
      <c r="K468" s="202">
        <v>61</v>
      </c>
      <c r="L468" s="202">
        <v>24</v>
      </c>
      <c r="M468" s="202">
        <v>4</v>
      </c>
      <c r="N468" s="202">
        <v>15</v>
      </c>
      <c r="O468" s="202">
        <v>26</v>
      </c>
      <c r="P468" s="202">
        <v>1</v>
      </c>
      <c r="Q468" s="202">
        <v>7</v>
      </c>
      <c r="R468" s="202">
        <v>12</v>
      </c>
      <c r="S468" s="202">
        <v>1</v>
      </c>
    </row>
    <row r="469" spans="1:19" x14ac:dyDescent="0.35">
      <c r="A469" s="202">
        <v>35</v>
      </c>
      <c r="B469" s="202">
        <v>87</v>
      </c>
      <c r="C469" s="202">
        <v>4</v>
      </c>
      <c r="D469" s="202">
        <v>8</v>
      </c>
      <c r="E469" s="202">
        <v>25</v>
      </c>
      <c r="F469" s="202">
        <v>2</v>
      </c>
      <c r="G469" s="202">
        <v>2</v>
      </c>
      <c r="H469" s="202">
        <v>3</v>
      </c>
      <c r="I469" s="202">
        <v>1</v>
      </c>
      <c r="K469" s="202">
        <v>8</v>
      </c>
      <c r="L469" s="202">
        <v>10</v>
      </c>
      <c r="M469" s="202">
        <v>4</v>
      </c>
      <c r="N469" s="202">
        <v>15</v>
      </c>
      <c r="O469" s="202">
        <v>44</v>
      </c>
      <c r="P469" s="202">
        <v>2</v>
      </c>
      <c r="Q469" s="202">
        <v>7</v>
      </c>
      <c r="R469" s="202">
        <v>4</v>
      </c>
      <c r="S469" s="202">
        <v>1</v>
      </c>
    </row>
    <row r="470" spans="1:19" x14ac:dyDescent="0.35">
      <c r="A470" s="202">
        <v>35</v>
      </c>
      <c r="B470" s="202">
        <v>87</v>
      </c>
      <c r="C470" s="202">
        <v>4</v>
      </c>
      <c r="D470" s="202">
        <v>8</v>
      </c>
      <c r="E470" s="202">
        <v>25</v>
      </c>
      <c r="F470" s="202">
        <v>4</v>
      </c>
      <c r="G470" s="202">
        <v>2</v>
      </c>
      <c r="H470" s="202">
        <v>3</v>
      </c>
      <c r="I470" s="202">
        <v>1</v>
      </c>
      <c r="K470" s="202">
        <v>74</v>
      </c>
      <c r="L470" s="202">
        <v>35</v>
      </c>
      <c r="M470" s="202">
        <v>2</v>
      </c>
      <c r="N470" s="202">
        <v>18</v>
      </c>
      <c r="O470" s="202">
        <v>48</v>
      </c>
      <c r="P470" s="202">
        <v>1</v>
      </c>
      <c r="Q470" s="202">
        <v>23</v>
      </c>
      <c r="R470" s="202">
        <v>93</v>
      </c>
      <c r="S470" s="202">
        <v>1</v>
      </c>
    </row>
    <row r="471" spans="1:19" x14ac:dyDescent="0.35">
      <c r="A471" s="202">
        <v>35</v>
      </c>
      <c r="B471" s="202">
        <v>87</v>
      </c>
      <c r="C471" s="202">
        <v>4</v>
      </c>
      <c r="D471" s="202">
        <v>8</v>
      </c>
      <c r="E471" s="202">
        <v>26</v>
      </c>
      <c r="F471" s="202">
        <v>2</v>
      </c>
      <c r="G471" s="202">
        <v>11</v>
      </c>
      <c r="H471" s="202">
        <v>3</v>
      </c>
      <c r="I471" s="202">
        <v>1</v>
      </c>
      <c r="K471" s="202">
        <v>6</v>
      </c>
      <c r="L471" s="202">
        <v>14</v>
      </c>
      <c r="M471" s="202">
        <v>2</v>
      </c>
      <c r="N471" s="202">
        <v>10</v>
      </c>
      <c r="O471" s="202">
        <v>44</v>
      </c>
      <c r="P471" s="202">
        <v>2</v>
      </c>
      <c r="Q471" s="202">
        <v>2</v>
      </c>
      <c r="R471" s="202">
        <v>80</v>
      </c>
      <c r="S471" s="202">
        <v>2</v>
      </c>
    </row>
    <row r="472" spans="1:19" x14ac:dyDescent="0.35">
      <c r="A472" s="202">
        <v>35</v>
      </c>
      <c r="B472" s="202">
        <v>87</v>
      </c>
      <c r="C472" s="202">
        <v>4</v>
      </c>
      <c r="D472" s="202">
        <v>8</v>
      </c>
      <c r="E472" s="202">
        <v>26</v>
      </c>
      <c r="F472" s="202">
        <v>4</v>
      </c>
      <c r="G472" s="202">
        <v>11</v>
      </c>
      <c r="H472" s="202">
        <v>3</v>
      </c>
      <c r="I472" s="202">
        <v>1</v>
      </c>
      <c r="K472" s="202">
        <v>17</v>
      </c>
      <c r="L472" s="202">
        <v>104</v>
      </c>
      <c r="M472" s="202">
        <v>2</v>
      </c>
      <c r="N472" s="202">
        <v>8</v>
      </c>
      <c r="O472" s="202">
        <v>48</v>
      </c>
      <c r="P472" s="202">
        <v>4</v>
      </c>
      <c r="Q472" s="202">
        <v>25</v>
      </c>
      <c r="R472" s="202">
        <v>13</v>
      </c>
      <c r="S472" s="202">
        <v>2</v>
      </c>
    </row>
    <row r="473" spans="1:19" x14ac:dyDescent="0.35">
      <c r="A473" s="202">
        <v>36</v>
      </c>
      <c r="B473" s="202">
        <v>37</v>
      </c>
      <c r="C473" s="202">
        <v>4</v>
      </c>
      <c r="D473" s="202">
        <v>8</v>
      </c>
      <c r="E473" s="202">
        <v>25</v>
      </c>
      <c r="F473" s="202">
        <v>2</v>
      </c>
      <c r="G473" s="202">
        <v>2</v>
      </c>
      <c r="H473" s="202">
        <v>29</v>
      </c>
      <c r="I473" s="202">
        <v>1</v>
      </c>
      <c r="K473" s="202">
        <v>61</v>
      </c>
      <c r="L473" s="202">
        <v>8</v>
      </c>
      <c r="M473" s="202">
        <v>2</v>
      </c>
      <c r="N473" s="202">
        <v>15</v>
      </c>
      <c r="O473" s="202">
        <v>49</v>
      </c>
      <c r="P473" s="202">
        <v>5</v>
      </c>
      <c r="Q473" s="202">
        <v>20</v>
      </c>
      <c r="R473" s="202">
        <v>9</v>
      </c>
      <c r="S473" s="202">
        <v>2</v>
      </c>
    </row>
    <row r="474" spans="1:19" x14ac:dyDescent="0.35">
      <c r="A474" s="202">
        <v>36</v>
      </c>
      <c r="B474" s="202">
        <v>37</v>
      </c>
      <c r="C474" s="202">
        <v>4</v>
      </c>
      <c r="D474" s="202">
        <v>8</v>
      </c>
      <c r="E474" s="202">
        <v>25</v>
      </c>
      <c r="F474" s="202">
        <v>4</v>
      </c>
      <c r="G474" s="202">
        <v>2</v>
      </c>
      <c r="H474" s="202">
        <v>29</v>
      </c>
      <c r="I474" s="202">
        <v>1</v>
      </c>
      <c r="K474" s="202">
        <v>14</v>
      </c>
      <c r="L474" s="202">
        <v>78</v>
      </c>
      <c r="M474" s="202">
        <v>2</v>
      </c>
      <c r="N474" s="202">
        <v>18</v>
      </c>
      <c r="O474" s="202">
        <v>44</v>
      </c>
      <c r="P474" s="202">
        <v>2</v>
      </c>
      <c r="Q474" s="202">
        <v>10</v>
      </c>
      <c r="R474" s="202">
        <v>52</v>
      </c>
      <c r="S474" s="202">
        <v>1</v>
      </c>
    </row>
    <row r="475" spans="1:19" x14ac:dyDescent="0.35">
      <c r="A475" s="202">
        <v>36</v>
      </c>
      <c r="B475" s="202">
        <v>37</v>
      </c>
      <c r="C475" s="202">
        <v>4</v>
      </c>
      <c r="D475" s="202">
        <v>8</v>
      </c>
      <c r="E475" s="202">
        <v>26</v>
      </c>
      <c r="F475" s="202">
        <v>1</v>
      </c>
      <c r="G475" s="202">
        <v>11</v>
      </c>
      <c r="H475" s="202">
        <v>18</v>
      </c>
      <c r="I475" s="202">
        <v>1</v>
      </c>
      <c r="K475" s="202">
        <v>8</v>
      </c>
      <c r="L475" s="202">
        <v>48</v>
      </c>
      <c r="M475" s="202">
        <v>4</v>
      </c>
      <c r="N475" s="202">
        <v>8</v>
      </c>
      <c r="O475" s="202">
        <v>4</v>
      </c>
      <c r="P475" s="202">
        <v>2</v>
      </c>
      <c r="Q475" s="202">
        <v>19</v>
      </c>
      <c r="R475" s="202">
        <v>20</v>
      </c>
      <c r="S475" s="202">
        <v>1</v>
      </c>
    </row>
    <row r="476" spans="1:19" x14ac:dyDescent="0.35">
      <c r="A476" s="202">
        <v>36</v>
      </c>
      <c r="B476" s="202">
        <v>37</v>
      </c>
      <c r="C476" s="202">
        <v>4</v>
      </c>
      <c r="D476" s="202">
        <v>8</v>
      </c>
      <c r="E476" s="202">
        <v>26</v>
      </c>
      <c r="F476" s="202">
        <v>3</v>
      </c>
      <c r="G476" s="202">
        <v>18</v>
      </c>
      <c r="H476" s="202">
        <v>18</v>
      </c>
      <c r="I476" s="202">
        <v>1</v>
      </c>
      <c r="K476" s="202">
        <v>65</v>
      </c>
      <c r="L476" s="202">
        <v>24</v>
      </c>
      <c r="M476" s="202">
        <v>4</v>
      </c>
      <c r="N476" s="202">
        <v>8</v>
      </c>
      <c r="O476" s="202">
        <v>25</v>
      </c>
      <c r="P476" s="202">
        <v>2</v>
      </c>
      <c r="Q476" s="202">
        <v>1</v>
      </c>
      <c r="R476" s="202">
        <v>19</v>
      </c>
      <c r="S476" s="202">
        <v>2</v>
      </c>
    </row>
    <row r="477" spans="1:19" x14ac:dyDescent="0.35">
      <c r="A477" s="202">
        <v>36</v>
      </c>
      <c r="B477" s="202">
        <v>88</v>
      </c>
      <c r="C477" s="202">
        <v>4</v>
      </c>
      <c r="D477" s="202">
        <v>8</v>
      </c>
      <c r="E477" s="202">
        <v>25</v>
      </c>
      <c r="F477" s="202">
        <v>1</v>
      </c>
      <c r="G477" s="202">
        <v>2</v>
      </c>
      <c r="H477" s="202">
        <v>18</v>
      </c>
      <c r="I477" s="202">
        <v>2</v>
      </c>
      <c r="K477" s="202">
        <v>44</v>
      </c>
      <c r="L477" s="202">
        <v>89</v>
      </c>
      <c r="M477" s="202">
        <v>2</v>
      </c>
      <c r="N477" s="202">
        <v>15</v>
      </c>
      <c r="O477" s="202">
        <v>27</v>
      </c>
      <c r="P477" s="202">
        <v>5</v>
      </c>
      <c r="Q477" s="202">
        <v>17</v>
      </c>
      <c r="R477" s="202">
        <v>79</v>
      </c>
      <c r="S477" s="202">
        <v>2</v>
      </c>
    </row>
    <row r="478" spans="1:19" x14ac:dyDescent="0.35">
      <c r="A478" s="202">
        <v>36</v>
      </c>
      <c r="B478" s="202">
        <v>88</v>
      </c>
      <c r="C478" s="202">
        <v>4</v>
      </c>
      <c r="D478" s="202">
        <v>8</v>
      </c>
      <c r="E478" s="202">
        <v>25</v>
      </c>
      <c r="F478" s="202">
        <v>4</v>
      </c>
      <c r="G478" s="202">
        <v>2</v>
      </c>
      <c r="H478" s="202">
        <v>18</v>
      </c>
      <c r="I478" s="202">
        <v>2</v>
      </c>
      <c r="K478" s="202">
        <v>14</v>
      </c>
      <c r="L478" s="202">
        <v>50</v>
      </c>
      <c r="M478" s="202">
        <v>4</v>
      </c>
      <c r="N478" s="202">
        <v>15</v>
      </c>
      <c r="O478" s="202">
        <v>43</v>
      </c>
      <c r="P478" s="202">
        <v>4</v>
      </c>
      <c r="Q478" s="202">
        <v>11</v>
      </c>
      <c r="R478" s="202">
        <v>7</v>
      </c>
      <c r="S478" s="202">
        <v>1</v>
      </c>
    </row>
    <row r="479" spans="1:19" x14ac:dyDescent="0.35">
      <c r="A479" s="202">
        <v>36</v>
      </c>
      <c r="B479" s="202">
        <v>88</v>
      </c>
      <c r="C479" s="202">
        <v>4</v>
      </c>
      <c r="D479" s="202">
        <v>8</v>
      </c>
      <c r="E479" s="202">
        <v>26</v>
      </c>
      <c r="F479" s="202">
        <v>1</v>
      </c>
      <c r="G479" s="202">
        <v>11</v>
      </c>
      <c r="H479" s="202">
        <v>18</v>
      </c>
      <c r="I479" s="202">
        <v>2</v>
      </c>
      <c r="K479" s="202">
        <v>65</v>
      </c>
      <c r="L479" s="202">
        <v>95</v>
      </c>
      <c r="M479" s="202">
        <v>3</v>
      </c>
      <c r="N479" s="202">
        <v>8</v>
      </c>
      <c r="O479" s="202">
        <v>43</v>
      </c>
      <c r="P479" s="202">
        <v>2</v>
      </c>
      <c r="Q479" s="202">
        <v>1</v>
      </c>
      <c r="R479" s="202">
        <v>8</v>
      </c>
      <c r="S479" s="202">
        <v>2</v>
      </c>
    </row>
    <row r="480" spans="1:19" x14ac:dyDescent="0.35">
      <c r="A480" s="202">
        <v>36</v>
      </c>
      <c r="B480" s="202">
        <v>88</v>
      </c>
      <c r="C480" s="202">
        <v>4</v>
      </c>
      <c r="D480" s="202">
        <v>8</v>
      </c>
      <c r="E480" s="202">
        <v>26</v>
      </c>
      <c r="F480" s="202">
        <v>4</v>
      </c>
      <c r="G480" s="202">
        <v>11</v>
      </c>
      <c r="H480" s="202">
        <v>29</v>
      </c>
      <c r="I480" s="202">
        <v>2</v>
      </c>
      <c r="K480" s="202">
        <v>61</v>
      </c>
      <c r="L480" s="202">
        <v>60</v>
      </c>
      <c r="M480" s="202">
        <v>2</v>
      </c>
      <c r="N480" s="202">
        <v>13</v>
      </c>
      <c r="O480" s="202">
        <v>2</v>
      </c>
      <c r="P480" s="202">
        <v>2</v>
      </c>
      <c r="Q480" s="202">
        <v>11</v>
      </c>
      <c r="R480" s="202">
        <v>48</v>
      </c>
      <c r="S480" s="202">
        <v>1</v>
      </c>
    </row>
    <row r="481" spans="1:19" x14ac:dyDescent="0.35">
      <c r="A481" s="202">
        <v>36</v>
      </c>
      <c r="B481" s="202">
        <v>88</v>
      </c>
      <c r="C481" s="202">
        <v>4</v>
      </c>
      <c r="D481" s="202">
        <v>8</v>
      </c>
      <c r="E481" s="202">
        <v>27</v>
      </c>
      <c r="F481" s="202">
        <v>1</v>
      </c>
      <c r="G481" s="202">
        <v>24</v>
      </c>
      <c r="H481" s="202">
        <v>18</v>
      </c>
      <c r="I481" s="202">
        <v>2</v>
      </c>
      <c r="K481" s="202">
        <v>46</v>
      </c>
      <c r="L481" s="202">
        <v>24</v>
      </c>
      <c r="M481" s="202">
        <v>3</v>
      </c>
      <c r="N481" s="202">
        <v>12</v>
      </c>
      <c r="O481" s="202">
        <v>25</v>
      </c>
      <c r="P481" s="202">
        <v>2</v>
      </c>
      <c r="Q481" s="202">
        <v>2</v>
      </c>
      <c r="R481" s="202">
        <v>33</v>
      </c>
      <c r="S481" s="202">
        <v>1</v>
      </c>
    </row>
    <row r="482" spans="1:19" x14ac:dyDescent="0.35">
      <c r="A482" s="202">
        <v>36</v>
      </c>
      <c r="B482" s="202">
        <v>88</v>
      </c>
      <c r="C482" s="202">
        <v>4</v>
      </c>
      <c r="D482" s="202">
        <v>8</v>
      </c>
      <c r="E482" s="202">
        <v>27</v>
      </c>
      <c r="F482" s="202">
        <v>4</v>
      </c>
      <c r="G482" s="202">
        <v>24</v>
      </c>
      <c r="H482" s="202">
        <v>18</v>
      </c>
      <c r="I482" s="202">
        <v>2</v>
      </c>
      <c r="K482" s="202">
        <v>35</v>
      </c>
      <c r="L482" s="202">
        <v>50</v>
      </c>
      <c r="M482" s="202">
        <v>4</v>
      </c>
      <c r="N482" s="202">
        <v>15</v>
      </c>
      <c r="O482" s="202">
        <v>50</v>
      </c>
      <c r="P482" s="202">
        <v>2</v>
      </c>
      <c r="Q482" s="202">
        <v>20</v>
      </c>
      <c r="R482" s="202">
        <v>41</v>
      </c>
      <c r="S482" s="202">
        <v>2</v>
      </c>
    </row>
    <row r="483" spans="1:19" x14ac:dyDescent="0.35">
      <c r="A483" s="202">
        <v>36</v>
      </c>
      <c r="B483" s="202">
        <v>88</v>
      </c>
      <c r="C483" s="202">
        <v>4</v>
      </c>
      <c r="D483" s="202">
        <v>8</v>
      </c>
      <c r="E483" s="202">
        <v>28</v>
      </c>
      <c r="F483" s="202">
        <v>2</v>
      </c>
      <c r="G483" s="202">
        <v>2</v>
      </c>
      <c r="H483" s="202">
        <v>19</v>
      </c>
      <c r="I483" s="202">
        <v>2</v>
      </c>
      <c r="K483" s="202">
        <v>2</v>
      </c>
      <c r="L483" s="202">
        <v>70</v>
      </c>
      <c r="M483" s="202">
        <v>2</v>
      </c>
      <c r="N483" s="202">
        <v>8</v>
      </c>
      <c r="O483" s="202">
        <v>49</v>
      </c>
      <c r="P483" s="202">
        <v>4</v>
      </c>
      <c r="Q483" s="202">
        <v>11</v>
      </c>
      <c r="R483" s="202">
        <v>19</v>
      </c>
      <c r="S483" s="202">
        <v>2</v>
      </c>
    </row>
    <row r="484" spans="1:19" x14ac:dyDescent="0.35">
      <c r="A484" s="202">
        <v>36</v>
      </c>
      <c r="B484" s="202">
        <v>88</v>
      </c>
      <c r="C484" s="202">
        <v>4</v>
      </c>
      <c r="D484" s="202">
        <v>8</v>
      </c>
      <c r="E484" s="202">
        <v>28</v>
      </c>
      <c r="F484" s="202">
        <v>5</v>
      </c>
      <c r="G484" s="202">
        <v>2</v>
      </c>
      <c r="H484" s="202">
        <v>19</v>
      </c>
      <c r="I484" s="202">
        <v>2</v>
      </c>
      <c r="K484" s="202">
        <v>10</v>
      </c>
      <c r="L484" s="202">
        <v>111</v>
      </c>
      <c r="M484" s="202">
        <v>1</v>
      </c>
      <c r="N484" s="202">
        <v>10</v>
      </c>
      <c r="O484" s="202">
        <v>5</v>
      </c>
      <c r="P484" s="202">
        <v>4</v>
      </c>
      <c r="Q484" s="202">
        <v>7</v>
      </c>
      <c r="R484" s="202">
        <v>7</v>
      </c>
      <c r="S484" s="202">
        <v>2</v>
      </c>
    </row>
    <row r="485" spans="1:19" x14ac:dyDescent="0.35">
      <c r="A485" s="202">
        <v>37</v>
      </c>
      <c r="B485" s="202">
        <v>78</v>
      </c>
      <c r="C485" s="202">
        <v>3</v>
      </c>
      <c r="D485" s="202">
        <v>15</v>
      </c>
      <c r="E485" s="202">
        <v>51</v>
      </c>
      <c r="F485" s="202">
        <v>2</v>
      </c>
      <c r="G485" s="202">
        <v>1</v>
      </c>
      <c r="H485" s="202">
        <v>31</v>
      </c>
      <c r="I485" s="202">
        <v>2</v>
      </c>
      <c r="K485" s="202">
        <v>26</v>
      </c>
      <c r="L485" s="202">
        <v>67</v>
      </c>
      <c r="M485" s="202">
        <v>3</v>
      </c>
      <c r="N485" s="202">
        <v>4</v>
      </c>
      <c r="O485" s="202">
        <v>1</v>
      </c>
      <c r="P485" s="202">
        <v>5</v>
      </c>
      <c r="Q485" s="202">
        <v>2</v>
      </c>
      <c r="R485" s="202">
        <v>31</v>
      </c>
      <c r="S485" s="202">
        <v>2</v>
      </c>
    </row>
    <row r="486" spans="1:19" x14ac:dyDescent="0.35">
      <c r="A486" s="202">
        <v>37</v>
      </c>
      <c r="B486" s="202">
        <v>78</v>
      </c>
      <c r="C486" s="202">
        <v>3</v>
      </c>
      <c r="D486" s="202">
        <v>15</v>
      </c>
      <c r="E486" s="202">
        <v>51</v>
      </c>
      <c r="F486" s="202">
        <v>5</v>
      </c>
      <c r="G486" s="202">
        <v>10</v>
      </c>
      <c r="H486" s="202">
        <v>47</v>
      </c>
      <c r="I486" s="202">
        <v>2</v>
      </c>
      <c r="K486" s="202">
        <v>19</v>
      </c>
      <c r="L486" s="202">
        <v>88</v>
      </c>
      <c r="M486" s="202">
        <v>2</v>
      </c>
      <c r="N486" s="202">
        <v>8</v>
      </c>
      <c r="O486" s="202">
        <v>42</v>
      </c>
      <c r="P486" s="202">
        <v>2</v>
      </c>
      <c r="Q486" s="202">
        <v>8</v>
      </c>
      <c r="R486" s="202">
        <v>24</v>
      </c>
      <c r="S486" s="202">
        <v>1</v>
      </c>
    </row>
    <row r="487" spans="1:19" x14ac:dyDescent="0.35">
      <c r="A487" s="202">
        <v>37</v>
      </c>
      <c r="B487" s="202">
        <v>48</v>
      </c>
      <c r="C487" s="202">
        <v>2</v>
      </c>
      <c r="D487" s="202">
        <v>15</v>
      </c>
      <c r="E487" s="202">
        <v>28</v>
      </c>
      <c r="F487" s="202">
        <v>1</v>
      </c>
      <c r="G487" s="202">
        <v>2</v>
      </c>
      <c r="H487" s="202">
        <v>52</v>
      </c>
      <c r="I487" s="202">
        <v>1</v>
      </c>
      <c r="K487" s="202">
        <v>17</v>
      </c>
      <c r="L487" s="202">
        <v>68</v>
      </c>
      <c r="M487" s="202">
        <v>2</v>
      </c>
      <c r="N487" s="202">
        <v>5</v>
      </c>
      <c r="O487" s="202">
        <v>1</v>
      </c>
      <c r="P487" s="202">
        <v>5</v>
      </c>
      <c r="Q487" s="202">
        <v>20</v>
      </c>
      <c r="R487" s="202">
        <v>4</v>
      </c>
      <c r="S487" s="202">
        <v>2</v>
      </c>
    </row>
    <row r="488" spans="1:19" x14ac:dyDescent="0.35">
      <c r="A488" s="202">
        <v>37</v>
      </c>
      <c r="B488" s="202">
        <v>48</v>
      </c>
      <c r="C488" s="202">
        <v>2</v>
      </c>
      <c r="D488" s="202">
        <v>15</v>
      </c>
      <c r="E488" s="202">
        <v>28</v>
      </c>
      <c r="F488" s="202">
        <v>3</v>
      </c>
      <c r="G488" s="202">
        <v>2</v>
      </c>
      <c r="H488" s="202">
        <v>48</v>
      </c>
      <c r="I488" s="202">
        <v>1</v>
      </c>
      <c r="K488" s="202">
        <v>42</v>
      </c>
      <c r="L488" s="202">
        <v>33</v>
      </c>
      <c r="M488" s="202">
        <v>2</v>
      </c>
      <c r="N488" s="202">
        <v>8</v>
      </c>
      <c r="O488" s="202">
        <v>43</v>
      </c>
      <c r="P488" s="202">
        <v>5</v>
      </c>
      <c r="Q488" s="202">
        <v>1</v>
      </c>
      <c r="R488" s="202">
        <v>75</v>
      </c>
      <c r="S488" s="202">
        <v>2</v>
      </c>
    </row>
    <row r="489" spans="1:19" x14ac:dyDescent="0.35">
      <c r="A489" s="202">
        <v>37</v>
      </c>
      <c r="B489" s="202">
        <v>25</v>
      </c>
      <c r="C489" s="202">
        <v>2</v>
      </c>
      <c r="D489" s="202">
        <v>11</v>
      </c>
      <c r="E489" s="202">
        <v>48</v>
      </c>
      <c r="F489" s="202">
        <v>1</v>
      </c>
      <c r="G489" s="202">
        <v>17</v>
      </c>
      <c r="H489" s="202">
        <v>78</v>
      </c>
      <c r="I489" s="202">
        <v>2</v>
      </c>
      <c r="K489" s="202">
        <v>38</v>
      </c>
      <c r="L489" s="202">
        <v>52</v>
      </c>
      <c r="M489" s="202">
        <v>4</v>
      </c>
      <c r="N489" s="202">
        <v>15</v>
      </c>
      <c r="O489" s="202">
        <v>48</v>
      </c>
      <c r="P489" s="202">
        <v>4</v>
      </c>
      <c r="Q489" s="202">
        <v>14</v>
      </c>
      <c r="R489" s="202">
        <v>29</v>
      </c>
      <c r="S489" s="202">
        <v>2</v>
      </c>
    </row>
    <row r="490" spans="1:19" x14ac:dyDescent="0.35">
      <c r="A490" s="202">
        <v>37</v>
      </c>
      <c r="B490" s="202">
        <v>25</v>
      </c>
      <c r="C490" s="202">
        <v>2</v>
      </c>
      <c r="D490" s="202">
        <v>11</v>
      </c>
      <c r="E490" s="202">
        <v>48</v>
      </c>
      <c r="F490" s="202">
        <v>3</v>
      </c>
      <c r="G490" s="202">
        <v>21</v>
      </c>
      <c r="H490" s="202">
        <v>80</v>
      </c>
      <c r="I490" s="202">
        <v>2</v>
      </c>
      <c r="K490" s="202">
        <v>74</v>
      </c>
      <c r="L490" s="202">
        <v>37</v>
      </c>
      <c r="M490" s="202">
        <v>2</v>
      </c>
      <c r="N490" s="202">
        <v>15</v>
      </c>
      <c r="O490" s="202">
        <v>1</v>
      </c>
      <c r="P490" s="202">
        <v>2</v>
      </c>
      <c r="Q490" s="202">
        <v>2</v>
      </c>
      <c r="R490" s="202">
        <v>1</v>
      </c>
      <c r="S490" s="202">
        <v>2</v>
      </c>
    </row>
    <row r="491" spans="1:19" x14ac:dyDescent="0.35">
      <c r="A491" s="202">
        <v>37</v>
      </c>
      <c r="B491" s="202">
        <v>25</v>
      </c>
      <c r="C491" s="202">
        <v>2</v>
      </c>
      <c r="D491" s="202">
        <v>11</v>
      </c>
      <c r="E491" s="202">
        <v>50</v>
      </c>
      <c r="F491" s="202">
        <v>2</v>
      </c>
      <c r="G491" s="202">
        <v>17</v>
      </c>
      <c r="H491" s="202">
        <v>79</v>
      </c>
      <c r="I491" s="202">
        <v>2</v>
      </c>
      <c r="K491" s="202">
        <v>31</v>
      </c>
      <c r="L491" s="202">
        <v>57</v>
      </c>
      <c r="M491" s="202">
        <v>4</v>
      </c>
      <c r="N491" s="202">
        <v>8</v>
      </c>
      <c r="O491" s="202">
        <v>51</v>
      </c>
      <c r="P491" s="202">
        <v>2</v>
      </c>
      <c r="Q491" s="202">
        <v>2</v>
      </c>
      <c r="R491" s="202">
        <v>18</v>
      </c>
      <c r="S491" s="202">
        <v>2</v>
      </c>
    </row>
    <row r="492" spans="1:19" x14ac:dyDescent="0.35">
      <c r="A492" s="202">
        <v>37</v>
      </c>
      <c r="B492" s="202">
        <v>25</v>
      </c>
      <c r="C492" s="202">
        <v>2</v>
      </c>
      <c r="D492" s="202">
        <v>11</v>
      </c>
      <c r="E492" s="202">
        <v>50</v>
      </c>
      <c r="F492" s="202">
        <v>4</v>
      </c>
      <c r="G492" s="202">
        <v>21</v>
      </c>
      <c r="H492" s="202">
        <v>80</v>
      </c>
      <c r="I492" s="202">
        <v>2</v>
      </c>
      <c r="K492" s="202">
        <v>19</v>
      </c>
      <c r="L492" s="202">
        <v>78</v>
      </c>
      <c r="M492" s="202">
        <v>4</v>
      </c>
      <c r="N492" s="202">
        <v>8</v>
      </c>
      <c r="O492" s="202">
        <v>50</v>
      </c>
      <c r="P492" s="202">
        <v>5</v>
      </c>
      <c r="Q492" s="202">
        <v>14</v>
      </c>
      <c r="R492" s="202">
        <v>4</v>
      </c>
      <c r="S492" s="202">
        <v>2</v>
      </c>
    </row>
    <row r="493" spans="1:19" x14ac:dyDescent="0.35">
      <c r="A493" s="202">
        <v>37</v>
      </c>
      <c r="B493" s="202">
        <v>25</v>
      </c>
      <c r="C493" s="202">
        <v>2</v>
      </c>
      <c r="D493" s="202">
        <v>11</v>
      </c>
      <c r="E493" s="202">
        <v>52</v>
      </c>
      <c r="F493" s="202">
        <v>1</v>
      </c>
      <c r="G493" s="202">
        <v>1</v>
      </c>
      <c r="H493" s="202">
        <v>14</v>
      </c>
      <c r="I493" s="202">
        <v>2</v>
      </c>
      <c r="K493" s="202">
        <v>35</v>
      </c>
      <c r="L493" s="202">
        <v>106</v>
      </c>
      <c r="M493" s="202">
        <v>4</v>
      </c>
      <c r="N493" s="202">
        <v>10</v>
      </c>
      <c r="O493" s="202">
        <v>53</v>
      </c>
      <c r="P493" s="202">
        <v>4</v>
      </c>
      <c r="Q493" s="202">
        <v>1</v>
      </c>
      <c r="R493" s="202">
        <v>12</v>
      </c>
      <c r="S493" s="202">
        <v>2</v>
      </c>
    </row>
    <row r="494" spans="1:19" x14ac:dyDescent="0.35">
      <c r="A494" s="202">
        <v>37</v>
      </c>
      <c r="B494" s="202">
        <v>25</v>
      </c>
      <c r="C494" s="202">
        <v>2</v>
      </c>
      <c r="D494" s="202">
        <v>11</v>
      </c>
      <c r="E494" s="202">
        <v>52</v>
      </c>
      <c r="F494" s="202">
        <v>3</v>
      </c>
      <c r="G494" s="202">
        <v>14</v>
      </c>
      <c r="H494" s="202">
        <v>79</v>
      </c>
      <c r="I494" s="202">
        <v>2</v>
      </c>
      <c r="K494" s="202">
        <v>73</v>
      </c>
      <c r="L494" s="202">
        <v>68</v>
      </c>
      <c r="M494" s="202">
        <v>2</v>
      </c>
      <c r="N494" s="202">
        <v>18</v>
      </c>
      <c r="O494" s="202">
        <v>25</v>
      </c>
      <c r="P494" s="202">
        <v>3</v>
      </c>
      <c r="Q494" s="202">
        <v>2</v>
      </c>
      <c r="R494" s="202">
        <v>12</v>
      </c>
      <c r="S494" s="202">
        <v>2</v>
      </c>
    </row>
    <row r="495" spans="1:19" x14ac:dyDescent="0.35">
      <c r="A495" s="202">
        <v>37</v>
      </c>
      <c r="B495" s="202">
        <v>24</v>
      </c>
      <c r="C495" s="202">
        <v>2</v>
      </c>
      <c r="D495" s="202">
        <v>5</v>
      </c>
      <c r="E495" s="202">
        <v>48</v>
      </c>
      <c r="F495" s="202">
        <v>1</v>
      </c>
      <c r="G495" s="202">
        <v>21</v>
      </c>
      <c r="H495" s="202">
        <v>7</v>
      </c>
      <c r="I495" s="202">
        <v>2</v>
      </c>
      <c r="K495" s="202">
        <v>31</v>
      </c>
      <c r="L495" s="202">
        <v>11</v>
      </c>
      <c r="M495" s="202">
        <v>4</v>
      </c>
      <c r="N495" s="202">
        <v>15</v>
      </c>
      <c r="O495" s="202">
        <v>50</v>
      </c>
      <c r="P495" s="202">
        <v>1</v>
      </c>
      <c r="Q495" s="202">
        <v>20</v>
      </c>
      <c r="R495" s="202">
        <v>28</v>
      </c>
      <c r="S495" s="202">
        <v>1</v>
      </c>
    </row>
    <row r="496" spans="1:19" x14ac:dyDescent="0.35">
      <c r="A496" s="202">
        <v>37</v>
      </c>
      <c r="B496" s="202">
        <v>24</v>
      </c>
      <c r="C496" s="202">
        <v>2</v>
      </c>
      <c r="D496" s="202">
        <v>5</v>
      </c>
      <c r="E496" s="202">
        <v>48</v>
      </c>
      <c r="F496" s="202">
        <v>2</v>
      </c>
      <c r="G496" s="202">
        <v>17</v>
      </c>
      <c r="H496" s="202">
        <v>7</v>
      </c>
      <c r="I496" s="202">
        <v>2</v>
      </c>
      <c r="K496" s="202">
        <v>8</v>
      </c>
      <c r="L496" s="202">
        <v>87</v>
      </c>
      <c r="M496" s="202">
        <v>4</v>
      </c>
      <c r="N496" s="202">
        <v>15</v>
      </c>
      <c r="O496" s="202">
        <v>48</v>
      </c>
      <c r="P496" s="202">
        <v>1</v>
      </c>
      <c r="Q496" s="202">
        <v>25</v>
      </c>
      <c r="R496" s="202">
        <v>22</v>
      </c>
      <c r="S496" s="202">
        <v>1</v>
      </c>
    </row>
    <row r="497" spans="1:19" x14ac:dyDescent="0.35">
      <c r="A497" s="202">
        <v>37</v>
      </c>
      <c r="B497" s="202">
        <v>25</v>
      </c>
      <c r="C497" s="202">
        <v>2</v>
      </c>
      <c r="D497" s="202">
        <v>7</v>
      </c>
      <c r="E497" s="202">
        <v>48</v>
      </c>
      <c r="F497" s="202">
        <v>3</v>
      </c>
      <c r="G497" s="202">
        <v>2</v>
      </c>
      <c r="H497" s="202">
        <v>72</v>
      </c>
      <c r="I497" s="202">
        <v>1</v>
      </c>
      <c r="K497" s="202">
        <v>57</v>
      </c>
      <c r="L497" s="202">
        <v>11</v>
      </c>
      <c r="M497" s="202">
        <v>2</v>
      </c>
      <c r="N497" s="202">
        <v>8</v>
      </c>
      <c r="O497" s="202">
        <v>49</v>
      </c>
      <c r="P497" s="202">
        <v>2</v>
      </c>
      <c r="Q497" s="202">
        <v>22</v>
      </c>
      <c r="R497" s="202">
        <v>28</v>
      </c>
      <c r="S497" s="202">
        <v>1</v>
      </c>
    </row>
    <row r="498" spans="1:19" x14ac:dyDescent="0.35">
      <c r="A498" s="202">
        <v>37</v>
      </c>
      <c r="B498" s="202">
        <v>25</v>
      </c>
      <c r="C498" s="202">
        <v>2</v>
      </c>
      <c r="D498" s="202">
        <v>7</v>
      </c>
      <c r="E498" s="202">
        <v>48</v>
      </c>
      <c r="F498" s="202">
        <v>5</v>
      </c>
      <c r="G498" s="202">
        <v>2</v>
      </c>
      <c r="H498" s="202">
        <v>73</v>
      </c>
      <c r="I498" s="202">
        <v>1</v>
      </c>
      <c r="K498" s="202">
        <v>38</v>
      </c>
      <c r="L498" s="202">
        <v>25</v>
      </c>
      <c r="M498" s="202">
        <v>2</v>
      </c>
      <c r="N498" s="202">
        <v>17</v>
      </c>
      <c r="O498" s="202">
        <v>1</v>
      </c>
      <c r="P498" s="202">
        <v>5</v>
      </c>
      <c r="Q498" s="202">
        <v>2</v>
      </c>
      <c r="R498" s="202">
        <v>74</v>
      </c>
      <c r="S498" s="202">
        <v>2</v>
      </c>
    </row>
    <row r="499" spans="1:19" x14ac:dyDescent="0.35">
      <c r="A499" s="202">
        <v>37</v>
      </c>
      <c r="B499" s="202">
        <v>24</v>
      </c>
      <c r="C499" s="202">
        <v>2</v>
      </c>
      <c r="D499" s="202">
        <v>7</v>
      </c>
      <c r="E499" s="202">
        <v>49</v>
      </c>
      <c r="F499" s="202">
        <v>3</v>
      </c>
      <c r="G499" s="202">
        <v>23</v>
      </c>
      <c r="H499" s="202">
        <v>7</v>
      </c>
      <c r="I499" s="202">
        <v>1</v>
      </c>
      <c r="K499" s="202">
        <v>37</v>
      </c>
      <c r="L499" s="202">
        <v>63</v>
      </c>
      <c r="M499" s="202">
        <v>4</v>
      </c>
      <c r="N499" s="202">
        <v>10</v>
      </c>
      <c r="O499" s="202">
        <v>48</v>
      </c>
      <c r="P499" s="202">
        <v>3</v>
      </c>
      <c r="Q499" s="202">
        <v>23</v>
      </c>
      <c r="R499" s="202">
        <v>10</v>
      </c>
      <c r="S499" s="202">
        <v>1</v>
      </c>
    </row>
    <row r="500" spans="1:19" x14ac:dyDescent="0.35">
      <c r="A500" s="202">
        <v>37</v>
      </c>
      <c r="B500" s="202">
        <v>24</v>
      </c>
      <c r="C500" s="202">
        <v>2</v>
      </c>
      <c r="D500" s="202">
        <v>7</v>
      </c>
      <c r="E500" s="202">
        <v>49</v>
      </c>
      <c r="F500" s="202">
        <v>5</v>
      </c>
      <c r="G500" s="202">
        <v>23</v>
      </c>
      <c r="H500" s="202">
        <v>7</v>
      </c>
      <c r="I500" s="202">
        <v>1</v>
      </c>
      <c r="K500" s="202">
        <v>33</v>
      </c>
      <c r="L500" s="202">
        <v>16</v>
      </c>
      <c r="M500" s="202">
        <v>4</v>
      </c>
      <c r="N500" s="202">
        <v>11</v>
      </c>
      <c r="O500" s="202">
        <v>9</v>
      </c>
      <c r="P500" s="202">
        <v>4</v>
      </c>
      <c r="Q500" s="202">
        <v>5</v>
      </c>
      <c r="R500" s="202">
        <v>24</v>
      </c>
      <c r="S500" s="202">
        <v>2</v>
      </c>
    </row>
    <row r="501" spans="1:19" x14ac:dyDescent="0.35">
      <c r="A501" s="202">
        <v>37</v>
      </c>
      <c r="B501" s="202">
        <v>24</v>
      </c>
      <c r="C501" s="202">
        <v>2</v>
      </c>
      <c r="D501" s="202">
        <v>13</v>
      </c>
      <c r="E501" s="202">
        <v>53</v>
      </c>
      <c r="F501" s="202">
        <v>2</v>
      </c>
      <c r="G501" s="202">
        <v>23</v>
      </c>
      <c r="H501" s="202">
        <v>86</v>
      </c>
      <c r="I501" s="202">
        <v>1</v>
      </c>
      <c r="K501" s="202">
        <v>35</v>
      </c>
      <c r="L501" s="202">
        <v>17</v>
      </c>
      <c r="M501" s="202">
        <v>4</v>
      </c>
      <c r="N501" s="202">
        <v>18</v>
      </c>
      <c r="O501" s="202">
        <v>27</v>
      </c>
      <c r="P501" s="202">
        <v>1</v>
      </c>
      <c r="Q501" s="202">
        <v>25</v>
      </c>
      <c r="R501" s="202">
        <v>22</v>
      </c>
      <c r="S501" s="202">
        <v>2</v>
      </c>
    </row>
    <row r="502" spans="1:19" x14ac:dyDescent="0.35">
      <c r="A502" s="202">
        <v>37</v>
      </c>
      <c r="B502" s="202">
        <v>24</v>
      </c>
      <c r="C502" s="202">
        <v>2</v>
      </c>
      <c r="D502" s="202">
        <v>13</v>
      </c>
      <c r="E502" s="202">
        <v>53</v>
      </c>
      <c r="F502" s="202">
        <v>4</v>
      </c>
      <c r="G502" s="202">
        <v>23</v>
      </c>
      <c r="H502" s="202">
        <v>87</v>
      </c>
      <c r="I502" s="202">
        <v>1</v>
      </c>
      <c r="K502" s="202">
        <v>7</v>
      </c>
      <c r="L502" s="202">
        <v>24</v>
      </c>
      <c r="M502" s="202">
        <v>4</v>
      </c>
      <c r="N502" s="202">
        <v>18</v>
      </c>
      <c r="O502" s="202">
        <v>25</v>
      </c>
      <c r="P502" s="202">
        <v>4</v>
      </c>
      <c r="Q502" s="202">
        <v>2</v>
      </c>
      <c r="R502" s="202">
        <v>47</v>
      </c>
      <c r="S502" s="202">
        <v>1</v>
      </c>
    </row>
    <row r="503" spans="1:19" x14ac:dyDescent="0.35">
      <c r="A503" s="202">
        <v>38</v>
      </c>
      <c r="B503" s="202">
        <v>53</v>
      </c>
      <c r="C503" s="202">
        <v>4</v>
      </c>
      <c r="D503" s="202">
        <v>15</v>
      </c>
      <c r="E503" s="202">
        <v>43</v>
      </c>
      <c r="F503" s="202">
        <v>2</v>
      </c>
      <c r="G503" s="202">
        <v>8</v>
      </c>
      <c r="H503" s="202">
        <v>48</v>
      </c>
      <c r="I503" s="202">
        <v>1</v>
      </c>
      <c r="K503" s="202">
        <v>52</v>
      </c>
      <c r="L503" s="202">
        <v>33</v>
      </c>
      <c r="M503" s="202">
        <v>3</v>
      </c>
      <c r="N503" s="202">
        <v>16</v>
      </c>
      <c r="O503" s="202">
        <v>51</v>
      </c>
      <c r="P503" s="202">
        <v>1</v>
      </c>
      <c r="Q503" s="202">
        <v>23</v>
      </c>
      <c r="R503" s="202">
        <v>29</v>
      </c>
      <c r="S503" s="202">
        <v>1</v>
      </c>
    </row>
    <row r="504" spans="1:19" x14ac:dyDescent="0.35">
      <c r="A504" s="202">
        <v>38</v>
      </c>
      <c r="B504" s="202">
        <v>53</v>
      </c>
      <c r="C504" s="202">
        <v>4</v>
      </c>
      <c r="D504" s="202">
        <v>15</v>
      </c>
      <c r="E504" s="202">
        <v>43</v>
      </c>
      <c r="F504" s="202">
        <v>5</v>
      </c>
      <c r="G504" s="202">
        <v>8</v>
      </c>
      <c r="H504" s="202">
        <v>48</v>
      </c>
      <c r="I504" s="202">
        <v>1</v>
      </c>
      <c r="K504" s="202">
        <v>51</v>
      </c>
      <c r="L504" s="202">
        <v>53</v>
      </c>
      <c r="M504" s="202">
        <v>2</v>
      </c>
      <c r="N504" s="202">
        <v>18</v>
      </c>
      <c r="O504" s="202">
        <v>28</v>
      </c>
      <c r="P504" s="202">
        <v>2</v>
      </c>
      <c r="Q504" s="202">
        <v>11</v>
      </c>
      <c r="R504" s="202">
        <v>75</v>
      </c>
      <c r="S504" s="202">
        <v>1</v>
      </c>
    </row>
    <row r="505" spans="1:19" x14ac:dyDescent="0.35">
      <c r="A505" s="202">
        <v>38</v>
      </c>
      <c r="B505" s="202">
        <v>53</v>
      </c>
      <c r="C505" s="202">
        <v>4</v>
      </c>
      <c r="D505" s="202">
        <v>15</v>
      </c>
      <c r="E505" s="202">
        <v>44</v>
      </c>
      <c r="F505" s="202">
        <v>2</v>
      </c>
      <c r="G505" s="202">
        <v>18</v>
      </c>
      <c r="H505" s="202">
        <v>35</v>
      </c>
      <c r="I505" s="202">
        <v>1</v>
      </c>
      <c r="K505" s="202">
        <v>5</v>
      </c>
      <c r="L505" s="202">
        <v>42</v>
      </c>
      <c r="M505" s="202">
        <v>3</v>
      </c>
      <c r="N505" s="202">
        <v>8</v>
      </c>
      <c r="O505" s="202">
        <v>3</v>
      </c>
      <c r="P505" s="202">
        <v>2</v>
      </c>
      <c r="Q505" s="202">
        <v>25</v>
      </c>
      <c r="R505" s="202">
        <v>33</v>
      </c>
      <c r="S505" s="202">
        <v>2</v>
      </c>
    </row>
    <row r="506" spans="1:19" x14ac:dyDescent="0.35">
      <c r="A506" s="202">
        <v>38</v>
      </c>
      <c r="B506" s="202">
        <v>53</v>
      </c>
      <c r="C506" s="202">
        <v>4</v>
      </c>
      <c r="D506" s="202">
        <v>15</v>
      </c>
      <c r="E506" s="202">
        <v>44</v>
      </c>
      <c r="F506" s="202">
        <v>5</v>
      </c>
      <c r="G506" s="202">
        <v>20</v>
      </c>
      <c r="H506" s="202">
        <v>103</v>
      </c>
      <c r="I506" s="202">
        <v>1</v>
      </c>
      <c r="K506" s="202">
        <v>63</v>
      </c>
      <c r="L506" s="202">
        <v>43</v>
      </c>
      <c r="M506" s="202">
        <v>3</v>
      </c>
      <c r="N506" s="202">
        <v>15</v>
      </c>
      <c r="O506" s="202">
        <v>27</v>
      </c>
      <c r="P506" s="202">
        <v>3</v>
      </c>
      <c r="Q506" s="202">
        <v>2</v>
      </c>
      <c r="R506" s="202">
        <v>7</v>
      </c>
      <c r="S506" s="202">
        <v>1</v>
      </c>
    </row>
    <row r="507" spans="1:19" x14ac:dyDescent="0.35">
      <c r="A507" s="202">
        <v>38</v>
      </c>
      <c r="B507" s="202">
        <v>44</v>
      </c>
      <c r="C507" s="202">
        <v>4</v>
      </c>
      <c r="D507" s="202">
        <v>15</v>
      </c>
      <c r="E507" s="202">
        <v>28</v>
      </c>
      <c r="F507" s="202">
        <v>2</v>
      </c>
      <c r="G507" s="202">
        <v>2</v>
      </c>
      <c r="H507" s="202">
        <v>24</v>
      </c>
      <c r="I507" s="202">
        <v>2</v>
      </c>
      <c r="K507" s="202">
        <v>47</v>
      </c>
      <c r="L507" s="202">
        <v>48</v>
      </c>
      <c r="M507" s="202">
        <v>3</v>
      </c>
      <c r="N507" s="202">
        <v>16</v>
      </c>
      <c r="O507" s="202">
        <v>53</v>
      </c>
      <c r="P507" s="202">
        <v>2</v>
      </c>
      <c r="Q507" s="202">
        <v>25</v>
      </c>
      <c r="R507" s="202">
        <v>33</v>
      </c>
      <c r="S507" s="202">
        <v>1</v>
      </c>
    </row>
    <row r="508" spans="1:19" x14ac:dyDescent="0.35">
      <c r="A508" s="202">
        <v>38</v>
      </c>
      <c r="B508" s="202">
        <v>44</v>
      </c>
      <c r="C508" s="202">
        <v>4</v>
      </c>
      <c r="D508" s="202">
        <v>15</v>
      </c>
      <c r="E508" s="202">
        <v>28</v>
      </c>
      <c r="F508" s="202">
        <v>5</v>
      </c>
      <c r="G508" s="202">
        <v>8</v>
      </c>
      <c r="H508" s="202">
        <v>46</v>
      </c>
      <c r="I508" s="202">
        <v>2</v>
      </c>
      <c r="K508" s="202">
        <v>74</v>
      </c>
      <c r="L508" s="202">
        <v>17</v>
      </c>
      <c r="M508" s="202">
        <v>2</v>
      </c>
      <c r="N508" s="202">
        <v>10</v>
      </c>
      <c r="O508" s="202">
        <v>17</v>
      </c>
      <c r="P508" s="202">
        <v>2</v>
      </c>
      <c r="Q508" s="202">
        <v>2</v>
      </c>
      <c r="R508" s="202">
        <v>96</v>
      </c>
      <c r="S508" s="202">
        <v>1</v>
      </c>
    </row>
    <row r="509" spans="1:19" x14ac:dyDescent="0.35">
      <c r="A509" s="202">
        <v>38</v>
      </c>
      <c r="B509" s="202">
        <v>33</v>
      </c>
      <c r="C509" s="202">
        <v>3</v>
      </c>
      <c r="D509" s="202">
        <v>15</v>
      </c>
      <c r="E509" s="202">
        <v>36</v>
      </c>
      <c r="F509" s="202">
        <v>2</v>
      </c>
      <c r="G509" s="202">
        <v>10</v>
      </c>
      <c r="H509" s="202">
        <v>44</v>
      </c>
      <c r="I509" s="202">
        <v>2</v>
      </c>
      <c r="K509" s="202">
        <v>38</v>
      </c>
      <c r="L509" s="202">
        <v>48</v>
      </c>
      <c r="M509" s="202">
        <v>4</v>
      </c>
      <c r="N509" s="202">
        <v>10</v>
      </c>
      <c r="O509" s="202">
        <v>43</v>
      </c>
      <c r="P509" s="202">
        <v>1</v>
      </c>
      <c r="Q509" s="202">
        <v>19</v>
      </c>
      <c r="R509" s="202">
        <v>19</v>
      </c>
      <c r="S509" s="202">
        <v>1</v>
      </c>
    </row>
    <row r="510" spans="1:19" x14ac:dyDescent="0.35">
      <c r="A510" s="202">
        <v>38</v>
      </c>
      <c r="B510" s="202">
        <v>33</v>
      </c>
      <c r="C510" s="202">
        <v>3</v>
      </c>
      <c r="D510" s="202">
        <v>15</v>
      </c>
      <c r="E510" s="202">
        <v>36</v>
      </c>
      <c r="F510" s="202">
        <v>4</v>
      </c>
      <c r="G510" s="202">
        <v>1</v>
      </c>
      <c r="H510" s="202">
        <v>44</v>
      </c>
      <c r="I510" s="202">
        <v>2</v>
      </c>
      <c r="K510" s="202">
        <v>83</v>
      </c>
      <c r="L510" s="202">
        <v>73</v>
      </c>
      <c r="M510" s="202">
        <v>3</v>
      </c>
      <c r="N510" s="202">
        <v>15</v>
      </c>
      <c r="O510" s="202">
        <v>42</v>
      </c>
      <c r="P510" s="202">
        <v>1</v>
      </c>
      <c r="Q510" s="202">
        <v>4</v>
      </c>
      <c r="R510" s="202">
        <v>44</v>
      </c>
      <c r="S510" s="202">
        <v>1</v>
      </c>
    </row>
    <row r="511" spans="1:19" x14ac:dyDescent="0.35">
      <c r="A511" s="202">
        <v>38</v>
      </c>
      <c r="B511" s="202">
        <v>71</v>
      </c>
      <c r="C511" s="202">
        <v>1</v>
      </c>
      <c r="D511" s="202">
        <v>16</v>
      </c>
      <c r="E511" s="202">
        <v>48</v>
      </c>
      <c r="F511" s="202">
        <v>1</v>
      </c>
      <c r="G511" s="202">
        <v>1</v>
      </c>
      <c r="H511" s="202">
        <v>37</v>
      </c>
      <c r="I511" s="202">
        <v>1</v>
      </c>
      <c r="K511" s="202">
        <v>31</v>
      </c>
      <c r="L511" s="202">
        <v>65</v>
      </c>
      <c r="M511" s="202">
        <v>4</v>
      </c>
      <c r="N511" s="202">
        <v>15</v>
      </c>
      <c r="O511" s="202">
        <v>1</v>
      </c>
      <c r="P511" s="202">
        <v>1</v>
      </c>
      <c r="Q511" s="202">
        <v>1</v>
      </c>
      <c r="R511" s="202">
        <v>21</v>
      </c>
      <c r="S511" s="202">
        <v>1</v>
      </c>
    </row>
    <row r="512" spans="1:19" x14ac:dyDescent="0.35">
      <c r="A512" s="202">
        <v>38</v>
      </c>
      <c r="B512" s="202">
        <v>71</v>
      </c>
      <c r="C512" s="202">
        <v>1</v>
      </c>
      <c r="D512" s="202">
        <v>16</v>
      </c>
      <c r="E512" s="202">
        <v>48</v>
      </c>
      <c r="F512" s="202">
        <v>2</v>
      </c>
      <c r="G512" s="202">
        <v>1</v>
      </c>
      <c r="H512" s="202">
        <v>37</v>
      </c>
      <c r="I512" s="202">
        <v>1</v>
      </c>
      <c r="K512" s="202">
        <v>49</v>
      </c>
      <c r="L512" s="202">
        <v>1</v>
      </c>
      <c r="M512" s="202">
        <v>4</v>
      </c>
      <c r="N512" s="202">
        <v>15</v>
      </c>
      <c r="O512" s="202">
        <v>46</v>
      </c>
      <c r="P512" s="202">
        <v>4</v>
      </c>
      <c r="Q512" s="202">
        <v>1</v>
      </c>
      <c r="R512" s="202">
        <v>34</v>
      </c>
      <c r="S512" s="202">
        <v>2</v>
      </c>
    </row>
    <row r="513" spans="1:19" x14ac:dyDescent="0.35">
      <c r="A513" s="202">
        <v>38</v>
      </c>
      <c r="B513" s="202">
        <v>28</v>
      </c>
      <c r="C513" s="202">
        <v>1</v>
      </c>
      <c r="D513" s="202">
        <v>16</v>
      </c>
      <c r="E513" s="202">
        <v>48</v>
      </c>
      <c r="F513" s="202">
        <v>1</v>
      </c>
      <c r="G513" s="202">
        <v>20</v>
      </c>
      <c r="H513" s="202">
        <v>37</v>
      </c>
      <c r="I513" s="202">
        <v>2</v>
      </c>
      <c r="K513" s="202">
        <v>78</v>
      </c>
      <c r="L513" s="202">
        <v>25</v>
      </c>
      <c r="M513" s="202">
        <v>2</v>
      </c>
      <c r="N513" s="202">
        <v>15</v>
      </c>
      <c r="O513" s="202">
        <v>48</v>
      </c>
      <c r="P513" s="202">
        <v>2</v>
      </c>
      <c r="Q513" s="202">
        <v>2</v>
      </c>
      <c r="R513" s="202">
        <v>7</v>
      </c>
      <c r="S513" s="202">
        <v>1</v>
      </c>
    </row>
    <row r="514" spans="1:19" x14ac:dyDescent="0.35">
      <c r="A514" s="202">
        <v>38</v>
      </c>
      <c r="B514" s="202">
        <v>28</v>
      </c>
      <c r="C514" s="202">
        <v>1</v>
      </c>
      <c r="D514" s="202">
        <v>16</v>
      </c>
      <c r="E514" s="202">
        <v>48</v>
      </c>
      <c r="F514" s="202">
        <v>2</v>
      </c>
      <c r="G514" s="202">
        <v>20</v>
      </c>
      <c r="H514" s="202">
        <v>37</v>
      </c>
      <c r="I514" s="202">
        <v>2</v>
      </c>
      <c r="K514" s="202">
        <v>82</v>
      </c>
      <c r="L514" s="202">
        <v>109</v>
      </c>
      <c r="M514" s="202">
        <v>4</v>
      </c>
      <c r="N514" s="202">
        <v>17</v>
      </c>
      <c r="O514" s="202">
        <v>28</v>
      </c>
      <c r="P514" s="202">
        <v>4</v>
      </c>
      <c r="Q514" s="202">
        <v>14</v>
      </c>
      <c r="R514" s="202">
        <v>52</v>
      </c>
      <c r="S514" s="202">
        <v>2</v>
      </c>
    </row>
    <row r="515" spans="1:19" x14ac:dyDescent="0.35">
      <c r="A515" s="202">
        <v>38</v>
      </c>
      <c r="B515" s="202">
        <v>79</v>
      </c>
      <c r="C515" s="202">
        <v>2</v>
      </c>
      <c r="D515" s="202">
        <v>17</v>
      </c>
      <c r="E515" s="202">
        <v>43</v>
      </c>
      <c r="F515" s="202">
        <v>2</v>
      </c>
      <c r="G515" s="202">
        <v>11</v>
      </c>
      <c r="H515" s="202">
        <v>34</v>
      </c>
      <c r="I515" s="202">
        <v>2</v>
      </c>
      <c r="K515" s="202">
        <v>57</v>
      </c>
      <c r="L515" s="202">
        <v>24</v>
      </c>
      <c r="M515" s="202">
        <v>2</v>
      </c>
      <c r="N515" s="202">
        <v>11</v>
      </c>
      <c r="O515" s="202">
        <v>48</v>
      </c>
      <c r="P515" s="202">
        <v>4</v>
      </c>
      <c r="Q515" s="202">
        <v>10</v>
      </c>
      <c r="R515" s="202">
        <v>4</v>
      </c>
      <c r="S515" s="202">
        <v>2</v>
      </c>
    </row>
    <row r="516" spans="1:19" x14ac:dyDescent="0.35">
      <c r="A516" s="202">
        <v>38</v>
      </c>
      <c r="B516" s="202">
        <v>79</v>
      </c>
      <c r="C516" s="202">
        <v>2</v>
      </c>
      <c r="D516" s="202">
        <v>17</v>
      </c>
      <c r="E516" s="202">
        <v>43</v>
      </c>
      <c r="F516" s="202">
        <v>4</v>
      </c>
      <c r="G516" s="202">
        <v>11</v>
      </c>
      <c r="H516" s="202">
        <v>34</v>
      </c>
      <c r="I516" s="202">
        <v>2</v>
      </c>
      <c r="K516" s="202">
        <v>41</v>
      </c>
      <c r="L516" s="202">
        <v>25</v>
      </c>
      <c r="M516" s="202">
        <v>3</v>
      </c>
      <c r="N516" s="202">
        <v>18</v>
      </c>
      <c r="O516" s="202">
        <v>28</v>
      </c>
      <c r="P516" s="202">
        <v>2</v>
      </c>
      <c r="Q516" s="202">
        <v>20</v>
      </c>
      <c r="R516" s="202">
        <v>38</v>
      </c>
      <c r="S516" s="202">
        <v>1</v>
      </c>
    </row>
    <row r="517" spans="1:19" x14ac:dyDescent="0.35">
      <c r="A517" s="202">
        <v>38</v>
      </c>
      <c r="B517" s="202">
        <v>68</v>
      </c>
      <c r="C517" s="202">
        <v>2</v>
      </c>
      <c r="D517" s="202">
        <v>17</v>
      </c>
      <c r="E517" s="202">
        <v>43</v>
      </c>
      <c r="F517" s="202">
        <v>2</v>
      </c>
      <c r="G517" s="202">
        <v>20</v>
      </c>
      <c r="H517" s="202">
        <v>34</v>
      </c>
      <c r="I517" s="202">
        <v>2</v>
      </c>
      <c r="K517" s="202">
        <v>23</v>
      </c>
      <c r="L517" s="202">
        <v>25</v>
      </c>
      <c r="M517" s="202">
        <v>4</v>
      </c>
      <c r="N517" s="202">
        <v>11</v>
      </c>
      <c r="O517" s="202">
        <v>33</v>
      </c>
      <c r="P517" s="202">
        <v>2</v>
      </c>
      <c r="Q517" s="202">
        <v>11</v>
      </c>
      <c r="R517" s="202">
        <v>24</v>
      </c>
      <c r="S517" s="202">
        <v>2</v>
      </c>
    </row>
    <row r="518" spans="1:19" x14ac:dyDescent="0.35">
      <c r="A518" s="202">
        <v>38</v>
      </c>
      <c r="B518" s="202">
        <v>68</v>
      </c>
      <c r="C518" s="202">
        <v>2</v>
      </c>
      <c r="D518" s="202">
        <v>17</v>
      </c>
      <c r="E518" s="202">
        <v>43</v>
      </c>
      <c r="F518" s="202">
        <v>4</v>
      </c>
      <c r="G518" s="202">
        <v>20</v>
      </c>
      <c r="H518" s="202">
        <v>34</v>
      </c>
      <c r="I518" s="202">
        <v>2</v>
      </c>
      <c r="K518" s="202">
        <v>74</v>
      </c>
      <c r="L518" s="202">
        <v>57</v>
      </c>
      <c r="M518" s="202">
        <v>2</v>
      </c>
      <c r="N518" s="202">
        <v>10</v>
      </c>
      <c r="O518" s="202">
        <v>48</v>
      </c>
      <c r="P518" s="202">
        <v>2</v>
      </c>
      <c r="Q518" s="202">
        <v>24</v>
      </c>
      <c r="R518" s="202">
        <v>62</v>
      </c>
      <c r="S518" s="202">
        <v>1</v>
      </c>
    </row>
    <row r="519" spans="1:19" x14ac:dyDescent="0.35">
      <c r="A519" s="202">
        <v>38</v>
      </c>
      <c r="B519" s="202">
        <v>71</v>
      </c>
      <c r="C519" s="202">
        <v>2</v>
      </c>
      <c r="D519" s="202">
        <v>17</v>
      </c>
      <c r="E519" s="202">
        <v>48</v>
      </c>
      <c r="F519" s="202">
        <v>1</v>
      </c>
      <c r="G519" s="202">
        <v>11</v>
      </c>
      <c r="H519" s="202">
        <v>5</v>
      </c>
      <c r="I519" s="202">
        <v>1</v>
      </c>
      <c r="K519" s="202">
        <v>52</v>
      </c>
      <c r="L519" s="202">
        <v>65</v>
      </c>
      <c r="M519" s="202">
        <v>4</v>
      </c>
      <c r="N519" s="202">
        <v>8</v>
      </c>
      <c r="O519" s="202">
        <v>49</v>
      </c>
      <c r="P519" s="202">
        <v>4</v>
      </c>
      <c r="Q519" s="202">
        <v>7</v>
      </c>
      <c r="R519" s="202">
        <v>10</v>
      </c>
      <c r="S519" s="202">
        <v>1</v>
      </c>
    </row>
    <row r="520" spans="1:19" x14ac:dyDescent="0.35">
      <c r="A520" s="202">
        <v>38</v>
      </c>
      <c r="B520" s="202">
        <v>71</v>
      </c>
      <c r="C520" s="202">
        <v>2</v>
      </c>
      <c r="D520" s="202">
        <v>17</v>
      </c>
      <c r="E520" s="202">
        <v>48</v>
      </c>
      <c r="F520" s="202">
        <v>4</v>
      </c>
      <c r="G520" s="202">
        <v>11</v>
      </c>
      <c r="H520" s="202">
        <v>5</v>
      </c>
      <c r="I520" s="202">
        <v>1</v>
      </c>
      <c r="K520" s="202">
        <v>69</v>
      </c>
      <c r="L520" s="202">
        <v>78</v>
      </c>
      <c r="M520" s="202">
        <v>4</v>
      </c>
      <c r="N520" s="202">
        <v>18</v>
      </c>
      <c r="O520" s="202">
        <v>48</v>
      </c>
      <c r="P520" s="202">
        <v>5</v>
      </c>
      <c r="Q520" s="202">
        <v>17</v>
      </c>
      <c r="R520" s="202">
        <v>38</v>
      </c>
      <c r="S520" s="202">
        <v>1</v>
      </c>
    </row>
    <row r="521" spans="1:19" x14ac:dyDescent="0.35">
      <c r="A521" s="202">
        <v>38</v>
      </c>
      <c r="B521" s="202">
        <v>46</v>
      </c>
      <c r="C521" s="202">
        <v>4</v>
      </c>
      <c r="D521" s="202">
        <v>17</v>
      </c>
      <c r="E521" s="202">
        <v>15</v>
      </c>
      <c r="F521" s="202">
        <v>5</v>
      </c>
      <c r="G521" s="202">
        <v>25</v>
      </c>
      <c r="H521" s="202">
        <v>41</v>
      </c>
      <c r="I521" s="202">
        <v>3</v>
      </c>
      <c r="K521" s="202">
        <v>71</v>
      </c>
      <c r="L521" s="202">
        <v>20</v>
      </c>
      <c r="M521" s="202">
        <v>4</v>
      </c>
      <c r="N521" s="202">
        <v>15</v>
      </c>
      <c r="O521" s="202">
        <v>48</v>
      </c>
      <c r="P521" s="202">
        <v>2</v>
      </c>
      <c r="Q521" s="202">
        <v>14</v>
      </c>
      <c r="R521" s="202">
        <v>28</v>
      </c>
      <c r="S521" s="202">
        <v>1</v>
      </c>
    </row>
    <row r="522" spans="1:19" x14ac:dyDescent="0.35">
      <c r="A522" s="202">
        <v>39</v>
      </c>
      <c r="B522" s="202">
        <v>89</v>
      </c>
      <c r="C522" s="202">
        <v>3</v>
      </c>
      <c r="D522" s="202">
        <v>15</v>
      </c>
      <c r="E522" s="202">
        <v>45</v>
      </c>
      <c r="F522" s="202">
        <v>1</v>
      </c>
      <c r="G522" s="202">
        <v>10</v>
      </c>
      <c r="H522" s="202">
        <v>38</v>
      </c>
      <c r="I522" s="202">
        <v>1</v>
      </c>
      <c r="K522" s="202">
        <v>20</v>
      </c>
      <c r="L522" s="202">
        <v>17</v>
      </c>
      <c r="M522" s="202">
        <v>2</v>
      </c>
      <c r="N522" s="202">
        <v>15</v>
      </c>
      <c r="O522" s="202">
        <v>43</v>
      </c>
      <c r="P522" s="202">
        <v>4</v>
      </c>
      <c r="Q522" s="202">
        <v>23</v>
      </c>
      <c r="R522" s="202">
        <v>49</v>
      </c>
      <c r="S522" s="202">
        <v>1</v>
      </c>
    </row>
    <row r="523" spans="1:19" x14ac:dyDescent="0.35">
      <c r="A523" s="202">
        <v>39</v>
      </c>
      <c r="B523" s="202">
        <v>89</v>
      </c>
      <c r="C523" s="202">
        <v>3</v>
      </c>
      <c r="D523" s="202">
        <v>15</v>
      </c>
      <c r="E523" s="202">
        <v>45</v>
      </c>
      <c r="F523" s="202">
        <v>5</v>
      </c>
      <c r="G523" s="202">
        <v>1</v>
      </c>
      <c r="H523" s="202">
        <v>35</v>
      </c>
      <c r="I523" s="202">
        <v>1</v>
      </c>
      <c r="K523" s="202">
        <v>16</v>
      </c>
      <c r="L523" s="202">
        <v>20</v>
      </c>
      <c r="M523" s="202">
        <v>4</v>
      </c>
      <c r="N523" s="202">
        <v>15</v>
      </c>
      <c r="O523" s="202">
        <v>26</v>
      </c>
      <c r="P523" s="202">
        <v>1</v>
      </c>
      <c r="Q523" s="202">
        <v>11</v>
      </c>
      <c r="R523" s="202">
        <v>2</v>
      </c>
      <c r="S523" s="202">
        <v>2</v>
      </c>
    </row>
    <row r="524" spans="1:19" x14ac:dyDescent="0.35">
      <c r="A524" s="202">
        <v>39</v>
      </c>
      <c r="B524" s="202">
        <v>89</v>
      </c>
      <c r="C524" s="202">
        <v>3</v>
      </c>
      <c r="D524" s="202">
        <v>15</v>
      </c>
      <c r="E524" s="202">
        <v>46</v>
      </c>
      <c r="F524" s="202">
        <v>1</v>
      </c>
      <c r="G524" s="202">
        <v>1</v>
      </c>
      <c r="H524" s="202">
        <v>30</v>
      </c>
      <c r="I524" s="202">
        <v>2</v>
      </c>
      <c r="K524" s="202">
        <v>82</v>
      </c>
      <c r="L524" s="202">
        <v>17</v>
      </c>
      <c r="M524" s="202">
        <v>4</v>
      </c>
      <c r="N524" s="202">
        <v>15</v>
      </c>
      <c r="O524" s="202">
        <v>26</v>
      </c>
      <c r="P524" s="202">
        <v>1</v>
      </c>
      <c r="Q524" s="202">
        <v>20</v>
      </c>
      <c r="R524" s="202">
        <v>7</v>
      </c>
      <c r="S524" s="202">
        <v>2</v>
      </c>
    </row>
    <row r="525" spans="1:19" x14ac:dyDescent="0.35">
      <c r="A525" s="202">
        <v>39</v>
      </c>
      <c r="B525" s="202">
        <v>89</v>
      </c>
      <c r="C525" s="202">
        <v>3</v>
      </c>
      <c r="D525" s="202">
        <v>15</v>
      </c>
      <c r="E525" s="202">
        <v>46</v>
      </c>
      <c r="F525" s="202">
        <v>5</v>
      </c>
      <c r="G525" s="202">
        <v>10</v>
      </c>
      <c r="H525" s="202">
        <v>51</v>
      </c>
      <c r="I525" s="202">
        <v>2</v>
      </c>
      <c r="K525" s="202">
        <v>40</v>
      </c>
      <c r="L525" s="202">
        <v>17</v>
      </c>
      <c r="M525" s="202">
        <v>1</v>
      </c>
      <c r="N525" s="202">
        <v>15</v>
      </c>
      <c r="O525" s="202">
        <v>49</v>
      </c>
      <c r="P525" s="202">
        <v>1</v>
      </c>
      <c r="Q525" s="202">
        <v>11</v>
      </c>
      <c r="R525" s="202">
        <v>71</v>
      </c>
      <c r="S525" s="202">
        <v>1</v>
      </c>
    </row>
    <row r="526" spans="1:19" x14ac:dyDescent="0.35">
      <c r="A526" s="202">
        <v>39</v>
      </c>
      <c r="B526" s="202">
        <v>25</v>
      </c>
      <c r="C526" s="202">
        <v>2</v>
      </c>
      <c r="D526" s="202">
        <v>5</v>
      </c>
      <c r="E526" s="202">
        <v>48</v>
      </c>
      <c r="F526" s="202">
        <v>1</v>
      </c>
      <c r="G526" s="202">
        <v>17</v>
      </c>
      <c r="H526" s="202">
        <v>16</v>
      </c>
      <c r="I526" s="202">
        <v>2</v>
      </c>
      <c r="K526" s="202">
        <v>59</v>
      </c>
      <c r="L526" s="202">
        <v>68</v>
      </c>
      <c r="M526" s="202">
        <v>2</v>
      </c>
      <c r="N526" s="202">
        <v>10</v>
      </c>
      <c r="O526" s="202">
        <v>27</v>
      </c>
      <c r="P526" s="202">
        <v>2</v>
      </c>
      <c r="Q526" s="202">
        <v>20</v>
      </c>
      <c r="R526" s="202">
        <v>24</v>
      </c>
      <c r="S526" s="202">
        <v>2</v>
      </c>
    </row>
    <row r="527" spans="1:19" x14ac:dyDescent="0.35">
      <c r="A527" s="202">
        <v>39</v>
      </c>
      <c r="B527" s="202">
        <v>25</v>
      </c>
      <c r="C527" s="202">
        <v>2</v>
      </c>
      <c r="D527" s="202">
        <v>5</v>
      </c>
      <c r="E527" s="202">
        <v>48</v>
      </c>
      <c r="F527" s="202">
        <v>2</v>
      </c>
      <c r="G527" s="202">
        <v>7</v>
      </c>
      <c r="H527" s="202">
        <v>95</v>
      </c>
      <c r="I527" s="202">
        <v>2</v>
      </c>
      <c r="K527" s="202">
        <v>68</v>
      </c>
      <c r="L527" s="202">
        <v>101</v>
      </c>
      <c r="M527" s="202">
        <v>2</v>
      </c>
      <c r="N527" s="202">
        <v>15</v>
      </c>
      <c r="O527" s="202">
        <v>49</v>
      </c>
      <c r="P527" s="202">
        <v>4</v>
      </c>
      <c r="Q527" s="202">
        <v>20</v>
      </c>
      <c r="R527" s="202">
        <v>8</v>
      </c>
      <c r="S527" s="202">
        <v>2</v>
      </c>
    </row>
    <row r="528" spans="1:19" x14ac:dyDescent="0.35">
      <c r="A528" s="202">
        <v>39</v>
      </c>
      <c r="B528" s="202">
        <v>24</v>
      </c>
      <c r="C528" s="202">
        <v>2</v>
      </c>
      <c r="D528" s="202">
        <v>7</v>
      </c>
      <c r="E528" s="202">
        <v>48</v>
      </c>
      <c r="F528" s="202">
        <v>3</v>
      </c>
      <c r="G528" s="202">
        <v>23</v>
      </c>
      <c r="H528" s="202">
        <v>7</v>
      </c>
      <c r="I528" s="202">
        <v>1</v>
      </c>
      <c r="K528" s="202">
        <v>73</v>
      </c>
      <c r="L528" s="202">
        <v>11</v>
      </c>
      <c r="M528" s="202">
        <v>2</v>
      </c>
      <c r="N528" s="202">
        <v>16</v>
      </c>
      <c r="O528" s="202">
        <v>42</v>
      </c>
      <c r="P528" s="202">
        <v>4</v>
      </c>
      <c r="Q528" s="202">
        <v>20</v>
      </c>
      <c r="R528" s="202">
        <v>21</v>
      </c>
      <c r="S528" s="202">
        <v>2</v>
      </c>
    </row>
    <row r="529" spans="1:19" x14ac:dyDescent="0.35">
      <c r="A529" s="202">
        <v>39</v>
      </c>
      <c r="B529" s="202">
        <v>24</v>
      </c>
      <c r="C529" s="202">
        <v>2</v>
      </c>
      <c r="D529" s="202">
        <v>7</v>
      </c>
      <c r="E529" s="202">
        <v>48</v>
      </c>
      <c r="F529" s="202">
        <v>5</v>
      </c>
      <c r="G529" s="202">
        <v>23</v>
      </c>
      <c r="H529" s="202">
        <v>7</v>
      </c>
      <c r="I529" s="202">
        <v>1</v>
      </c>
      <c r="K529" s="202">
        <v>43</v>
      </c>
      <c r="L529" s="202">
        <v>24</v>
      </c>
      <c r="M529" s="202">
        <v>2</v>
      </c>
      <c r="N529" s="202">
        <v>10</v>
      </c>
      <c r="O529" s="202">
        <v>42</v>
      </c>
      <c r="P529" s="202">
        <v>3</v>
      </c>
      <c r="Q529" s="202">
        <v>23</v>
      </c>
      <c r="R529" s="202">
        <v>48</v>
      </c>
      <c r="S529" s="202">
        <v>2</v>
      </c>
    </row>
    <row r="530" spans="1:19" x14ac:dyDescent="0.35">
      <c r="A530" s="202">
        <v>39</v>
      </c>
      <c r="B530" s="202">
        <v>25</v>
      </c>
      <c r="C530" s="202">
        <v>2</v>
      </c>
      <c r="D530" s="202">
        <v>7</v>
      </c>
      <c r="E530" s="202">
        <v>49</v>
      </c>
      <c r="F530" s="202">
        <v>3</v>
      </c>
      <c r="G530" s="202">
        <v>2</v>
      </c>
      <c r="H530" s="202">
        <v>73</v>
      </c>
      <c r="I530" s="202">
        <v>1</v>
      </c>
      <c r="K530" s="202">
        <v>27</v>
      </c>
      <c r="L530" s="202">
        <v>78</v>
      </c>
      <c r="M530" s="202">
        <v>4</v>
      </c>
      <c r="N530" s="202">
        <v>15</v>
      </c>
      <c r="O530" s="202">
        <v>49</v>
      </c>
      <c r="P530" s="202">
        <v>4</v>
      </c>
      <c r="Q530" s="202">
        <v>10</v>
      </c>
      <c r="R530" s="202">
        <v>2</v>
      </c>
      <c r="S530" s="202">
        <v>2</v>
      </c>
    </row>
    <row r="531" spans="1:19" x14ac:dyDescent="0.35">
      <c r="A531" s="202">
        <v>39</v>
      </c>
      <c r="B531" s="202">
        <v>25</v>
      </c>
      <c r="C531" s="202">
        <v>2</v>
      </c>
      <c r="D531" s="202">
        <v>7</v>
      </c>
      <c r="E531" s="202">
        <v>49</v>
      </c>
      <c r="F531" s="202">
        <v>5</v>
      </c>
      <c r="G531" s="202">
        <v>2</v>
      </c>
      <c r="H531" s="202">
        <v>74</v>
      </c>
      <c r="I531" s="202">
        <v>1</v>
      </c>
      <c r="K531" s="202">
        <v>48</v>
      </c>
      <c r="L531" s="202">
        <v>96</v>
      </c>
      <c r="M531" s="202">
        <v>2</v>
      </c>
      <c r="N531" s="202">
        <v>15</v>
      </c>
      <c r="O531" s="202">
        <v>25</v>
      </c>
      <c r="P531" s="202">
        <v>2</v>
      </c>
      <c r="Q531" s="202">
        <v>2</v>
      </c>
      <c r="R531" s="202">
        <v>5</v>
      </c>
      <c r="S531" s="202">
        <v>1</v>
      </c>
    </row>
    <row r="532" spans="1:19" x14ac:dyDescent="0.35">
      <c r="A532" s="202">
        <v>39</v>
      </c>
      <c r="B532" s="202">
        <v>25</v>
      </c>
      <c r="C532" s="202">
        <v>2</v>
      </c>
      <c r="D532" s="202">
        <v>13</v>
      </c>
      <c r="E532" s="202">
        <v>53</v>
      </c>
      <c r="F532" s="202">
        <v>1</v>
      </c>
      <c r="G532" s="202">
        <v>1</v>
      </c>
      <c r="H532" s="202">
        <v>86</v>
      </c>
      <c r="I532" s="202">
        <v>1</v>
      </c>
      <c r="K532" s="202">
        <v>63</v>
      </c>
      <c r="L532" s="202">
        <v>11</v>
      </c>
      <c r="M532" s="202">
        <v>4</v>
      </c>
      <c r="N532" s="202">
        <v>8</v>
      </c>
      <c r="O532" s="202">
        <v>42</v>
      </c>
      <c r="P532" s="202">
        <v>1</v>
      </c>
      <c r="Q532" s="202">
        <v>1</v>
      </c>
      <c r="R532" s="202">
        <v>30</v>
      </c>
      <c r="S532" s="202">
        <v>1</v>
      </c>
    </row>
    <row r="533" spans="1:19" x14ac:dyDescent="0.35">
      <c r="A533" s="202">
        <v>39</v>
      </c>
      <c r="B533" s="202">
        <v>25</v>
      </c>
      <c r="C533" s="202">
        <v>2</v>
      </c>
      <c r="D533" s="202">
        <v>13</v>
      </c>
      <c r="E533" s="202">
        <v>53</v>
      </c>
      <c r="F533" s="202">
        <v>3</v>
      </c>
      <c r="G533" s="202">
        <v>1</v>
      </c>
      <c r="H533" s="202">
        <v>87</v>
      </c>
      <c r="I533" s="202">
        <v>1</v>
      </c>
      <c r="K533" s="202">
        <v>44</v>
      </c>
      <c r="L533" s="202">
        <v>63</v>
      </c>
      <c r="M533" s="202">
        <v>3</v>
      </c>
      <c r="N533" s="202">
        <v>15</v>
      </c>
      <c r="O533" s="202">
        <v>42</v>
      </c>
      <c r="P533" s="202">
        <v>1</v>
      </c>
      <c r="Q533" s="202">
        <v>10</v>
      </c>
      <c r="R533" s="202">
        <v>10</v>
      </c>
      <c r="S533" s="202">
        <v>2</v>
      </c>
    </row>
    <row r="534" spans="1:19" x14ac:dyDescent="0.35">
      <c r="A534" s="202">
        <v>39</v>
      </c>
      <c r="B534" s="202">
        <v>33</v>
      </c>
      <c r="C534" s="202">
        <v>2</v>
      </c>
      <c r="D534" s="202">
        <v>15</v>
      </c>
      <c r="E534" s="202">
        <v>37</v>
      </c>
      <c r="F534" s="202">
        <v>2</v>
      </c>
      <c r="G534" s="202">
        <v>1</v>
      </c>
      <c r="H534" s="202">
        <v>44</v>
      </c>
      <c r="I534" s="202">
        <v>2</v>
      </c>
      <c r="K534" s="202">
        <v>16</v>
      </c>
      <c r="L534" s="202">
        <v>17</v>
      </c>
      <c r="M534" s="202">
        <v>3</v>
      </c>
      <c r="N534" s="202">
        <v>17</v>
      </c>
      <c r="O534" s="202">
        <v>48</v>
      </c>
      <c r="P534" s="202">
        <v>1</v>
      </c>
      <c r="Q534" s="202">
        <v>25</v>
      </c>
      <c r="R534" s="202">
        <v>3</v>
      </c>
      <c r="S534" s="202">
        <v>2</v>
      </c>
    </row>
    <row r="535" spans="1:19" x14ac:dyDescent="0.35">
      <c r="A535" s="202">
        <v>39</v>
      </c>
      <c r="B535" s="202">
        <v>33</v>
      </c>
      <c r="C535" s="202">
        <v>2</v>
      </c>
      <c r="D535" s="202">
        <v>15</v>
      </c>
      <c r="E535" s="202">
        <v>37</v>
      </c>
      <c r="F535" s="202">
        <v>4</v>
      </c>
      <c r="G535" s="202">
        <v>10</v>
      </c>
      <c r="H535" s="202">
        <v>44</v>
      </c>
      <c r="I535" s="202">
        <v>2</v>
      </c>
      <c r="K535" s="202">
        <v>61</v>
      </c>
      <c r="L535" s="202">
        <v>25</v>
      </c>
      <c r="M535" s="202">
        <v>2</v>
      </c>
      <c r="N535" s="202">
        <v>10</v>
      </c>
      <c r="O535" s="202">
        <v>43</v>
      </c>
      <c r="P535" s="202">
        <v>5</v>
      </c>
      <c r="Q535" s="202">
        <v>19</v>
      </c>
      <c r="R535" s="202">
        <v>12</v>
      </c>
      <c r="S535" s="202">
        <v>1</v>
      </c>
    </row>
    <row r="536" spans="1:19" x14ac:dyDescent="0.35">
      <c r="A536" s="202">
        <v>39</v>
      </c>
      <c r="B536" s="202">
        <v>7</v>
      </c>
      <c r="C536" s="202">
        <v>2</v>
      </c>
      <c r="D536" s="202">
        <v>8</v>
      </c>
      <c r="E536" s="202">
        <v>50</v>
      </c>
      <c r="F536" s="202">
        <v>2</v>
      </c>
      <c r="G536" s="202">
        <v>7</v>
      </c>
      <c r="H536" s="202">
        <v>3</v>
      </c>
      <c r="I536" s="202">
        <v>2</v>
      </c>
      <c r="K536" s="202">
        <v>26</v>
      </c>
      <c r="L536" s="202">
        <v>111</v>
      </c>
      <c r="M536" s="202">
        <v>2</v>
      </c>
      <c r="N536" s="202">
        <v>13</v>
      </c>
      <c r="O536" s="202">
        <v>43</v>
      </c>
      <c r="P536" s="202">
        <v>1</v>
      </c>
      <c r="Q536" s="202">
        <v>11</v>
      </c>
      <c r="R536" s="202">
        <v>22</v>
      </c>
      <c r="S536" s="202">
        <v>1</v>
      </c>
    </row>
    <row r="537" spans="1:19" x14ac:dyDescent="0.35">
      <c r="A537" s="202">
        <v>39</v>
      </c>
      <c r="B537" s="202">
        <v>7</v>
      </c>
      <c r="C537" s="202">
        <v>2</v>
      </c>
      <c r="D537" s="202">
        <v>8</v>
      </c>
      <c r="E537" s="202">
        <v>50</v>
      </c>
      <c r="F537" s="202">
        <v>4</v>
      </c>
      <c r="G537" s="202">
        <v>7</v>
      </c>
      <c r="H537" s="202">
        <v>3</v>
      </c>
      <c r="I537" s="202">
        <v>2</v>
      </c>
      <c r="K537" s="202">
        <v>47</v>
      </c>
      <c r="L537" s="202">
        <v>28</v>
      </c>
      <c r="M537" s="202">
        <v>1</v>
      </c>
      <c r="N537" s="202">
        <v>8</v>
      </c>
      <c r="O537" s="202">
        <v>48</v>
      </c>
      <c r="P537" s="202">
        <v>4</v>
      </c>
      <c r="Q537" s="202">
        <v>2</v>
      </c>
      <c r="R537" s="202">
        <v>18</v>
      </c>
      <c r="S537" s="202">
        <v>2</v>
      </c>
    </row>
    <row r="538" spans="1:19" x14ac:dyDescent="0.35">
      <c r="A538" s="202">
        <v>39</v>
      </c>
      <c r="B538" s="202">
        <v>46</v>
      </c>
      <c r="C538" s="202">
        <v>4</v>
      </c>
      <c r="D538" s="202">
        <v>15</v>
      </c>
      <c r="E538" s="202">
        <v>16</v>
      </c>
      <c r="F538" s="202">
        <v>5</v>
      </c>
      <c r="G538" s="202">
        <v>25</v>
      </c>
      <c r="H538" s="202">
        <v>37</v>
      </c>
      <c r="I538" s="202">
        <v>3</v>
      </c>
      <c r="K538" s="202">
        <v>49</v>
      </c>
      <c r="L538" s="202">
        <v>24</v>
      </c>
      <c r="M538" s="202">
        <v>4</v>
      </c>
      <c r="N538" s="202">
        <v>8</v>
      </c>
      <c r="O538" s="202">
        <v>44</v>
      </c>
      <c r="P538" s="202">
        <v>5</v>
      </c>
      <c r="Q538" s="202">
        <v>2</v>
      </c>
      <c r="R538" s="202">
        <v>34</v>
      </c>
      <c r="S538" s="202">
        <v>1</v>
      </c>
    </row>
    <row r="539" spans="1:19" x14ac:dyDescent="0.35">
      <c r="A539" s="202">
        <v>40</v>
      </c>
      <c r="B539" s="202">
        <v>14</v>
      </c>
      <c r="C539" s="202">
        <v>4</v>
      </c>
      <c r="D539" s="202">
        <v>8</v>
      </c>
      <c r="E539" s="202">
        <v>25</v>
      </c>
      <c r="F539" s="202">
        <v>2</v>
      </c>
      <c r="G539" s="202">
        <v>2</v>
      </c>
      <c r="H539" s="202">
        <v>18</v>
      </c>
      <c r="I539" s="202">
        <v>2</v>
      </c>
      <c r="K539" s="202">
        <v>76</v>
      </c>
      <c r="L539" s="202">
        <v>24</v>
      </c>
      <c r="M539" s="202">
        <v>4</v>
      </c>
      <c r="N539" s="202">
        <v>7</v>
      </c>
      <c r="O539" s="202">
        <v>44</v>
      </c>
      <c r="P539" s="202">
        <v>3</v>
      </c>
      <c r="Q539" s="202">
        <v>17</v>
      </c>
      <c r="R539" s="202">
        <v>37</v>
      </c>
      <c r="S539" s="202">
        <v>1</v>
      </c>
    </row>
    <row r="540" spans="1:19" x14ac:dyDescent="0.35">
      <c r="A540" s="202">
        <v>40</v>
      </c>
      <c r="B540" s="202">
        <v>14</v>
      </c>
      <c r="C540" s="202">
        <v>4</v>
      </c>
      <c r="D540" s="202">
        <v>8</v>
      </c>
      <c r="E540" s="202">
        <v>25</v>
      </c>
      <c r="F540" s="202">
        <v>4</v>
      </c>
      <c r="G540" s="202">
        <v>2</v>
      </c>
      <c r="H540" s="202">
        <v>19</v>
      </c>
      <c r="I540" s="202">
        <v>2</v>
      </c>
      <c r="K540" s="202">
        <v>29</v>
      </c>
      <c r="L540" s="202">
        <v>25</v>
      </c>
      <c r="M540" s="202">
        <v>4</v>
      </c>
      <c r="N540" s="202">
        <v>13</v>
      </c>
      <c r="O540" s="202">
        <v>25</v>
      </c>
      <c r="P540" s="202">
        <v>2</v>
      </c>
      <c r="Q540" s="202">
        <v>24</v>
      </c>
      <c r="R540" s="202">
        <v>45</v>
      </c>
      <c r="S540" s="202">
        <v>1</v>
      </c>
    </row>
    <row r="541" spans="1:19" x14ac:dyDescent="0.35">
      <c r="A541" s="202">
        <v>40</v>
      </c>
      <c r="B541" s="202">
        <v>14</v>
      </c>
      <c r="C541" s="202">
        <v>4</v>
      </c>
      <c r="D541" s="202">
        <v>8</v>
      </c>
      <c r="E541" s="202">
        <v>26</v>
      </c>
      <c r="F541" s="202">
        <v>2</v>
      </c>
      <c r="G541" s="202">
        <v>11</v>
      </c>
      <c r="H541" s="202">
        <v>18</v>
      </c>
      <c r="I541" s="202">
        <v>2</v>
      </c>
      <c r="K541" s="202">
        <v>51</v>
      </c>
      <c r="L541" s="202">
        <v>25</v>
      </c>
      <c r="M541" s="202">
        <v>4</v>
      </c>
      <c r="N541" s="202">
        <v>8</v>
      </c>
      <c r="O541" s="202">
        <v>48</v>
      </c>
      <c r="P541" s="202">
        <v>5</v>
      </c>
      <c r="Q541" s="202">
        <v>1</v>
      </c>
      <c r="R541" s="202">
        <v>31</v>
      </c>
      <c r="S541" s="202">
        <v>2</v>
      </c>
    </row>
    <row r="542" spans="1:19" x14ac:dyDescent="0.35">
      <c r="A542" s="202">
        <v>40</v>
      </c>
      <c r="B542" s="202">
        <v>14</v>
      </c>
      <c r="C542" s="202">
        <v>4</v>
      </c>
      <c r="D542" s="202">
        <v>8</v>
      </c>
      <c r="E542" s="202">
        <v>26</v>
      </c>
      <c r="F542" s="202">
        <v>4</v>
      </c>
      <c r="G542" s="202">
        <v>11</v>
      </c>
      <c r="H542" s="202">
        <v>19</v>
      </c>
      <c r="I542" s="202">
        <v>2</v>
      </c>
      <c r="K542" s="202">
        <v>44</v>
      </c>
      <c r="L542" s="202">
        <v>47</v>
      </c>
      <c r="M542" s="202">
        <v>2</v>
      </c>
      <c r="N542" s="202">
        <v>8</v>
      </c>
      <c r="O542" s="202">
        <v>45</v>
      </c>
      <c r="P542" s="202">
        <v>5</v>
      </c>
      <c r="Q542" s="202">
        <v>7</v>
      </c>
      <c r="R542" s="202">
        <v>30</v>
      </c>
      <c r="S542" s="202">
        <v>1</v>
      </c>
    </row>
    <row r="543" spans="1:19" x14ac:dyDescent="0.35">
      <c r="A543" s="202">
        <v>40</v>
      </c>
      <c r="B543" s="202">
        <v>90</v>
      </c>
      <c r="C543" s="202">
        <v>4</v>
      </c>
      <c r="D543" s="202">
        <v>8</v>
      </c>
      <c r="E543" s="202">
        <v>1</v>
      </c>
      <c r="F543" s="202">
        <v>2</v>
      </c>
      <c r="G543" s="202">
        <v>2</v>
      </c>
      <c r="H543" s="202">
        <v>17</v>
      </c>
      <c r="I543" s="202">
        <v>1</v>
      </c>
      <c r="K543" s="202">
        <v>31</v>
      </c>
      <c r="L543" s="202">
        <v>22</v>
      </c>
      <c r="M543" s="202">
        <v>2</v>
      </c>
      <c r="N543" s="202">
        <v>4</v>
      </c>
      <c r="O543" s="202">
        <v>27</v>
      </c>
      <c r="P543" s="202">
        <v>3</v>
      </c>
      <c r="Q543" s="202">
        <v>2</v>
      </c>
      <c r="R543" s="202">
        <v>29</v>
      </c>
      <c r="S543" s="202">
        <v>1</v>
      </c>
    </row>
    <row r="544" spans="1:19" x14ac:dyDescent="0.35">
      <c r="A544" s="202">
        <v>40</v>
      </c>
      <c r="B544" s="202">
        <v>90</v>
      </c>
      <c r="C544" s="202">
        <v>4</v>
      </c>
      <c r="D544" s="202">
        <v>8</v>
      </c>
      <c r="E544" s="202">
        <v>1</v>
      </c>
      <c r="F544" s="202">
        <v>4</v>
      </c>
      <c r="G544" s="202">
        <v>2</v>
      </c>
      <c r="H544" s="202">
        <v>17</v>
      </c>
      <c r="I544" s="202">
        <v>1</v>
      </c>
      <c r="K544" s="202">
        <v>33</v>
      </c>
      <c r="L544" s="202">
        <v>24</v>
      </c>
      <c r="M544" s="202">
        <v>4</v>
      </c>
      <c r="N544" s="202">
        <v>4</v>
      </c>
      <c r="O544" s="202">
        <v>43</v>
      </c>
      <c r="P544" s="202">
        <v>2</v>
      </c>
      <c r="Q544" s="202">
        <v>23</v>
      </c>
      <c r="R544" s="202">
        <v>20</v>
      </c>
      <c r="S544" s="202">
        <v>1</v>
      </c>
    </row>
    <row r="545" spans="1:19" x14ac:dyDescent="0.35">
      <c r="A545" s="202">
        <v>40</v>
      </c>
      <c r="B545" s="202">
        <v>90</v>
      </c>
      <c r="C545" s="202">
        <v>4</v>
      </c>
      <c r="D545" s="202">
        <v>8</v>
      </c>
      <c r="E545" s="202">
        <v>2</v>
      </c>
      <c r="F545" s="202">
        <v>2</v>
      </c>
      <c r="G545" s="202">
        <v>11</v>
      </c>
      <c r="H545" s="202">
        <v>17</v>
      </c>
      <c r="I545" s="202">
        <v>1</v>
      </c>
      <c r="K545" s="202">
        <v>82</v>
      </c>
      <c r="L545" s="202">
        <v>4</v>
      </c>
      <c r="M545" s="202">
        <v>4</v>
      </c>
      <c r="N545" s="202">
        <v>8</v>
      </c>
      <c r="O545" s="202">
        <v>50</v>
      </c>
      <c r="P545" s="202">
        <v>2</v>
      </c>
      <c r="Q545" s="202">
        <v>1</v>
      </c>
      <c r="R545" s="202">
        <v>38</v>
      </c>
      <c r="S545" s="202">
        <v>1</v>
      </c>
    </row>
    <row r="546" spans="1:19" x14ac:dyDescent="0.35">
      <c r="A546" s="202">
        <v>40</v>
      </c>
      <c r="B546" s="202">
        <v>90</v>
      </c>
      <c r="C546" s="202">
        <v>4</v>
      </c>
      <c r="D546" s="202">
        <v>8</v>
      </c>
      <c r="E546" s="202">
        <v>2</v>
      </c>
      <c r="F546" s="202">
        <v>4</v>
      </c>
      <c r="G546" s="202">
        <v>11</v>
      </c>
      <c r="H546" s="202">
        <v>17</v>
      </c>
      <c r="I546" s="202">
        <v>1</v>
      </c>
      <c r="K546" s="202">
        <v>37</v>
      </c>
      <c r="L546" s="202">
        <v>50</v>
      </c>
      <c r="M546" s="202">
        <v>2</v>
      </c>
      <c r="N546" s="202">
        <v>10</v>
      </c>
      <c r="O546" s="202">
        <v>48</v>
      </c>
      <c r="P546" s="202">
        <v>4</v>
      </c>
      <c r="Q546" s="202">
        <v>2</v>
      </c>
      <c r="R546" s="202">
        <v>2</v>
      </c>
      <c r="S546" s="202">
        <v>1</v>
      </c>
    </row>
    <row r="547" spans="1:19" x14ac:dyDescent="0.35">
      <c r="A547" s="202">
        <v>40</v>
      </c>
      <c r="B547" s="202">
        <v>90</v>
      </c>
      <c r="C547" s="202">
        <v>4</v>
      </c>
      <c r="D547" s="202">
        <v>8</v>
      </c>
      <c r="E547" s="202">
        <v>3</v>
      </c>
      <c r="F547" s="202">
        <v>1</v>
      </c>
      <c r="G547" s="202">
        <v>11</v>
      </c>
      <c r="H547" s="202">
        <v>4</v>
      </c>
      <c r="I547" s="202">
        <v>1</v>
      </c>
      <c r="K547" s="202">
        <v>22</v>
      </c>
      <c r="L547" s="202">
        <v>21</v>
      </c>
      <c r="M547" s="202">
        <v>4</v>
      </c>
      <c r="N547" s="202">
        <v>16</v>
      </c>
      <c r="O547" s="202">
        <v>26</v>
      </c>
      <c r="P547" s="202">
        <v>1</v>
      </c>
      <c r="Q547" s="202">
        <v>11</v>
      </c>
      <c r="R547" s="202">
        <v>8</v>
      </c>
      <c r="S547" s="202">
        <v>2</v>
      </c>
    </row>
    <row r="548" spans="1:19" x14ac:dyDescent="0.35">
      <c r="A548" s="202">
        <v>40</v>
      </c>
      <c r="B548" s="202">
        <v>90</v>
      </c>
      <c r="C548" s="202">
        <v>4</v>
      </c>
      <c r="D548" s="202">
        <v>8</v>
      </c>
      <c r="E548" s="202">
        <v>3</v>
      </c>
      <c r="F548" s="202">
        <v>4</v>
      </c>
      <c r="G548" s="202">
        <v>18</v>
      </c>
      <c r="H548" s="202">
        <v>4</v>
      </c>
      <c r="I548" s="202">
        <v>1</v>
      </c>
      <c r="K548" s="202">
        <v>61</v>
      </c>
      <c r="L548" s="202">
        <v>59</v>
      </c>
      <c r="M548" s="202">
        <v>2</v>
      </c>
      <c r="N548" s="202">
        <v>8</v>
      </c>
      <c r="O548" s="202">
        <v>25</v>
      </c>
      <c r="P548" s="202">
        <v>4</v>
      </c>
      <c r="Q548" s="202">
        <v>14</v>
      </c>
      <c r="R548" s="202">
        <v>7</v>
      </c>
      <c r="S548" s="202">
        <v>1</v>
      </c>
    </row>
    <row r="549" spans="1:19" x14ac:dyDescent="0.35">
      <c r="A549" s="202">
        <v>41</v>
      </c>
      <c r="B549" s="202">
        <v>25</v>
      </c>
      <c r="C549" s="202">
        <v>2</v>
      </c>
      <c r="D549" s="202">
        <v>15</v>
      </c>
      <c r="E549" s="202">
        <v>48</v>
      </c>
      <c r="F549" s="202">
        <v>2</v>
      </c>
      <c r="G549" s="202">
        <v>10</v>
      </c>
      <c r="H549" s="202">
        <v>38</v>
      </c>
      <c r="I549" s="202">
        <v>2</v>
      </c>
      <c r="K549" s="202">
        <v>14</v>
      </c>
      <c r="L549" s="202">
        <v>59</v>
      </c>
      <c r="M549" s="202">
        <v>3</v>
      </c>
      <c r="N549" s="202">
        <v>10</v>
      </c>
      <c r="O549" s="202">
        <v>50</v>
      </c>
      <c r="P549" s="202">
        <v>5</v>
      </c>
      <c r="Q549" s="202">
        <v>7</v>
      </c>
      <c r="R549" s="202">
        <v>21</v>
      </c>
      <c r="S549" s="202">
        <v>2</v>
      </c>
    </row>
    <row r="550" spans="1:19" x14ac:dyDescent="0.35">
      <c r="A550" s="202">
        <v>41</v>
      </c>
      <c r="B550" s="202">
        <v>25</v>
      </c>
      <c r="C550" s="202">
        <v>2</v>
      </c>
      <c r="D550" s="202">
        <v>15</v>
      </c>
      <c r="E550" s="202">
        <v>48</v>
      </c>
      <c r="F550" s="202">
        <v>4</v>
      </c>
      <c r="G550" s="202">
        <v>10</v>
      </c>
      <c r="H550" s="202">
        <v>38</v>
      </c>
      <c r="I550" s="202">
        <v>2</v>
      </c>
      <c r="K550" s="202">
        <v>17</v>
      </c>
      <c r="L550" s="202">
        <v>88</v>
      </c>
      <c r="M550" s="202">
        <v>2</v>
      </c>
      <c r="N550" s="202">
        <v>15</v>
      </c>
      <c r="O550" s="202">
        <v>48</v>
      </c>
      <c r="P550" s="202">
        <v>4</v>
      </c>
      <c r="Q550" s="202">
        <v>2</v>
      </c>
      <c r="R550" s="202">
        <v>36</v>
      </c>
      <c r="S550" s="202">
        <v>2</v>
      </c>
    </row>
    <row r="551" spans="1:19" x14ac:dyDescent="0.35">
      <c r="A551" s="202">
        <v>41</v>
      </c>
      <c r="B551" s="202">
        <v>25</v>
      </c>
      <c r="C551" s="202">
        <v>2</v>
      </c>
      <c r="D551" s="202">
        <v>15</v>
      </c>
      <c r="E551" s="202">
        <v>49</v>
      </c>
      <c r="F551" s="202">
        <v>2</v>
      </c>
      <c r="G551" s="202">
        <v>1</v>
      </c>
      <c r="H551" s="202">
        <v>35</v>
      </c>
      <c r="I551" s="202">
        <v>2</v>
      </c>
      <c r="K551" s="202">
        <v>56</v>
      </c>
      <c r="L551" s="202">
        <v>89</v>
      </c>
      <c r="M551" s="202">
        <v>4</v>
      </c>
      <c r="N551" s="202">
        <v>3</v>
      </c>
      <c r="O551" s="202">
        <v>25</v>
      </c>
      <c r="P551" s="202">
        <v>1</v>
      </c>
      <c r="Q551" s="202">
        <v>20</v>
      </c>
      <c r="R551" s="202">
        <v>66</v>
      </c>
      <c r="S551" s="202">
        <v>2</v>
      </c>
    </row>
    <row r="552" spans="1:19" x14ac:dyDescent="0.35">
      <c r="A552" s="202">
        <v>41</v>
      </c>
      <c r="B552" s="202">
        <v>25</v>
      </c>
      <c r="C552" s="202">
        <v>2</v>
      </c>
      <c r="D552" s="202">
        <v>15</v>
      </c>
      <c r="E552" s="202">
        <v>49</v>
      </c>
      <c r="F552" s="202">
        <v>4</v>
      </c>
      <c r="G552" s="202">
        <v>1</v>
      </c>
      <c r="H552" s="202">
        <v>31</v>
      </c>
      <c r="I552" s="202">
        <v>2</v>
      </c>
      <c r="K552" s="202">
        <v>74</v>
      </c>
      <c r="L552" s="202">
        <v>17</v>
      </c>
      <c r="M552" s="202">
        <v>1</v>
      </c>
      <c r="N552" s="202">
        <v>10</v>
      </c>
      <c r="O552" s="202">
        <v>14</v>
      </c>
      <c r="P552" s="202">
        <v>1</v>
      </c>
      <c r="Q552" s="202">
        <v>2</v>
      </c>
      <c r="R552" s="202">
        <v>1</v>
      </c>
      <c r="S552" s="202">
        <v>1</v>
      </c>
    </row>
    <row r="553" spans="1:19" x14ac:dyDescent="0.35">
      <c r="A553" s="202">
        <v>41</v>
      </c>
      <c r="B553" s="202">
        <v>25</v>
      </c>
      <c r="C553" s="202">
        <v>2</v>
      </c>
      <c r="D553" s="202">
        <v>15</v>
      </c>
      <c r="E553" s="202">
        <v>50</v>
      </c>
      <c r="F553" s="202">
        <v>1</v>
      </c>
      <c r="G553" s="202">
        <v>1</v>
      </c>
      <c r="H553" s="202">
        <v>27</v>
      </c>
      <c r="I553" s="202">
        <v>2</v>
      </c>
      <c r="K553" s="202">
        <v>44</v>
      </c>
      <c r="L553" s="202">
        <v>50</v>
      </c>
      <c r="M553" s="202">
        <v>3</v>
      </c>
      <c r="N553" s="202">
        <v>16</v>
      </c>
      <c r="O553" s="202">
        <v>43</v>
      </c>
      <c r="P553" s="202">
        <v>5</v>
      </c>
      <c r="Q553" s="202">
        <v>2</v>
      </c>
      <c r="R553" s="202">
        <v>30</v>
      </c>
      <c r="S553" s="202">
        <v>1</v>
      </c>
    </row>
    <row r="554" spans="1:19" x14ac:dyDescent="0.35">
      <c r="A554" s="202">
        <v>41</v>
      </c>
      <c r="B554" s="202">
        <v>25</v>
      </c>
      <c r="C554" s="202">
        <v>2</v>
      </c>
      <c r="D554" s="202">
        <v>15</v>
      </c>
      <c r="E554" s="202">
        <v>50</v>
      </c>
      <c r="F554" s="202">
        <v>4</v>
      </c>
      <c r="G554" s="202">
        <v>19</v>
      </c>
      <c r="H554" s="202">
        <v>37</v>
      </c>
      <c r="I554" s="202">
        <v>2</v>
      </c>
      <c r="K554" s="202">
        <v>66</v>
      </c>
      <c r="L554" s="202">
        <v>71</v>
      </c>
      <c r="M554" s="202">
        <v>4</v>
      </c>
      <c r="N554" s="202">
        <v>8</v>
      </c>
      <c r="O554" s="202">
        <v>48</v>
      </c>
      <c r="P554" s="202">
        <v>2</v>
      </c>
      <c r="Q554" s="202">
        <v>22</v>
      </c>
      <c r="R554" s="202">
        <v>27</v>
      </c>
      <c r="S554" s="202">
        <v>1</v>
      </c>
    </row>
    <row r="555" spans="1:19" x14ac:dyDescent="0.35">
      <c r="A555" s="202">
        <v>41</v>
      </c>
      <c r="B555" s="202">
        <v>24</v>
      </c>
      <c r="C555" s="202">
        <v>2</v>
      </c>
      <c r="D555" s="202">
        <v>15</v>
      </c>
      <c r="E555" s="202">
        <v>51</v>
      </c>
      <c r="F555" s="202">
        <v>3</v>
      </c>
      <c r="G555" s="202">
        <v>1</v>
      </c>
      <c r="H555" s="202">
        <v>7</v>
      </c>
      <c r="I555" s="202">
        <v>2</v>
      </c>
      <c r="K555" s="202">
        <v>54</v>
      </c>
      <c r="L555" s="202">
        <v>25</v>
      </c>
      <c r="M555" s="202">
        <v>2</v>
      </c>
      <c r="N555" s="202">
        <v>15</v>
      </c>
      <c r="O555" s="202">
        <v>50</v>
      </c>
      <c r="P555" s="202">
        <v>4</v>
      </c>
      <c r="Q555" s="202">
        <v>11</v>
      </c>
      <c r="R555" s="202">
        <v>31</v>
      </c>
      <c r="S555" s="202">
        <v>1</v>
      </c>
    </row>
    <row r="556" spans="1:19" x14ac:dyDescent="0.35">
      <c r="A556" s="202">
        <v>41</v>
      </c>
      <c r="B556" s="202">
        <v>24</v>
      </c>
      <c r="C556" s="202">
        <v>2</v>
      </c>
      <c r="D556" s="202">
        <v>15</v>
      </c>
      <c r="E556" s="202">
        <v>51</v>
      </c>
      <c r="F556" s="202">
        <v>5</v>
      </c>
      <c r="G556" s="202">
        <v>25</v>
      </c>
      <c r="H556" s="202">
        <v>7</v>
      </c>
      <c r="I556" s="202">
        <v>2</v>
      </c>
      <c r="K556" s="202">
        <v>41</v>
      </c>
      <c r="L556" s="202">
        <v>42</v>
      </c>
      <c r="M556" s="202">
        <v>4</v>
      </c>
      <c r="N556" s="202">
        <v>17</v>
      </c>
      <c r="O556" s="202">
        <v>48</v>
      </c>
      <c r="P556" s="202">
        <v>4</v>
      </c>
      <c r="Q556" s="202">
        <v>1</v>
      </c>
      <c r="R556" s="202">
        <v>6</v>
      </c>
      <c r="S556" s="202">
        <v>1</v>
      </c>
    </row>
    <row r="557" spans="1:19" x14ac:dyDescent="0.35">
      <c r="A557" s="202">
        <v>41</v>
      </c>
      <c r="B557" s="202">
        <v>24</v>
      </c>
      <c r="C557" s="202">
        <v>2</v>
      </c>
      <c r="D557" s="202">
        <v>15</v>
      </c>
      <c r="E557" s="202">
        <v>52</v>
      </c>
      <c r="F557" s="202">
        <v>3</v>
      </c>
      <c r="G557" s="202">
        <v>23</v>
      </c>
      <c r="H557" s="202">
        <v>7</v>
      </c>
      <c r="I557" s="202">
        <v>2</v>
      </c>
      <c r="K557" s="202">
        <v>28</v>
      </c>
      <c r="L557" s="202">
        <v>35</v>
      </c>
      <c r="M557" s="202">
        <v>2</v>
      </c>
      <c r="N557" s="202">
        <v>4</v>
      </c>
      <c r="O557" s="202">
        <v>1</v>
      </c>
      <c r="P557" s="202">
        <v>3</v>
      </c>
      <c r="Q557" s="202">
        <v>14</v>
      </c>
      <c r="R557" s="202">
        <v>22</v>
      </c>
      <c r="S557" s="202">
        <v>2</v>
      </c>
    </row>
    <row r="558" spans="1:19" x14ac:dyDescent="0.35">
      <c r="A558" s="202">
        <v>41</v>
      </c>
      <c r="B558" s="202">
        <v>24</v>
      </c>
      <c r="C558" s="202">
        <v>2</v>
      </c>
      <c r="D558" s="202">
        <v>15</v>
      </c>
      <c r="E558" s="202">
        <v>52</v>
      </c>
      <c r="F558" s="202">
        <v>5</v>
      </c>
      <c r="G558" s="202">
        <v>19</v>
      </c>
      <c r="H558" s="202">
        <v>7</v>
      </c>
      <c r="I558" s="202">
        <v>2</v>
      </c>
      <c r="K558" s="202">
        <v>54</v>
      </c>
      <c r="L558" s="202">
        <v>25</v>
      </c>
      <c r="M558" s="202">
        <v>2</v>
      </c>
      <c r="N558" s="202">
        <v>8</v>
      </c>
      <c r="O558" s="202">
        <v>28</v>
      </c>
      <c r="P558" s="202">
        <v>3</v>
      </c>
      <c r="Q558" s="202">
        <v>11</v>
      </c>
      <c r="R558" s="202">
        <v>3</v>
      </c>
      <c r="S558" s="202">
        <v>1</v>
      </c>
    </row>
    <row r="559" spans="1:19" x14ac:dyDescent="0.35">
      <c r="A559" s="202">
        <v>41</v>
      </c>
      <c r="B559" s="202">
        <v>24</v>
      </c>
      <c r="C559" s="202">
        <v>2</v>
      </c>
      <c r="D559" s="202">
        <v>15</v>
      </c>
      <c r="E559" s="202">
        <v>53</v>
      </c>
      <c r="F559" s="202">
        <v>2</v>
      </c>
      <c r="G559" s="202">
        <v>19</v>
      </c>
      <c r="H559" s="202">
        <v>7</v>
      </c>
      <c r="I559" s="202">
        <v>1</v>
      </c>
      <c r="K559" s="202">
        <v>14</v>
      </c>
      <c r="L559" s="202">
        <v>24</v>
      </c>
      <c r="M559" s="202">
        <v>2</v>
      </c>
      <c r="N559" s="202">
        <v>18</v>
      </c>
      <c r="O559" s="202">
        <v>49</v>
      </c>
      <c r="P559" s="202">
        <v>4</v>
      </c>
      <c r="Q559" s="202">
        <v>8</v>
      </c>
      <c r="R559" s="202">
        <v>88</v>
      </c>
      <c r="S559" s="202">
        <v>2</v>
      </c>
    </row>
    <row r="560" spans="1:19" x14ac:dyDescent="0.35">
      <c r="A560" s="202">
        <v>41</v>
      </c>
      <c r="B560" s="202">
        <v>24</v>
      </c>
      <c r="C560" s="202">
        <v>2</v>
      </c>
      <c r="D560" s="202">
        <v>15</v>
      </c>
      <c r="E560" s="202">
        <v>53</v>
      </c>
      <c r="F560" s="202">
        <v>5</v>
      </c>
      <c r="G560" s="202">
        <v>25</v>
      </c>
      <c r="H560" s="202">
        <v>7</v>
      </c>
      <c r="I560" s="202">
        <v>1</v>
      </c>
      <c r="K560" s="202">
        <v>76</v>
      </c>
      <c r="L560" s="202">
        <v>94</v>
      </c>
      <c r="M560" s="202">
        <v>1</v>
      </c>
      <c r="N560" s="202">
        <v>10</v>
      </c>
      <c r="O560" s="202">
        <v>48</v>
      </c>
      <c r="P560" s="202">
        <v>4</v>
      </c>
      <c r="Q560" s="202">
        <v>25</v>
      </c>
      <c r="R560" s="202">
        <v>88</v>
      </c>
      <c r="S560" s="202">
        <v>2</v>
      </c>
    </row>
    <row r="561" spans="1:19" x14ac:dyDescent="0.35">
      <c r="A561" s="202">
        <v>41</v>
      </c>
      <c r="B561" s="202">
        <v>25</v>
      </c>
      <c r="C561" s="202">
        <v>2</v>
      </c>
      <c r="D561" s="202">
        <v>14</v>
      </c>
      <c r="E561" s="202">
        <v>49</v>
      </c>
      <c r="F561" s="202">
        <v>2</v>
      </c>
      <c r="G561" s="202">
        <v>2</v>
      </c>
      <c r="H561" s="202">
        <v>35</v>
      </c>
      <c r="I561" s="202">
        <v>2</v>
      </c>
      <c r="K561" s="202">
        <v>69</v>
      </c>
      <c r="L561" s="202">
        <v>85</v>
      </c>
      <c r="M561" s="202">
        <v>2</v>
      </c>
      <c r="N561" s="202">
        <v>8</v>
      </c>
      <c r="O561" s="202">
        <v>46</v>
      </c>
      <c r="P561" s="202">
        <v>2</v>
      </c>
      <c r="Q561" s="202">
        <v>25</v>
      </c>
      <c r="R561" s="202">
        <v>11</v>
      </c>
      <c r="S561" s="202">
        <v>2</v>
      </c>
    </row>
    <row r="562" spans="1:19" x14ac:dyDescent="0.35">
      <c r="A562" s="202">
        <v>41</v>
      </c>
      <c r="B562" s="202">
        <v>25</v>
      </c>
      <c r="C562" s="202">
        <v>2</v>
      </c>
      <c r="D562" s="202">
        <v>14</v>
      </c>
      <c r="E562" s="202">
        <v>49</v>
      </c>
      <c r="F562" s="202">
        <v>4</v>
      </c>
      <c r="G562" s="202">
        <v>2</v>
      </c>
      <c r="H562" s="202">
        <v>31</v>
      </c>
      <c r="I562" s="202">
        <v>2</v>
      </c>
      <c r="K562" s="202">
        <v>14</v>
      </c>
      <c r="L562" s="202">
        <v>71</v>
      </c>
      <c r="M562" s="202">
        <v>2</v>
      </c>
      <c r="N562" s="202">
        <v>8</v>
      </c>
      <c r="O562" s="202">
        <v>43</v>
      </c>
      <c r="P562" s="202">
        <v>5</v>
      </c>
      <c r="Q562" s="202">
        <v>2</v>
      </c>
      <c r="R562" s="202">
        <v>22</v>
      </c>
      <c r="S562" s="202">
        <v>1</v>
      </c>
    </row>
    <row r="563" spans="1:19" x14ac:dyDescent="0.35">
      <c r="A563" s="202">
        <v>41</v>
      </c>
      <c r="B563" s="202">
        <v>43</v>
      </c>
      <c r="C563" s="202">
        <v>3</v>
      </c>
      <c r="D563" s="202">
        <v>4</v>
      </c>
      <c r="E563" s="202">
        <v>1</v>
      </c>
      <c r="F563" s="202">
        <v>1</v>
      </c>
      <c r="G563" s="202">
        <v>10</v>
      </c>
      <c r="H563" s="202">
        <v>52</v>
      </c>
      <c r="I563" s="202">
        <v>2</v>
      </c>
      <c r="K563" s="202">
        <v>51</v>
      </c>
      <c r="L563" s="202">
        <v>85</v>
      </c>
      <c r="M563" s="202">
        <v>4</v>
      </c>
      <c r="N563" s="202">
        <v>15</v>
      </c>
      <c r="O563" s="202">
        <v>49</v>
      </c>
      <c r="P563" s="202">
        <v>4</v>
      </c>
      <c r="Q563" s="202">
        <v>20</v>
      </c>
      <c r="R563" s="202">
        <v>30</v>
      </c>
      <c r="S563" s="202">
        <v>1</v>
      </c>
    </row>
    <row r="564" spans="1:19" x14ac:dyDescent="0.35">
      <c r="A564" s="202">
        <v>41</v>
      </c>
      <c r="B564" s="202">
        <v>43</v>
      </c>
      <c r="C564" s="202">
        <v>3</v>
      </c>
      <c r="D564" s="202">
        <v>4</v>
      </c>
      <c r="E564" s="202">
        <v>1</v>
      </c>
      <c r="F564" s="202">
        <v>5</v>
      </c>
      <c r="G564" s="202">
        <v>10</v>
      </c>
      <c r="H564" s="202">
        <v>48</v>
      </c>
      <c r="I564" s="202">
        <v>2</v>
      </c>
      <c r="K564" s="202">
        <v>33</v>
      </c>
      <c r="L564" s="202">
        <v>14</v>
      </c>
      <c r="M564" s="202">
        <v>3</v>
      </c>
      <c r="N564" s="202">
        <v>10</v>
      </c>
      <c r="O564" s="202">
        <v>25</v>
      </c>
      <c r="P564" s="202">
        <v>4</v>
      </c>
      <c r="Q564" s="202">
        <v>2</v>
      </c>
      <c r="R564" s="202">
        <v>86</v>
      </c>
      <c r="S564" s="202">
        <v>2</v>
      </c>
    </row>
    <row r="565" spans="1:19" x14ac:dyDescent="0.35">
      <c r="A565" s="202">
        <v>41</v>
      </c>
      <c r="B565" s="202">
        <v>46</v>
      </c>
      <c r="C565" s="202">
        <v>4</v>
      </c>
      <c r="D565" s="202">
        <v>15</v>
      </c>
      <c r="E565" s="202">
        <v>17</v>
      </c>
      <c r="F565" s="202">
        <v>5</v>
      </c>
      <c r="G565" s="202">
        <v>25</v>
      </c>
      <c r="H565" s="202">
        <v>11</v>
      </c>
      <c r="I565" s="202">
        <v>3</v>
      </c>
      <c r="K565" s="202">
        <v>45</v>
      </c>
      <c r="L565" s="202">
        <v>93</v>
      </c>
      <c r="M565" s="202">
        <v>2</v>
      </c>
      <c r="N565" s="202">
        <v>8</v>
      </c>
      <c r="O565" s="202">
        <v>43</v>
      </c>
      <c r="P565" s="202">
        <v>2</v>
      </c>
      <c r="Q565" s="202">
        <v>1</v>
      </c>
      <c r="R565" s="202">
        <v>45</v>
      </c>
      <c r="S565" s="202">
        <v>1</v>
      </c>
    </row>
    <row r="566" spans="1:19" x14ac:dyDescent="0.35">
      <c r="A566" s="202">
        <v>42</v>
      </c>
      <c r="B566" s="202">
        <v>63</v>
      </c>
      <c r="C566" s="202">
        <v>4</v>
      </c>
      <c r="D566" s="202">
        <v>15</v>
      </c>
      <c r="E566" s="202">
        <v>42</v>
      </c>
      <c r="F566" s="202">
        <v>1</v>
      </c>
      <c r="G566" s="202">
        <v>11</v>
      </c>
      <c r="H566" s="202">
        <v>34</v>
      </c>
      <c r="I566" s="202">
        <v>2</v>
      </c>
      <c r="K566" s="202">
        <v>38</v>
      </c>
      <c r="L566" s="202">
        <v>89</v>
      </c>
      <c r="M566" s="202">
        <v>3</v>
      </c>
      <c r="N566" s="202">
        <v>10</v>
      </c>
      <c r="O566" s="202">
        <v>49</v>
      </c>
      <c r="P566" s="202">
        <v>2</v>
      </c>
      <c r="Q566" s="202">
        <v>1</v>
      </c>
      <c r="R566" s="202">
        <v>11</v>
      </c>
      <c r="S566" s="202">
        <v>2</v>
      </c>
    </row>
    <row r="567" spans="1:19" x14ac:dyDescent="0.35">
      <c r="A567" s="202">
        <v>42</v>
      </c>
      <c r="B567" s="202">
        <v>63</v>
      </c>
      <c r="C567" s="202">
        <v>4</v>
      </c>
      <c r="D567" s="202">
        <v>15</v>
      </c>
      <c r="E567" s="202">
        <v>42</v>
      </c>
      <c r="F567" s="202">
        <v>5</v>
      </c>
      <c r="G567" s="202">
        <v>20</v>
      </c>
      <c r="H567" s="202">
        <v>51</v>
      </c>
      <c r="I567" s="202">
        <v>2</v>
      </c>
      <c r="K567" s="202">
        <v>43</v>
      </c>
      <c r="L567" s="202">
        <v>46</v>
      </c>
      <c r="M567" s="202">
        <v>4</v>
      </c>
      <c r="N567" s="202">
        <v>4</v>
      </c>
      <c r="O567" s="202">
        <v>43</v>
      </c>
      <c r="P567" s="202">
        <v>2</v>
      </c>
      <c r="Q567" s="202">
        <v>20</v>
      </c>
      <c r="R567" s="202">
        <v>15</v>
      </c>
      <c r="S567" s="202">
        <v>3</v>
      </c>
    </row>
    <row r="568" spans="1:19" x14ac:dyDescent="0.35">
      <c r="A568" s="202">
        <v>42</v>
      </c>
      <c r="B568" s="202">
        <v>63</v>
      </c>
      <c r="C568" s="202">
        <v>4</v>
      </c>
      <c r="D568" s="202">
        <v>4</v>
      </c>
      <c r="E568" s="202">
        <v>42</v>
      </c>
      <c r="F568" s="202">
        <v>2</v>
      </c>
      <c r="G568" s="202">
        <v>20</v>
      </c>
      <c r="H568" s="202">
        <v>5</v>
      </c>
      <c r="I568" s="202">
        <v>2</v>
      </c>
      <c r="K568" s="202">
        <v>83</v>
      </c>
      <c r="L568" s="202">
        <v>20</v>
      </c>
      <c r="M568" s="202">
        <v>2</v>
      </c>
      <c r="N568" s="202">
        <v>10</v>
      </c>
      <c r="O568" s="202">
        <v>26</v>
      </c>
      <c r="P568" s="202">
        <v>5</v>
      </c>
      <c r="Q568" s="202">
        <v>2</v>
      </c>
      <c r="R568" s="202">
        <v>29</v>
      </c>
      <c r="S568" s="202">
        <v>2</v>
      </c>
    </row>
    <row r="569" spans="1:19" x14ac:dyDescent="0.35">
      <c r="A569" s="202">
        <v>42</v>
      </c>
      <c r="B569" s="202">
        <v>63</v>
      </c>
      <c r="C569" s="202">
        <v>4</v>
      </c>
      <c r="D569" s="202">
        <v>4</v>
      </c>
      <c r="E569" s="202">
        <v>42</v>
      </c>
      <c r="F569" s="202">
        <v>4</v>
      </c>
      <c r="G569" s="202">
        <v>20</v>
      </c>
      <c r="H569" s="202">
        <v>28</v>
      </c>
      <c r="I569" s="202">
        <v>2</v>
      </c>
      <c r="K569" s="202">
        <v>63</v>
      </c>
      <c r="L569" s="202">
        <v>39</v>
      </c>
      <c r="M569" s="202">
        <v>2</v>
      </c>
      <c r="N569" s="202">
        <v>15</v>
      </c>
      <c r="O569" s="202">
        <v>50</v>
      </c>
      <c r="P569" s="202">
        <v>3</v>
      </c>
      <c r="Q569" s="202">
        <v>1</v>
      </c>
      <c r="R569" s="202">
        <v>11</v>
      </c>
      <c r="S569" s="202">
        <v>1</v>
      </c>
    </row>
    <row r="570" spans="1:19" x14ac:dyDescent="0.35">
      <c r="A570" s="202">
        <v>42</v>
      </c>
      <c r="B570" s="202">
        <v>70</v>
      </c>
      <c r="C570" s="202">
        <v>4</v>
      </c>
      <c r="D570" s="202">
        <v>15</v>
      </c>
      <c r="E570" s="202">
        <v>29</v>
      </c>
      <c r="F570" s="202">
        <v>2</v>
      </c>
      <c r="G570" s="202">
        <v>11</v>
      </c>
      <c r="H570" s="202">
        <v>20</v>
      </c>
      <c r="I570" s="202">
        <v>1</v>
      </c>
      <c r="K570" s="202">
        <v>68</v>
      </c>
      <c r="L570" s="202">
        <v>31</v>
      </c>
      <c r="M570" s="202">
        <v>4</v>
      </c>
      <c r="N570" s="202">
        <v>15</v>
      </c>
      <c r="O570" s="202">
        <v>44</v>
      </c>
      <c r="P570" s="202">
        <v>2</v>
      </c>
      <c r="Q570" s="202">
        <v>20</v>
      </c>
      <c r="R570" s="202">
        <v>24</v>
      </c>
      <c r="S570" s="202">
        <v>2</v>
      </c>
    </row>
    <row r="571" spans="1:19" x14ac:dyDescent="0.35">
      <c r="A571" s="202">
        <v>42</v>
      </c>
      <c r="B571" s="202">
        <v>70</v>
      </c>
      <c r="C571" s="202">
        <v>4</v>
      </c>
      <c r="D571" s="202">
        <v>15</v>
      </c>
      <c r="E571" s="202">
        <v>29</v>
      </c>
      <c r="F571" s="202">
        <v>5</v>
      </c>
      <c r="G571" s="202">
        <v>2</v>
      </c>
      <c r="H571" s="202">
        <v>52</v>
      </c>
      <c r="I571" s="202">
        <v>1</v>
      </c>
      <c r="K571" s="202">
        <v>55</v>
      </c>
      <c r="L571" s="202">
        <v>25</v>
      </c>
      <c r="M571" s="202">
        <v>4</v>
      </c>
      <c r="N571" s="202">
        <v>15</v>
      </c>
      <c r="O571" s="202">
        <v>51</v>
      </c>
      <c r="P571" s="202">
        <v>1</v>
      </c>
      <c r="Q571" s="202">
        <v>2</v>
      </c>
      <c r="R571" s="202">
        <v>31</v>
      </c>
      <c r="S571" s="202">
        <v>2</v>
      </c>
    </row>
    <row r="572" spans="1:19" x14ac:dyDescent="0.35">
      <c r="A572" s="202">
        <v>42</v>
      </c>
      <c r="B572" s="202">
        <v>28</v>
      </c>
      <c r="C572" s="202">
        <v>1</v>
      </c>
      <c r="D572" s="202">
        <v>16</v>
      </c>
      <c r="E572" s="202">
        <v>48</v>
      </c>
      <c r="F572" s="202">
        <v>1</v>
      </c>
      <c r="G572" s="202">
        <v>20</v>
      </c>
      <c r="H572" s="202">
        <v>37</v>
      </c>
      <c r="I572" s="202">
        <v>2</v>
      </c>
      <c r="K572" s="202">
        <v>29</v>
      </c>
      <c r="L572" s="202">
        <v>25</v>
      </c>
      <c r="M572" s="202">
        <v>2</v>
      </c>
      <c r="N572" s="202">
        <v>17</v>
      </c>
      <c r="O572" s="202">
        <v>43</v>
      </c>
      <c r="P572" s="202">
        <v>2</v>
      </c>
      <c r="Q572" s="202">
        <v>18</v>
      </c>
      <c r="R572" s="202">
        <v>46</v>
      </c>
      <c r="S572" s="202">
        <v>2</v>
      </c>
    </row>
    <row r="573" spans="1:19" x14ac:dyDescent="0.35">
      <c r="A573" s="202">
        <v>42</v>
      </c>
      <c r="B573" s="202">
        <v>28</v>
      </c>
      <c r="C573" s="202">
        <v>1</v>
      </c>
      <c r="D573" s="202">
        <v>16</v>
      </c>
      <c r="E573" s="202">
        <v>48</v>
      </c>
      <c r="F573" s="202">
        <v>2</v>
      </c>
      <c r="G573" s="202">
        <v>20</v>
      </c>
      <c r="H573" s="202">
        <v>37</v>
      </c>
      <c r="I573" s="202">
        <v>2</v>
      </c>
      <c r="K573" s="202">
        <v>50</v>
      </c>
      <c r="L573" s="202">
        <v>25</v>
      </c>
      <c r="M573" s="202">
        <v>2</v>
      </c>
      <c r="N573" s="202">
        <v>10</v>
      </c>
      <c r="O573" s="202">
        <v>50</v>
      </c>
      <c r="P573" s="202">
        <v>1</v>
      </c>
      <c r="Q573" s="202">
        <v>2</v>
      </c>
      <c r="R573" s="202">
        <v>8</v>
      </c>
      <c r="S573" s="202">
        <v>2</v>
      </c>
    </row>
    <row r="574" spans="1:19" x14ac:dyDescent="0.35">
      <c r="A574" s="202">
        <v>42</v>
      </c>
      <c r="B574" s="202">
        <v>64</v>
      </c>
      <c r="C574" s="202">
        <v>1</v>
      </c>
      <c r="D574" s="202">
        <v>16</v>
      </c>
      <c r="E574" s="202">
        <v>43</v>
      </c>
      <c r="F574" s="202">
        <v>4</v>
      </c>
      <c r="G574" s="202">
        <v>1</v>
      </c>
      <c r="H574" s="202">
        <v>37</v>
      </c>
      <c r="I574" s="202">
        <v>2</v>
      </c>
      <c r="K574" s="202">
        <v>24</v>
      </c>
      <c r="L574" s="202">
        <v>10</v>
      </c>
      <c r="M574" s="202">
        <v>1</v>
      </c>
      <c r="N574" s="202">
        <v>13</v>
      </c>
      <c r="O574" s="202">
        <v>49</v>
      </c>
      <c r="P574" s="202">
        <v>2</v>
      </c>
      <c r="Q574" s="202">
        <v>20</v>
      </c>
      <c r="R574" s="202">
        <v>3</v>
      </c>
      <c r="S574" s="202">
        <v>2</v>
      </c>
    </row>
    <row r="575" spans="1:19" x14ac:dyDescent="0.35">
      <c r="A575" s="202">
        <v>42</v>
      </c>
      <c r="B575" s="202">
        <v>64</v>
      </c>
      <c r="C575" s="202">
        <v>1</v>
      </c>
      <c r="D575" s="202">
        <v>16</v>
      </c>
      <c r="E575" s="202">
        <v>43</v>
      </c>
      <c r="F575" s="202">
        <v>5</v>
      </c>
      <c r="G575" s="202">
        <v>1</v>
      </c>
      <c r="H575" s="202">
        <v>37</v>
      </c>
      <c r="I575" s="202">
        <v>2</v>
      </c>
      <c r="K575" s="202">
        <v>75</v>
      </c>
      <c r="L575" s="202">
        <v>24</v>
      </c>
      <c r="M575" s="202">
        <v>2</v>
      </c>
      <c r="N575" s="202">
        <v>15</v>
      </c>
      <c r="O575" s="202">
        <v>25</v>
      </c>
      <c r="P575" s="202">
        <v>5</v>
      </c>
      <c r="Q575" s="202">
        <v>23</v>
      </c>
      <c r="R575" s="202">
        <v>22</v>
      </c>
      <c r="S575" s="202">
        <v>2</v>
      </c>
    </row>
    <row r="576" spans="1:19" x14ac:dyDescent="0.35">
      <c r="A576" s="202">
        <v>42</v>
      </c>
      <c r="B576" s="202">
        <v>79</v>
      </c>
      <c r="C576" s="202">
        <v>2</v>
      </c>
      <c r="D576" s="202">
        <v>17</v>
      </c>
      <c r="E576" s="202">
        <v>42</v>
      </c>
      <c r="F576" s="202">
        <v>2</v>
      </c>
      <c r="G576" s="202">
        <v>11</v>
      </c>
      <c r="H576" s="202">
        <v>22</v>
      </c>
      <c r="I576" s="202">
        <v>2</v>
      </c>
      <c r="K576" s="202">
        <v>64</v>
      </c>
      <c r="L576" s="202">
        <v>28</v>
      </c>
      <c r="M576" s="202">
        <v>3</v>
      </c>
      <c r="N576" s="202">
        <v>15</v>
      </c>
      <c r="O576" s="202">
        <v>44</v>
      </c>
      <c r="P576" s="202">
        <v>5</v>
      </c>
      <c r="Q576" s="202">
        <v>22</v>
      </c>
      <c r="R576" s="202">
        <v>46</v>
      </c>
      <c r="S576" s="202">
        <v>1</v>
      </c>
    </row>
    <row r="577" spans="1:19" x14ac:dyDescent="0.35">
      <c r="A577" s="202">
        <v>42</v>
      </c>
      <c r="B577" s="202">
        <v>79</v>
      </c>
      <c r="C577" s="202">
        <v>2</v>
      </c>
      <c r="D577" s="202">
        <v>17</v>
      </c>
      <c r="E577" s="202">
        <v>42</v>
      </c>
      <c r="F577" s="202">
        <v>4</v>
      </c>
      <c r="G577" s="202">
        <v>11</v>
      </c>
      <c r="H577" s="202">
        <v>22</v>
      </c>
      <c r="I577" s="202">
        <v>2</v>
      </c>
      <c r="K577" s="202">
        <v>37</v>
      </c>
      <c r="L577" s="202">
        <v>16</v>
      </c>
      <c r="M577" s="202">
        <v>4</v>
      </c>
      <c r="N577" s="202">
        <v>8</v>
      </c>
      <c r="O577" s="202">
        <v>49</v>
      </c>
      <c r="P577" s="202">
        <v>1</v>
      </c>
      <c r="Q577" s="202">
        <v>25</v>
      </c>
      <c r="R577" s="202">
        <v>33</v>
      </c>
      <c r="S577" s="202">
        <v>2</v>
      </c>
    </row>
    <row r="578" spans="1:19" x14ac:dyDescent="0.35">
      <c r="A578" s="202">
        <v>42</v>
      </c>
      <c r="B578" s="202">
        <v>67</v>
      </c>
      <c r="C578" s="202">
        <v>2</v>
      </c>
      <c r="D578" s="202">
        <v>17</v>
      </c>
      <c r="E578" s="202">
        <v>43</v>
      </c>
      <c r="F578" s="202">
        <v>1</v>
      </c>
      <c r="G578" s="202">
        <v>15</v>
      </c>
      <c r="H578" s="202">
        <v>34</v>
      </c>
      <c r="I578" s="202">
        <v>1</v>
      </c>
      <c r="K578" s="202">
        <v>7</v>
      </c>
      <c r="L578" s="202">
        <v>85</v>
      </c>
      <c r="M578" s="202">
        <v>4</v>
      </c>
      <c r="N578" s="202">
        <v>15</v>
      </c>
      <c r="O578" s="202">
        <v>27</v>
      </c>
      <c r="P578" s="202">
        <v>1</v>
      </c>
      <c r="Q578" s="202">
        <v>18</v>
      </c>
      <c r="R578" s="202">
        <v>1</v>
      </c>
      <c r="S578" s="202">
        <v>2</v>
      </c>
    </row>
    <row r="579" spans="1:19" x14ac:dyDescent="0.35">
      <c r="A579" s="202">
        <v>42</v>
      </c>
      <c r="B579" s="202">
        <v>67</v>
      </c>
      <c r="C579" s="202">
        <v>2</v>
      </c>
      <c r="D579" s="202">
        <v>17</v>
      </c>
      <c r="E579" s="202">
        <v>43</v>
      </c>
      <c r="F579" s="202">
        <v>4</v>
      </c>
      <c r="G579" s="202">
        <v>15</v>
      </c>
      <c r="H579" s="202">
        <v>34</v>
      </c>
      <c r="I579" s="202">
        <v>1</v>
      </c>
      <c r="K579" s="202">
        <v>13</v>
      </c>
      <c r="L579" s="202">
        <v>103</v>
      </c>
      <c r="M579" s="202">
        <v>4</v>
      </c>
      <c r="N579" s="202">
        <v>15</v>
      </c>
      <c r="O579" s="202">
        <v>51</v>
      </c>
      <c r="P579" s="202">
        <v>2</v>
      </c>
      <c r="Q579" s="202">
        <v>20</v>
      </c>
      <c r="R579" s="202">
        <v>5</v>
      </c>
      <c r="S579" s="202">
        <v>1</v>
      </c>
    </row>
    <row r="580" spans="1:19" x14ac:dyDescent="0.35">
      <c r="A580" s="202">
        <v>42</v>
      </c>
      <c r="B580" s="202">
        <v>33</v>
      </c>
      <c r="C580" s="202">
        <v>3</v>
      </c>
      <c r="D580" s="202">
        <v>15</v>
      </c>
      <c r="E580" s="202">
        <v>38</v>
      </c>
      <c r="F580" s="202">
        <v>2</v>
      </c>
      <c r="G580" s="202">
        <v>10</v>
      </c>
      <c r="H580" s="202">
        <v>39</v>
      </c>
      <c r="I580" s="202">
        <v>2</v>
      </c>
      <c r="K580" s="202">
        <v>28</v>
      </c>
      <c r="L580" s="202">
        <v>101</v>
      </c>
      <c r="M580" s="202">
        <v>4</v>
      </c>
      <c r="N580" s="202">
        <v>8</v>
      </c>
      <c r="O580" s="202">
        <v>49</v>
      </c>
      <c r="P580" s="202">
        <v>5</v>
      </c>
      <c r="Q580" s="202">
        <v>2</v>
      </c>
      <c r="R580" s="202">
        <v>22</v>
      </c>
      <c r="S580" s="202">
        <v>3</v>
      </c>
    </row>
    <row r="581" spans="1:19" x14ac:dyDescent="0.35">
      <c r="A581" s="202">
        <v>42</v>
      </c>
      <c r="B581" s="202">
        <v>33</v>
      </c>
      <c r="C581" s="202">
        <v>3</v>
      </c>
      <c r="D581" s="202">
        <v>15</v>
      </c>
      <c r="E581" s="202">
        <v>38</v>
      </c>
      <c r="F581" s="202">
        <v>4</v>
      </c>
      <c r="G581" s="202">
        <v>1</v>
      </c>
      <c r="H581" s="202">
        <v>39</v>
      </c>
      <c r="I581" s="202">
        <v>2</v>
      </c>
      <c r="K581" s="202">
        <v>76</v>
      </c>
      <c r="L581" s="202">
        <v>21</v>
      </c>
      <c r="M581" s="202">
        <v>2</v>
      </c>
      <c r="N581" s="202">
        <v>3</v>
      </c>
      <c r="O581" s="202">
        <v>28</v>
      </c>
      <c r="P581" s="202">
        <v>5</v>
      </c>
      <c r="Q581" s="202">
        <v>10</v>
      </c>
      <c r="R581" s="202">
        <v>10</v>
      </c>
      <c r="S581" s="202">
        <v>2</v>
      </c>
    </row>
    <row r="582" spans="1:19" x14ac:dyDescent="0.35">
      <c r="A582" s="202">
        <v>43</v>
      </c>
      <c r="B582" s="202">
        <v>104</v>
      </c>
      <c r="C582" s="202">
        <v>2</v>
      </c>
      <c r="D582" s="202">
        <v>10</v>
      </c>
      <c r="E582" s="202">
        <v>26</v>
      </c>
      <c r="F582" s="202">
        <v>2</v>
      </c>
      <c r="G582" s="202">
        <v>2</v>
      </c>
      <c r="H582" s="202">
        <v>99</v>
      </c>
      <c r="I582" s="202">
        <v>2</v>
      </c>
      <c r="K582" s="202">
        <v>37</v>
      </c>
      <c r="L582" s="202">
        <v>24</v>
      </c>
      <c r="M582" s="202">
        <v>2</v>
      </c>
      <c r="N582" s="202">
        <v>10</v>
      </c>
      <c r="O582" s="202">
        <v>48</v>
      </c>
      <c r="P582" s="202">
        <v>5</v>
      </c>
      <c r="Q582" s="202">
        <v>2</v>
      </c>
      <c r="R582" s="202">
        <v>18</v>
      </c>
      <c r="S582" s="202">
        <v>2</v>
      </c>
    </row>
    <row r="583" spans="1:19" x14ac:dyDescent="0.35">
      <c r="A583" s="202">
        <v>43</v>
      </c>
      <c r="B583" s="202">
        <v>104</v>
      </c>
      <c r="C583" s="202">
        <v>2</v>
      </c>
      <c r="D583" s="202">
        <v>10</v>
      </c>
      <c r="E583" s="202">
        <v>26</v>
      </c>
      <c r="F583" s="202">
        <v>5</v>
      </c>
      <c r="G583" s="202">
        <v>20</v>
      </c>
      <c r="H583" s="202">
        <v>8</v>
      </c>
      <c r="I583" s="202">
        <v>2</v>
      </c>
      <c r="K583" s="202">
        <v>48</v>
      </c>
      <c r="L583" s="202">
        <v>46</v>
      </c>
      <c r="M583" s="202">
        <v>4</v>
      </c>
      <c r="N583" s="202">
        <v>10</v>
      </c>
      <c r="O583" s="202">
        <v>48</v>
      </c>
      <c r="P583" s="202">
        <v>1</v>
      </c>
      <c r="Q583" s="202">
        <v>10</v>
      </c>
      <c r="R583" s="202">
        <v>36</v>
      </c>
      <c r="S583" s="202">
        <v>1</v>
      </c>
    </row>
    <row r="584" spans="1:19" x14ac:dyDescent="0.35">
      <c r="A584" s="202">
        <v>43</v>
      </c>
      <c r="B584" s="202">
        <v>104</v>
      </c>
      <c r="C584" s="202">
        <v>2</v>
      </c>
      <c r="D584" s="202">
        <v>10</v>
      </c>
      <c r="E584" s="202">
        <v>27</v>
      </c>
      <c r="F584" s="202">
        <v>2</v>
      </c>
      <c r="G584" s="202">
        <v>11</v>
      </c>
      <c r="H584" s="202">
        <v>24</v>
      </c>
      <c r="I584" s="202">
        <v>1</v>
      </c>
      <c r="K584" s="202">
        <v>71</v>
      </c>
      <c r="L584" s="202">
        <v>20</v>
      </c>
      <c r="M584" s="202">
        <v>4</v>
      </c>
      <c r="N584" s="202">
        <v>15</v>
      </c>
      <c r="O584" s="202">
        <v>50</v>
      </c>
      <c r="P584" s="202">
        <v>1</v>
      </c>
      <c r="Q584" s="202">
        <v>23</v>
      </c>
      <c r="R584" s="202">
        <v>19</v>
      </c>
      <c r="S584" s="202">
        <v>1</v>
      </c>
    </row>
    <row r="585" spans="1:19" x14ac:dyDescent="0.35">
      <c r="A585" s="202">
        <v>43</v>
      </c>
      <c r="B585" s="202">
        <v>104</v>
      </c>
      <c r="C585" s="202">
        <v>2</v>
      </c>
      <c r="D585" s="202">
        <v>10</v>
      </c>
      <c r="E585" s="202">
        <v>27</v>
      </c>
      <c r="F585" s="202">
        <v>5</v>
      </c>
      <c r="G585" s="202">
        <v>20</v>
      </c>
      <c r="H585" s="202">
        <v>30</v>
      </c>
      <c r="I585" s="202">
        <v>1</v>
      </c>
      <c r="K585" s="202">
        <v>74</v>
      </c>
      <c r="L585" s="202">
        <v>42</v>
      </c>
      <c r="M585" s="202">
        <v>4</v>
      </c>
      <c r="N585" s="202">
        <v>8</v>
      </c>
      <c r="O585" s="202">
        <v>50</v>
      </c>
      <c r="P585" s="202">
        <v>5</v>
      </c>
      <c r="Q585" s="202">
        <v>23</v>
      </c>
      <c r="R585" s="202">
        <v>7</v>
      </c>
      <c r="S585" s="202">
        <v>1</v>
      </c>
    </row>
    <row r="586" spans="1:19" x14ac:dyDescent="0.35">
      <c r="A586" s="202">
        <v>43</v>
      </c>
      <c r="B586" s="202">
        <v>49</v>
      </c>
      <c r="C586" s="202">
        <v>2</v>
      </c>
      <c r="D586" s="202">
        <v>10</v>
      </c>
      <c r="E586" s="202">
        <v>27</v>
      </c>
      <c r="F586" s="202">
        <v>1</v>
      </c>
      <c r="G586" s="202">
        <v>20</v>
      </c>
      <c r="H586" s="202">
        <v>45</v>
      </c>
      <c r="I586" s="202">
        <v>2</v>
      </c>
      <c r="K586" s="202">
        <v>27</v>
      </c>
      <c r="L586" s="202">
        <v>22</v>
      </c>
      <c r="M586" s="202">
        <v>2</v>
      </c>
      <c r="N586" s="202">
        <v>15</v>
      </c>
      <c r="O586" s="202">
        <v>1</v>
      </c>
      <c r="P586" s="202">
        <v>2</v>
      </c>
      <c r="Q586" s="202">
        <v>18</v>
      </c>
      <c r="R586" s="202">
        <v>22</v>
      </c>
      <c r="S586" s="202">
        <v>2</v>
      </c>
    </row>
    <row r="587" spans="1:19" x14ac:dyDescent="0.35">
      <c r="A587" s="202">
        <v>43</v>
      </c>
      <c r="B587" s="202">
        <v>49</v>
      </c>
      <c r="C587" s="202">
        <v>2</v>
      </c>
      <c r="D587" s="202">
        <v>10</v>
      </c>
      <c r="E587" s="202">
        <v>27</v>
      </c>
      <c r="F587" s="202">
        <v>3</v>
      </c>
      <c r="G587" s="202">
        <v>20</v>
      </c>
      <c r="H587" s="202">
        <v>30</v>
      </c>
      <c r="I587" s="202">
        <v>2</v>
      </c>
      <c r="K587" s="202">
        <v>83</v>
      </c>
      <c r="L587" s="202">
        <v>25</v>
      </c>
      <c r="M587" s="202">
        <v>4</v>
      </c>
      <c r="N587" s="202">
        <v>10</v>
      </c>
      <c r="O587" s="202">
        <v>48</v>
      </c>
      <c r="P587" s="202">
        <v>4</v>
      </c>
      <c r="Q587" s="202">
        <v>23</v>
      </c>
      <c r="R587" s="202">
        <v>29</v>
      </c>
      <c r="S587" s="202">
        <v>2</v>
      </c>
    </row>
    <row r="588" spans="1:19" x14ac:dyDescent="0.35">
      <c r="A588" s="202">
        <v>43</v>
      </c>
      <c r="B588" s="202">
        <v>92</v>
      </c>
      <c r="C588" s="202">
        <v>4</v>
      </c>
      <c r="D588" s="202">
        <v>10</v>
      </c>
      <c r="E588" s="202">
        <v>1</v>
      </c>
      <c r="F588" s="202">
        <v>2</v>
      </c>
      <c r="G588" s="202">
        <v>20</v>
      </c>
      <c r="H588" s="202">
        <v>27</v>
      </c>
      <c r="I588" s="202">
        <v>1</v>
      </c>
      <c r="K588" s="202">
        <v>39</v>
      </c>
      <c r="L588" s="202">
        <v>17</v>
      </c>
      <c r="M588" s="202">
        <v>4</v>
      </c>
      <c r="N588" s="202">
        <v>10</v>
      </c>
      <c r="O588" s="202">
        <v>1</v>
      </c>
      <c r="P588" s="202">
        <v>1</v>
      </c>
      <c r="Q588" s="202">
        <v>2</v>
      </c>
      <c r="R588" s="202">
        <v>65</v>
      </c>
      <c r="S588" s="202">
        <v>1</v>
      </c>
    </row>
    <row r="589" spans="1:19" x14ac:dyDescent="0.35">
      <c r="A589" s="202">
        <v>43</v>
      </c>
      <c r="B589" s="202">
        <v>92</v>
      </c>
      <c r="C589" s="202">
        <v>4</v>
      </c>
      <c r="D589" s="202">
        <v>10</v>
      </c>
      <c r="E589" s="202">
        <v>1</v>
      </c>
      <c r="F589" s="202">
        <v>3</v>
      </c>
      <c r="G589" s="202">
        <v>24</v>
      </c>
      <c r="H589" s="202">
        <v>8</v>
      </c>
      <c r="I589" s="202">
        <v>1</v>
      </c>
      <c r="K589" s="202">
        <v>33</v>
      </c>
      <c r="L589" s="202">
        <v>59</v>
      </c>
      <c r="M589" s="202">
        <v>3</v>
      </c>
      <c r="N589" s="202">
        <v>15</v>
      </c>
      <c r="O589" s="202">
        <v>4</v>
      </c>
      <c r="P589" s="202">
        <v>3</v>
      </c>
      <c r="Q589" s="202">
        <v>10</v>
      </c>
      <c r="R589" s="202">
        <v>8</v>
      </c>
      <c r="S589" s="202">
        <v>1</v>
      </c>
    </row>
    <row r="590" spans="1:19" x14ac:dyDescent="0.35">
      <c r="A590" s="202">
        <v>43</v>
      </c>
      <c r="B590" s="202">
        <v>25</v>
      </c>
      <c r="C590" s="202">
        <v>2</v>
      </c>
      <c r="D590" s="202">
        <v>4</v>
      </c>
      <c r="E590" s="202">
        <v>48</v>
      </c>
      <c r="F590" s="202">
        <v>1</v>
      </c>
      <c r="G590" s="202">
        <v>10</v>
      </c>
      <c r="H590" s="202">
        <v>11</v>
      </c>
      <c r="I590" s="202">
        <v>2</v>
      </c>
      <c r="K590" s="202">
        <v>1</v>
      </c>
      <c r="L590" s="202">
        <v>17</v>
      </c>
      <c r="M590" s="202">
        <v>3</v>
      </c>
      <c r="N590" s="202">
        <v>15</v>
      </c>
      <c r="O590" s="202">
        <v>43</v>
      </c>
      <c r="P590" s="202">
        <v>5</v>
      </c>
      <c r="Q590" s="202">
        <v>23</v>
      </c>
      <c r="R590" s="202">
        <v>24</v>
      </c>
      <c r="S590" s="202">
        <v>2</v>
      </c>
    </row>
    <row r="591" spans="1:19" x14ac:dyDescent="0.35">
      <c r="A591" s="202">
        <v>43</v>
      </c>
      <c r="B591" s="202">
        <v>25</v>
      </c>
      <c r="C591" s="202">
        <v>2</v>
      </c>
      <c r="D591" s="202">
        <v>4</v>
      </c>
      <c r="E591" s="202">
        <v>48</v>
      </c>
      <c r="F591" s="202">
        <v>4</v>
      </c>
      <c r="G591" s="202">
        <v>19</v>
      </c>
      <c r="H591" s="202">
        <v>35</v>
      </c>
      <c r="I591" s="202">
        <v>2</v>
      </c>
      <c r="K591" s="202">
        <v>37</v>
      </c>
      <c r="L591" s="202">
        <v>28</v>
      </c>
      <c r="M591" s="202">
        <v>2</v>
      </c>
      <c r="N591" s="202">
        <v>18</v>
      </c>
      <c r="O591" s="202">
        <v>53</v>
      </c>
      <c r="P591" s="202">
        <v>2</v>
      </c>
      <c r="Q591" s="202">
        <v>24</v>
      </c>
      <c r="R591" s="202">
        <v>35</v>
      </c>
      <c r="S591" s="202">
        <v>1</v>
      </c>
    </row>
    <row r="592" spans="1:19" x14ac:dyDescent="0.35">
      <c r="A592" s="202">
        <v>43</v>
      </c>
      <c r="B592" s="202">
        <v>48</v>
      </c>
      <c r="C592" s="202">
        <v>2</v>
      </c>
      <c r="D592" s="202">
        <v>4</v>
      </c>
      <c r="E592" s="202">
        <v>25</v>
      </c>
      <c r="F592" s="202">
        <v>1</v>
      </c>
      <c r="G592" s="202">
        <v>11</v>
      </c>
      <c r="H592" s="202">
        <v>27</v>
      </c>
      <c r="I592" s="202">
        <v>1</v>
      </c>
      <c r="K592" s="202">
        <v>10</v>
      </c>
      <c r="L592" s="202">
        <v>50</v>
      </c>
      <c r="M592" s="202">
        <v>2</v>
      </c>
      <c r="N592" s="202">
        <v>17</v>
      </c>
      <c r="O592" s="202">
        <v>26</v>
      </c>
      <c r="P592" s="202">
        <v>4</v>
      </c>
      <c r="Q592" s="202">
        <v>25</v>
      </c>
      <c r="R592" s="202">
        <v>19</v>
      </c>
      <c r="S592" s="202">
        <v>2</v>
      </c>
    </row>
    <row r="593" spans="1:19" x14ac:dyDescent="0.35">
      <c r="A593" s="202">
        <v>43</v>
      </c>
      <c r="B593" s="202">
        <v>48</v>
      </c>
      <c r="C593" s="202">
        <v>2</v>
      </c>
      <c r="D593" s="202">
        <v>4</v>
      </c>
      <c r="E593" s="202">
        <v>25</v>
      </c>
      <c r="F593" s="202">
        <v>5</v>
      </c>
      <c r="G593" s="202">
        <v>8</v>
      </c>
      <c r="H593" s="202">
        <v>20</v>
      </c>
      <c r="I593" s="202">
        <v>1</v>
      </c>
      <c r="K593" s="202">
        <v>29</v>
      </c>
      <c r="L593" s="202">
        <v>14</v>
      </c>
      <c r="M593" s="202">
        <v>4</v>
      </c>
      <c r="N593" s="202">
        <v>17</v>
      </c>
      <c r="O593" s="202">
        <v>4</v>
      </c>
      <c r="P593" s="202">
        <v>5</v>
      </c>
      <c r="Q593" s="202">
        <v>7</v>
      </c>
      <c r="R593" s="202">
        <v>38</v>
      </c>
      <c r="S593" s="202">
        <v>1</v>
      </c>
    </row>
    <row r="594" spans="1:19" x14ac:dyDescent="0.35">
      <c r="A594" s="202">
        <v>43</v>
      </c>
      <c r="B594" s="202">
        <v>5</v>
      </c>
      <c r="C594" s="202">
        <v>2</v>
      </c>
      <c r="D594" s="202">
        <v>16</v>
      </c>
      <c r="E594" s="202">
        <v>43</v>
      </c>
      <c r="F594" s="202">
        <v>4</v>
      </c>
      <c r="G594" s="202">
        <v>11</v>
      </c>
      <c r="H594" s="202">
        <v>8</v>
      </c>
      <c r="I594" s="202">
        <v>2</v>
      </c>
      <c r="K594" s="202">
        <v>66</v>
      </c>
      <c r="L594" s="202">
        <v>30</v>
      </c>
      <c r="M594" s="202">
        <v>4</v>
      </c>
      <c r="N594" s="202">
        <v>15</v>
      </c>
      <c r="O594" s="202">
        <v>42</v>
      </c>
      <c r="P594" s="202">
        <v>5</v>
      </c>
      <c r="Q594" s="202">
        <v>19</v>
      </c>
      <c r="R594" s="202">
        <v>51</v>
      </c>
      <c r="S594" s="202">
        <v>1</v>
      </c>
    </row>
    <row r="595" spans="1:19" x14ac:dyDescent="0.35">
      <c r="A595" s="202">
        <v>43</v>
      </c>
      <c r="B595" s="202">
        <v>5</v>
      </c>
      <c r="C595" s="202">
        <v>2</v>
      </c>
      <c r="D595" s="202">
        <v>16</v>
      </c>
      <c r="E595" s="202">
        <v>43</v>
      </c>
      <c r="F595" s="202">
        <v>5</v>
      </c>
      <c r="G595" s="202">
        <v>8</v>
      </c>
      <c r="H595" s="202">
        <v>8</v>
      </c>
      <c r="I595" s="202">
        <v>2</v>
      </c>
      <c r="K595" s="202">
        <v>55</v>
      </c>
      <c r="L595" s="202">
        <v>24</v>
      </c>
      <c r="M595" s="202">
        <v>4</v>
      </c>
      <c r="N595" s="202">
        <v>15</v>
      </c>
      <c r="O595" s="202">
        <v>42</v>
      </c>
      <c r="P595" s="202">
        <v>2</v>
      </c>
      <c r="Q595" s="202">
        <v>20</v>
      </c>
      <c r="R595" s="202">
        <v>38</v>
      </c>
      <c r="S595" s="202">
        <v>2</v>
      </c>
    </row>
    <row r="596" spans="1:19" x14ac:dyDescent="0.35">
      <c r="A596" s="202">
        <v>43</v>
      </c>
      <c r="B596" s="202">
        <v>93</v>
      </c>
      <c r="C596" s="202">
        <v>2</v>
      </c>
      <c r="D596" s="202">
        <v>17</v>
      </c>
      <c r="E596" s="202">
        <v>49</v>
      </c>
      <c r="F596" s="202">
        <v>1</v>
      </c>
      <c r="G596" s="202">
        <v>2</v>
      </c>
      <c r="H596" s="202">
        <v>21</v>
      </c>
      <c r="I596" s="202">
        <v>1</v>
      </c>
      <c r="K596" s="202">
        <v>48</v>
      </c>
      <c r="L596" s="202">
        <v>24</v>
      </c>
      <c r="M596" s="202">
        <v>3</v>
      </c>
      <c r="N596" s="202">
        <v>8</v>
      </c>
      <c r="O596" s="202">
        <v>25</v>
      </c>
      <c r="P596" s="202">
        <v>5</v>
      </c>
      <c r="Q596" s="202">
        <v>11</v>
      </c>
      <c r="R596" s="202">
        <v>96</v>
      </c>
      <c r="S596" s="202">
        <v>1</v>
      </c>
    </row>
    <row r="597" spans="1:19" x14ac:dyDescent="0.35">
      <c r="A597" s="202">
        <v>43</v>
      </c>
      <c r="B597" s="202">
        <v>93</v>
      </c>
      <c r="C597" s="202">
        <v>2</v>
      </c>
      <c r="D597" s="202">
        <v>17</v>
      </c>
      <c r="E597" s="202">
        <v>49</v>
      </c>
      <c r="F597" s="202">
        <v>4</v>
      </c>
      <c r="G597" s="202">
        <v>2</v>
      </c>
      <c r="H597" s="202">
        <v>21</v>
      </c>
      <c r="I597" s="202">
        <v>1</v>
      </c>
      <c r="K597" s="202">
        <v>1</v>
      </c>
      <c r="L597" s="202">
        <v>33</v>
      </c>
      <c r="M597" s="202">
        <v>1</v>
      </c>
      <c r="N597" s="202">
        <v>8</v>
      </c>
      <c r="O597" s="202">
        <v>29</v>
      </c>
      <c r="P597" s="202">
        <v>1</v>
      </c>
      <c r="Q597" s="202">
        <v>2</v>
      </c>
      <c r="R597" s="202">
        <v>6</v>
      </c>
      <c r="S597" s="202">
        <v>1</v>
      </c>
    </row>
    <row r="598" spans="1:19" x14ac:dyDescent="0.35">
      <c r="A598" s="202">
        <v>43</v>
      </c>
      <c r="B598" s="202">
        <v>67</v>
      </c>
      <c r="C598" s="202">
        <v>2</v>
      </c>
      <c r="D598" s="202">
        <v>17</v>
      </c>
      <c r="E598" s="202">
        <v>47</v>
      </c>
      <c r="F598" s="202">
        <v>1</v>
      </c>
      <c r="G598" s="202">
        <v>22</v>
      </c>
      <c r="H598" s="202">
        <v>9</v>
      </c>
      <c r="I598" s="202">
        <v>1</v>
      </c>
      <c r="K598" s="202">
        <v>76</v>
      </c>
      <c r="L598" s="202">
        <v>17</v>
      </c>
      <c r="M598" s="202">
        <v>4</v>
      </c>
      <c r="N598" s="202">
        <v>10</v>
      </c>
      <c r="O598" s="202">
        <v>47</v>
      </c>
      <c r="P598" s="202">
        <v>3</v>
      </c>
      <c r="Q598" s="202">
        <v>11</v>
      </c>
      <c r="R598" s="202">
        <v>39</v>
      </c>
      <c r="S598" s="202">
        <v>2</v>
      </c>
    </row>
    <row r="599" spans="1:19" x14ac:dyDescent="0.35">
      <c r="A599" s="202">
        <v>43</v>
      </c>
      <c r="B599" s="202">
        <v>67</v>
      </c>
      <c r="C599" s="202">
        <v>2</v>
      </c>
      <c r="D599" s="202">
        <v>17</v>
      </c>
      <c r="E599" s="202">
        <v>47</v>
      </c>
      <c r="F599" s="202">
        <v>4</v>
      </c>
      <c r="G599" s="202">
        <v>22</v>
      </c>
      <c r="H599" s="202">
        <v>9</v>
      </c>
      <c r="I599" s="202">
        <v>1</v>
      </c>
      <c r="K599" s="202">
        <v>34</v>
      </c>
      <c r="L599" s="202">
        <v>17</v>
      </c>
      <c r="M599" s="202">
        <v>2</v>
      </c>
      <c r="N599" s="202">
        <v>18</v>
      </c>
      <c r="O599" s="202">
        <v>25</v>
      </c>
      <c r="P599" s="202">
        <v>5</v>
      </c>
      <c r="Q599" s="202">
        <v>23</v>
      </c>
      <c r="R599" s="202">
        <v>51</v>
      </c>
      <c r="S599" s="202">
        <v>2</v>
      </c>
    </row>
    <row r="600" spans="1:19" x14ac:dyDescent="0.35">
      <c r="A600" s="202">
        <v>44</v>
      </c>
      <c r="B600" s="202">
        <v>28</v>
      </c>
      <c r="C600" s="202">
        <v>4</v>
      </c>
      <c r="D600" s="202">
        <v>15</v>
      </c>
      <c r="E600" s="202">
        <v>28</v>
      </c>
      <c r="F600" s="202">
        <v>2</v>
      </c>
      <c r="G600" s="202">
        <v>18</v>
      </c>
      <c r="H600" s="202">
        <v>102</v>
      </c>
      <c r="I600" s="202">
        <v>1</v>
      </c>
      <c r="K600" s="202">
        <v>39</v>
      </c>
      <c r="L600" s="202">
        <v>89</v>
      </c>
      <c r="M600" s="202">
        <v>4</v>
      </c>
      <c r="N600" s="202">
        <v>10</v>
      </c>
      <c r="O600" s="202">
        <v>3</v>
      </c>
      <c r="P600" s="202">
        <v>4</v>
      </c>
      <c r="Q600" s="202">
        <v>2</v>
      </c>
      <c r="R600" s="202">
        <v>3</v>
      </c>
      <c r="S600" s="202">
        <v>1</v>
      </c>
    </row>
    <row r="601" spans="1:19" x14ac:dyDescent="0.35">
      <c r="A601" s="202">
        <v>44</v>
      </c>
      <c r="B601" s="202">
        <v>28</v>
      </c>
      <c r="C601" s="202">
        <v>4</v>
      </c>
      <c r="D601" s="202">
        <v>15</v>
      </c>
      <c r="E601" s="202">
        <v>28</v>
      </c>
      <c r="F601" s="202">
        <v>4</v>
      </c>
      <c r="G601" s="202">
        <v>18</v>
      </c>
      <c r="H601" s="202">
        <v>102</v>
      </c>
      <c r="I601" s="202">
        <v>1</v>
      </c>
      <c r="K601" s="202">
        <v>73</v>
      </c>
      <c r="L601" s="202">
        <v>47</v>
      </c>
      <c r="M601" s="202">
        <v>3</v>
      </c>
      <c r="N601" s="202">
        <v>10</v>
      </c>
      <c r="O601" s="202">
        <v>43</v>
      </c>
      <c r="P601" s="202">
        <v>1</v>
      </c>
      <c r="Q601" s="202">
        <v>24</v>
      </c>
      <c r="R601" s="202">
        <v>24</v>
      </c>
      <c r="S601" s="202">
        <v>2</v>
      </c>
    </row>
    <row r="602" spans="1:19" x14ac:dyDescent="0.35">
      <c r="A602" s="202">
        <v>44</v>
      </c>
      <c r="B602" s="202">
        <v>42</v>
      </c>
      <c r="C602" s="202">
        <v>2</v>
      </c>
      <c r="D602" s="202">
        <v>15</v>
      </c>
      <c r="E602" s="202">
        <v>25</v>
      </c>
      <c r="F602" s="202">
        <v>2</v>
      </c>
      <c r="G602" s="202">
        <v>24</v>
      </c>
      <c r="H602" s="202">
        <v>8</v>
      </c>
      <c r="I602" s="202">
        <v>1</v>
      </c>
      <c r="K602" s="202">
        <v>5</v>
      </c>
      <c r="L602" s="202">
        <v>10</v>
      </c>
      <c r="M602" s="202">
        <v>4</v>
      </c>
      <c r="N602" s="202">
        <v>10</v>
      </c>
      <c r="O602" s="202">
        <v>43</v>
      </c>
      <c r="P602" s="202">
        <v>1</v>
      </c>
      <c r="Q602" s="202">
        <v>25</v>
      </c>
      <c r="R602" s="202">
        <v>5</v>
      </c>
      <c r="S602" s="202">
        <v>2</v>
      </c>
    </row>
    <row r="603" spans="1:19" x14ac:dyDescent="0.35">
      <c r="A603" s="202">
        <v>44</v>
      </c>
      <c r="B603" s="202">
        <v>42</v>
      </c>
      <c r="C603" s="202">
        <v>2</v>
      </c>
      <c r="D603" s="202">
        <v>15</v>
      </c>
      <c r="E603" s="202">
        <v>25</v>
      </c>
      <c r="F603" s="202">
        <v>5</v>
      </c>
      <c r="G603" s="202">
        <v>2</v>
      </c>
      <c r="H603" s="202">
        <v>36</v>
      </c>
      <c r="I603" s="202">
        <v>1</v>
      </c>
      <c r="K603" s="202">
        <v>2</v>
      </c>
      <c r="L603" s="202">
        <v>35</v>
      </c>
      <c r="M603" s="202">
        <v>4</v>
      </c>
      <c r="N603" s="202">
        <v>15</v>
      </c>
      <c r="O603" s="202">
        <v>42</v>
      </c>
      <c r="P603" s="202">
        <v>5</v>
      </c>
      <c r="Q603" s="202">
        <v>25</v>
      </c>
      <c r="R603" s="202">
        <v>52</v>
      </c>
      <c r="S603" s="202">
        <v>2</v>
      </c>
    </row>
    <row r="604" spans="1:19" x14ac:dyDescent="0.35">
      <c r="A604" s="202">
        <v>44</v>
      </c>
      <c r="B604" s="202">
        <v>42</v>
      </c>
      <c r="C604" s="202">
        <v>2</v>
      </c>
      <c r="D604" s="202">
        <v>15</v>
      </c>
      <c r="E604" s="202">
        <v>26</v>
      </c>
      <c r="F604" s="202">
        <v>3</v>
      </c>
      <c r="G604" s="202">
        <v>8</v>
      </c>
      <c r="H604" s="202">
        <v>30</v>
      </c>
      <c r="I604" s="202">
        <v>1</v>
      </c>
      <c r="K604" s="202">
        <v>21</v>
      </c>
      <c r="L604" s="202">
        <v>43</v>
      </c>
      <c r="M604" s="202">
        <v>4</v>
      </c>
      <c r="N604" s="202">
        <v>10</v>
      </c>
      <c r="O604" s="202">
        <v>42</v>
      </c>
      <c r="P604" s="202">
        <v>5</v>
      </c>
      <c r="Q604" s="202">
        <v>24</v>
      </c>
      <c r="R604" s="202">
        <v>19</v>
      </c>
      <c r="S604" s="202">
        <v>1</v>
      </c>
    </row>
    <row r="605" spans="1:19" x14ac:dyDescent="0.35">
      <c r="A605" s="202">
        <v>44</v>
      </c>
      <c r="B605" s="202">
        <v>42</v>
      </c>
      <c r="C605" s="202">
        <v>2</v>
      </c>
      <c r="D605" s="202">
        <v>15</v>
      </c>
      <c r="E605" s="202">
        <v>26</v>
      </c>
      <c r="F605" s="202">
        <v>4</v>
      </c>
      <c r="G605" s="202">
        <v>11</v>
      </c>
      <c r="H605" s="202">
        <v>41</v>
      </c>
      <c r="I605" s="202">
        <v>1</v>
      </c>
      <c r="K605" s="202">
        <v>9</v>
      </c>
      <c r="L605" s="202">
        <v>33</v>
      </c>
      <c r="M605" s="202">
        <v>2</v>
      </c>
      <c r="N605" s="202">
        <v>13</v>
      </c>
      <c r="O605" s="202">
        <v>49</v>
      </c>
      <c r="P605" s="202">
        <v>2</v>
      </c>
      <c r="Q605" s="202">
        <v>20</v>
      </c>
      <c r="R605" s="202">
        <v>38</v>
      </c>
      <c r="S605" s="202">
        <v>1</v>
      </c>
    </row>
    <row r="606" spans="1:19" x14ac:dyDescent="0.35">
      <c r="A606" s="202">
        <v>44</v>
      </c>
      <c r="B606" s="202">
        <v>42</v>
      </c>
      <c r="C606" s="202">
        <v>2</v>
      </c>
      <c r="D606" s="202">
        <v>15</v>
      </c>
      <c r="E606" s="202">
        <v>27</v>
      </c>
      <c r="F606" s="202">
        <v>2</v>
      </c>
      <c r="G606" s="202">
        <v>2</v>
      </c>
      <c r="H606" s="202">
        <v>42</v>
      </c>
      <c r="I606" s="202">
        <v>1</v>
      </c>
      <c r="K606" s="202">
        <v>73</v>
      </c>
      <c r="L606" s="202">
        <v>25</v>
      </c>
      <c r="M606" s="202">
        <v>4</v>
      </c>
      <c r="N606" s="202">
        <v>16</v>
      </c>
      <c r="O606" s="202">
        <v>43</v>
      </c>
      <c r="P606" s="202">
        <v>1</v>
      </c>
      <c r="Q606" s="202">
        <v>20</v>
      </c>
      <c r="R606" s="202">
        <v>29</v>
      </c>
      <c r="S606" s="202">
        <v>2</v>
      </c>
    </row>
    <row r="607" spans="1:19" x14ac:dyDescent="0.35">
      <c r="A607" s="202">
        <v>44</v>
      </c>
      <c r="B607" s="202">
        <v>42</v>
      </c>
      <c r="C607" s="202">
        <v>2</v>
      </c>
      <c r="D607" s="202">
        <v>15</v>
      </c>
      <c r="E607" s="202">
        <v>27</v>
      </c>
      <c r="F607" s="202">
        <v>5</v>
      </c>
      <c r="G607" s="202">
        <v>20</v>
      </c>
      <c r="H607" s="202">
        <v>41</v>
      </c>
      <c r="I607" s="202">
        <v>1</v>
      </c>
      <c r="K607" s="202">
        <v>61</v>
      </c>
      <c r="L607" s="202">
        <v>70</v>
      </c>
      <c r="M607" s="202">
        <v>3</v>
      </c>
      <c r="N607" s="202">
        <v>17</v>
      </c>
      <c r="O607" s="202">
        <v>48</v>
      </c>
      <c r="P607" s="202">
        <v>3</v>
      </c>
      <c r="Q607" s="202">
        <v>8</v>
      </c>
      <c r="R607" s="202">
        <v>94</v>
      </c>
      <c r="S607" s="202">
        <v>2</v>
      </c>
    </row>
    <row r="608" spans="1:19" x14ac:dyDescent="0.35">
      <c r="A608" s="202">
        <v>44</v>
      </c>
      <c r="B608" s="202">
        <v>43</v>
      </c>
      <c r="C608" s="202">
        <v>1</v>
      </c>
      <c r="D608" s="202">
        <v>15</v>
      </c>
      <c r="E608" s="202">
        <v>3</v>
      </c>
      <c r="F608" s="202">
        <v>2</v>
      </c>
      <c r="G608" s="202">
        <v>19</v>
      </c>
      <c r="H608" s="202">
        <v>64</v>
      </c>
      <c r="I608" s="202">
        <v>2</v>
      </c>
      <c r="K608" s="202">
        <v>39</v>
      </c>
      <c r="L608" s="202">
        <v>16</v>
      </c>
      <c r="M608" s="202">
        <v>2</v>
      </c>
      <c r="N608" s="202">
        <v>15</v>
      </c>
      <c r="O608" s="202">
        <v>46</v>
      </c>
      <c r="P608" s="202">
        <v>3</v>
      </c>
      <c r="Q608" s="202">
        <v>8</v>
      </c>
      <c r="R608" s="202">
        <v>17</v>
      </c>
      <c r="S608" s="202">
        <v>2</v>
      </c>
    </row>
    <row r="609" spans="1:19" x14ac:dyDescent="0.35">
      <c r="A609" s="202">
        <v>44</v>
      </c>
      <c r="B609" s="202">
        <v>43</v>
      </c>
      <c r="C609" s="202">
        <v>1</v>
      </c>
      <c r="D609" s="202">
        <v>15</v>
      </c>
      <c r="E609" s="202">
        <v>3</v>
      </c>
      <c r="F609" s="202">
        <v>5</v>
      </c>
      <c r="G609" s="202">
        <v>1</v>
      </c>
      <c r="H609" s="202">
        <v>2</v>
      </c>
      <c r="I609" s="202">
        <v>2</v>
      </c>
      <c r="K609" s="202">
        <v>75</v>
      </c>
      <c r="L609" s="202">
        <v>24</v>
      </c>
      <c r="M609" s="202">
        <v>4</v>
      </c>
      <c r="N609" s="202">
        <v>15</v>
      </c>
      <c r="O609" s="202">
        <v>42</v>
      </c>
      <c r="P609" s="202">
        <v>4</v>
      </c>
      <c r="Q609" s="202">
        <v>20</v>
      </c>
      <c r="R609" s="202">
        <v>22</v>
      </c>
      <c r="S609" s="202">
        <v>1</v>
      </c>
    </row>
    <row r="610" spans="1:19" x14ac:dyDescent="0.35">
      <c r="A610" s="202">
        <v>44</v>
      </c>
      <c r="B610" s="202">
        <v>43</v>
      </c>
      <c r="C610" s="202">
        <v>1</v>
      </c>
      <c r="D610" s="202">
        <v>15</v>
      </c>
      <c r="E610" s="202">
        <v>4</v>
      </c>
      <c r="F610" s="202">
        <v>2</v>
      </c>
      <c r="G610" s="202">
        <v>1</v>
      </c>
      <c r="H610" s="202">
        <v>11</v>
      </c>
      <c r="I610" s="202">
        <v>2</v>
      </c>
      <c r="K610" s="202">
        <v>65</v>
      </c>
      <c r="L610" s="202">
        <v>53</v>
      </c>
      <c r="M610" s="202">
        <v>4</v>
      </c>
      <c r="N610" s="202">
        <v>10</v>
      </c>
      <c r="O610" s="202">
        <v>25</v>
      </c>
      <c r="P610" s="202">
        <v>1</v>
      </c>
      <c r="Q610" s="202">
        <v>7</v>
      </c>
      <c r="R610" s="202">
        <v>1</v>
      </c>
      <c r="S610" s="202">
        <v>1</v>
      </c>
    </row>
    <row r="611" spans="1:19" x14ac:dyDescent="0.35">
      <c r="A611" s="202">
        <v>44</v>
      </c>
      <c r="B611" s="202">
        <v>43</v>
      </c>
      <c r="C611" s="202">
        <v>1</v>
      </c>
      <c r="D611" s="202">
        <v>15</v>
      </c>
      <c r="E611" s="202">
        <v>4</v>
      </c>
      <c r="F611" s="202">
        <v>5</v>
      </c>
      <c r="G611" s="202">
        <v>7</v>
      </c>
      <c r="H611" s="202">
        <v>4</v>
      </c>
      <c r="I611" s="202">
        <v>2</v>
      </c>
      <c r="K611" s="202">
        <v>60</v>
      </c>
      <c r="L611" s="202">
        <v>22</v>
      </c>
      <c r="M611" s="202">
        <v>2</v>
      </c>
      <c r="N611" s="202">
        <v>15</v>
      </c>
      <c r="O611" s="202">
        <v>42</v>
      </c>
      <c r="P611" s="202">
        <v>4</v>
      </c>
      <c r="Q611" s="202">
        <v>10</v>
      </c>
      <c r="R611" s="202">
        <v>17</v>
      </c>
      <c r="S611" s="202">
        <v>1</v>
      </c>
    </row>
    <row r="612" spans="1:19" x14ac:dyDescent="0.35">
      <c r="A612" s="202">
        <v>44</v>
      </c>
      <c r="B612" s="202">
        <v>43</v>
      </c>
      <c r="C612" s="202">
        <v>1</v>
      </c>
      <c r="D612" s="202">
        <v>15</v>
      </c>
      <c r="E612" s="202">
        <v>5</v>
      </c>
      <c r="F612" s="202">
        <v>1</v>
      </c>
      <c r="G612" s="202">
        <v>19</v>
      </c>
      <c r="H612" s="202">
        <v>5</v>
      </c>
      <c r="I612" s="202">
        <v>1</v>
      </c>
      <c r="K612" s="202">
        <v>46</v>
      </c>
      <c r="L612" s="202">
        <v>21</v>
      </c>
      <c r="M612" s="202">
        <v>4</v>
      </c>
      <c r="N612" s="202">
        <v>1</v>
      </c>
      <c r="O612" s="202">
        <v>42</v>
      </c>
      <c r="P612" s="202">
        <v>4</v>
      </c>
      <c r="Q612" s="202">
        <v>23</v>
      </c>
      <c r="R612" s="202">
        <v>37</v>
      </c>
      <c r="S612" s="202">
        <v>1</v>
      </c>
    </row>
    <row r="613" spans="1:19" x14ac:dyDescent="0.35">
      <c r="A613" s="202">
        <v>44</v>
      </c>
      <c r="B613" s="202">
        <v>43</v>
      </c>
      <c r="C613" s="202">
        <v>1</v>
      </c>
      <c r="D613" s="202">
        <v>15</v>
      </c>
      <c r="E613" s="202">
        <v>5</v>
      </c>
      <c r="F613" s="202">
        <v>5</v>
      </c>
      <c r="G613" s="202">
        <v>9</v>
      </c>
      <c r="H613" s="202">
        <v>21</v>
      </c>
      <c r="I613" s="202">
        <v>1</v>
      </c>
      <c r="K613" s="202">
        <v>83</v>
      </c>
      <c r="L613" s="202">
        <v>25</v>
      </c>
      <c r="M613" s="202">
        <v>4</v>
      </c>
      <c r="N613" s="202">
        <v>9</v>
      </c>
      <c r="O613" s="202">
        <v>2</v>
      </c>
      <c r="P613" s="202">
        <v>2</v>
      </c>
      <c r="Q613" s="202">
        <v>10</v>
      </c>
      <c r="R613" s="202">
        <v>31</v>
      </c>
      <c r="S613" s="202">
        <v>2</v>
      </c>
    </row>
    <row r="614" spans="1:19" x14ac:dyDescent="0.35">
      <c r="A614" s="202">
        <v>44</v>
      </c>
      <c r="B614" s="202">
        <v>33</v>
      </c>
      <c r="C614" s="202">
        <v>1</v>
      </c>
      <c r="D614" s="202">
        <v>16</v>
      </c>
      <c r="E614" s="202">
        <v>48</v>
      </c>
      <c r="F614" s="202">
        <v>1</v>
      </c>
      <c r="G614" s="202">
        <v>24</v>
      </c>
      <c r="H614" s="202">
        <v>5</v>
      </c>
      <c r="I614" s="202">
        <v>1</v>
      </c>
      <c r="K614" s="202">
        <v>30</v>
      </c>
      <c r="L614" s="202">
        <v>24</v>
      </c>
      <c r="M614" s="202">
        <v>3</v>
      </c>
      <c r="N614" s="202">
        <v>15</v>
      </c>
      <c r="O614" s="202">
        <v>48</v>
      </c>
      <c r="P614" s="202">
        <v>5</v>
      </c>
      <c r="Q614" s="202">
        <v>23</v>
      </c>
      <c r="R614" s="202">
        <v>45</v>
      </c>
      <c r="S614" s="202">
        <v>2</v>
      </c>
    </row>
    <row r="615" spans="1:19" x14ac:dyDescent="0.35">
      <c r="A615" s="202">
        <v>44</v>
      </c>
      <c r="B615" s="202">
        <v>33</v>
      </c>
      <c r="C615" s="202">
        <v>1</v>
      </c>
      <c r="D615" s="202">
        <v>16</v>
      </c>
      <c r="E615" s="202">
        <v>48</v>
      </c>
      <c r="F615" s="202">
        <v>3</v>
      </c>
      <c r="G615" s="202">
        <v>20</v>
      </c>
      <c r="H615" s="202">
        <v>5</v>
      </c>
      <c r="I615" s="202">
        <v>1</v>
      </c>
      <c r="K615" s="202">
        <v>67</v>
      </c>
      <c r="L615" s="202">
        <v>96</v>
      </c>
      <c r="M615" s="202">
        <v>4</v>
      </c>
      <c r="N615" s="202">
        <v>12</v>
      </c>
      <c r="O615" s="202">
        <v>48</v>
      </c>
      <c r="P615" s="202">
        <v>5</v>
      </c>
      <c r="Q615" s="202">
        <v>19</v>
      </c>
      <c r="R615" s="202">
        <v>51</v>
      </c>
      <c r="S615" s="202">
        <v>1</v>
      </c>
    </row>
    <row r="616" spans="1:19" x14ac:dyDescent="0.35">
      <c r="A616" s="202">
        <v>44</v>
      </c>
      <c r="B616" s="202">
        <v>65</v>
      </c>
      <c r="C616" s="202">
        <v>1</v>
      </c>
      <c r="D616" s="202">
        <v>16</v>
      </c>
      <c r="E616" s="202">
        <v>42</v>
      </c>
      <c r="F616" s="202">
        <v>1</v>
      </c>
      <c r="G616" s="202">
        <v>11</v>
      </c>
      <c r="H616" s="202">
        <v>41</v>
      </c>
      <c r="I616" s="202">
        <v>1</v>
      </c>
      <c r="K616" s="202">
        <v>1</v>
      </c>
      <c r="L616" s="202">
        <v>70</v>
      </c>
      <c r="M616" s="202">
        <v>3</v>
      </c>
      <c r="N616" s="202">
        <v>8</v>
      </c>
      <c r="O616" s="202">
        <v>26</v>
      </c>
      <c r="P616" s="202">
        <v>2</v>
      </c>
      <c r="Q616" s="202">
        <v>11</v>
      </c>
      <c r="R616" s="202">
        <v>7</v>
      </c>
      <c r="S616" s="202">
        <v>2</v>
      </c>
    </row>
    <row r="617" spans="1:19" x14ac:dyDescent="0.35">
      <c r="A617" s="202">
        <v>44</v>
      </c>
      <c r="B617" s="202">
        <v>65</v>
      </c>
      <c r="C617" s="202">
        <v>1</v>
      </c>
      <c r="D617" s="202">
        <v>16</v>
      </c>
      <c r="E617" s="202">
        <v>42</v>
      </c>
      <c r="F617" s="202">
        <v>2</v>
      </c>
      <c r="G617" s="202">
        <v>11</v>
      </c>
      <c r="H617" s="202">
        <v>34</v>
      </c>
      <c r="I617" s="202">
        <v>1</v>
      </c>
      <c r="K617" s="202">
        <v>33</v>
      </c>
      <c r="L617" s="202">
        <v>51</v>
      </c>
      <c r="M617" s="202">
        <v>4</v>
      </c>
      <c r="N617" s="202">
        <v>10</v>
      </c>
      <c r="O617" s="202">
        <v>44</v>
      </c>
      <c r="P617" s="202">
        <v>5</v>
      </c>
      <c r="Q617" s="202">
        <v>14</v>
      </c>
      <c r="R617" s="202">
        <v>3</v>
      </c>
      <c r="S617" s="202">
        <v>2</v>
      </c>
    </row>
    <row r="618" spans="1:19" x14ac:dyDescent="0.35">
      <c r="A618" s="202">
        <v>44</v>
      </c>
      <c r="B618" s="202">
        <v>66</v>
      </c>
      <c r="C618" s="202">
        <v>2</v>
      </c>
      <c r="D618" s="202">
        <v>17</v>
      </c>
      <c r="E618" s="202">
        <v>49</v>
      </c>
      <c r="F618" s="202">
        <v>1</v>
      </c>
      <c r="G618" s="202">
        <v>20</v>
      </c>
      <c r="H618" s="202">
        <v>21</v>
      </c>
      <c r="I618" s="202">
        <v>2</v>
      </c>
      <c r="K618" s="202">
        <v>44</v>
      </c>
      <c r="L618" s="202">
        <v>29</v>
      </c>
      <c r="M618" s="202">
        <v>4</v>
      </c>
      <c r="N618" s="202">
        <v>16</v>
      </c>
      <c r="O618" s="202">
        <v>27</v>
      </c>
      <c r="P618" s="202">
        <v>4</v>
      </c>
      <c r="Q618" s="202">
        <v>19</v>
      </c>
      <c r="R618" s="202">
        <v>10</v>
      </c>
      <c r="S618" s="202">
        <v>2</v>
      </c>
    </row>
    <row r="619" spans="1:19" x14ac:dyDescent="0.35">
      <c r="A619" s="202">
        <v>44</v>
      </c>
      <c r="B619" s="202">
        <v>66</v>
      </c>
      <c r="C619" s="202">
        <v>2</v>
      </c>
      <c r="D619" s="202">
        <v>17</v>
      </c>
      <c r="E619" s="202">
        <v>49</v>
      </c>
      <c r="F619" s="202">
        <v>4</v>
      </c>
      <c r="G619" s="202">
        <v>20</v>
      </c>
      <c r="H619" s="202">
        <v>21</v>
      </c>
      <c r="I619" s="202">
        <v>2</v>
      </c>
      <c r="K619" s="202">
        <v>56</v>
      </c>
      <c r="L619" s="202">
        <v>24</v>
      </c>
      <c r="M619" s="202">
        <v>3</v>
      </c>
      <c r="N619" s="202">
        <v>15</v>
      </c>
      <c r="O619" s="202">
        <v>50</v>
      </c>
      <c r="P619" s="202">
        <v>4</v>
      </c>
      <c r="Q619" s="202">
        <v>2</v>
      </c>
      <c r="R619" s="202">
        <v>18</v>
      </c>
      <c r="S619" s="202">
        <v>1</v>
      </c>
    </row>
    <row r="620" spans="1:19" x14ac:dyDescent="0.35">
      <c r="A620" s="202">
        <v>44</v>
      </c>
      <c r="B620" s="202">
        <v>93</v>
      </c>
      <c r="C620" s="202">
        <v>2</v>
      </c>
      <c r="D620" s="202">
        <v>17</v>
      </c>
      <c r="E620" s="202">
        <v>48</v>
      </c>
      <c r="F620" s="202">
        <v>1</v>
      </c>
      <c r="G620" s="202">
        <v>2</v>
      </c>
      <c r="H620" s="202">
        <v>5</v>
      </c>
      <c r="I620" s="202">
        <v>1</v>
      </c>
      <c r="K620" s="202">
        <v>1</v>
      </c>
      <c r="L620" s="202">
        <v>24</v>
      </c>
      <c r="M620" s="202">
        <v>4</v>
      </c>
      <c r="N620" s="202">
        <v>8</v>
      </c>
      <c r="O620" s="202">
        <v>49</v>
      </c>
      <c r="P620" s="202">
        <v>4</v>
      </c>
      <c r="Q620" s="202">
        <v>1</v>
      </c>
      <c r="R620" s="202">
        <v>24</v>
      </c>
      <c r="S620" s="202">
        <v>1</v>
      </c>
    </row>
    <row r="621" spans="1:19" x14ac:dyDescent="0.35">
      <c r="A621" s="202">
        <v>44</v>
      </c>
      <c r="B621" s="202">
        <v>93</v>
      </c>
      <c r="C621" s="202">
        <v>2</v>
      </c>
      <c r="D621" s="202">
        <v>17</v>
      </c>
      <c r="E621" s="202">
        <v>48</v>
      </c>
      <c r="F621" s="202">
        <v>4</v>
      </c>
      <c r="G621" s="202">
        <v>2</v>
      </c>
      <c r="H621" s="202">
        <v>5</v>
      </c>
      <c r="I621" s="202">
        <v>1</v>
      </c>
      <c r="K621" s="202">
        <v>39</v>
      </c>
      <c r="L621" s="202">
        <v>26</v>
      </c>
      <c r="M621" s="202">
        <v>2</v>
      </c>
      <c r="N621" s="202">
        <v>7</v>
      </c>
      <c r="O621" s="202">
        <v>42</v>
      </c>
      <c r="P621" s="202">
        <v>3</v>
      </c>
      <c r="Q621" s="202">
        <v>24</v>
      </c>
      <c r="R621" s="202">
        <v>11</v>
      </c>
      <c r="S621" s="202">
        <v>1</v>
      </c>
    </row>
    <row r="622" spans="1:19" x14ac:dyDescent="0.35">
      <c r="A622" s="202">
        <v>45</v>
      </c>
      <c r="B622" s="202">
        <v>32</v>
      </c>
      <c r="C622" s="202">
        <v>4</v>
      </c>
      <c r="D622" s="202">
        <v>8</v>
      </c>
      <c r="E622" s="202">
        <v>27</v>
      </c>
      <c r="F622" s="202">
        <v>1</v>
      </c>
      <c r="G622" s="202">
        <v>11</v>
      </c>
      <c r="H622" s="202">
        <v>3</v>
      </c>
      <c r="I622" s="202">
        <v>1</v>
      </c>
      <c r="K622" s="202">
        <v>58</v>
      </c>
      <c r="L622" s="202">
        <v>3</v>
      </c>
      <c r="M622" s="202">
        <v>2</v>
      </c>
      <c r="N622" s="202">
        <v>8</v>
      </c>
      <c r="O622" s="202">
        <v>44</v>
      </c>
      <c r="P622" s="202">
        <v>3</v>
      </c>
      <c r="Q622" s="202">
        <v>25</v>
      </c>
      <c r="R622" s="202">
        <v>48</v>
      </c>
      <c r="S622" s="202">
        <v>1</v>
      </c>
    </row>
    <row r="623" spans="1:19" x14ac:dyDescent="0.35">
      <c r="A623" s="202">
        <v>45</v>
      </c>
      <c r="B623" s="202">
        <v>32</v>
      </c>
      <c r="C623" s="202">
        <v>4</v>
      </c>
      <c r="D623" s="202">
        <v>8</v>
      </c>
      <c r="E623" s="202">
        <v>27</v>
      </c>
      <c r="F623" s="202">
        <v>3</v>
      </c>
      <c r="G623" s="202">
        <v>11</v>
      </c>
      <c r="H623" s="202">
        <v>3</v>
      </c>
      <c r="I623" s="202">
        <v>1</v>
      </c>
      <c r="K623" s="202">
        <v>52</v>
      </c>
      <c r="L623" s="202">
        <v>69</v>
      </c>
      <c r="M623" s="202">
        <v>2</v>
      </c>
      <c r="N623" s="202">
        <v>8</v>
      </c>
      <c r="O623" s="202">
        <v>48</v>
      </c>
      <c r="P623" s="202">
        <v>4</v>
      </c>
      <c r="Q623" s="202">
        <v>10</v>
      </c>
      <c r="R623" s="202">
        <v>27</v>
      </c>
      <c r="S623" s="202">
        <v>2</v>
      </c>
    </row>
    <row r="624" spans="1:19" x14ac:dyDescent="0.35">
      <c r="A624" s="202">
        <v>45</v>
      </c>
      <c r="B624" s="202">
        <v>32</v>
      </c>
      <c r="C624" s="202">
        <v>4</v>
      </c>
      <c r="D624" s="202">
        <v>8</v>
      </c>
      <c r="E624" s="202">
        <v>28</v>
      </c>
      <c r="F624" s="202">
        <v>3</v>
      </c>
      <c r="G624" s="202">
        <v>24</v>
      </c>
      <c r="H624" s="202">
        <v>3</v>
      </c>
      <c r="I624" s="202">
        <v>1</v>
      </c>
      <c r="K624" s="202">
        <v>77</v>
      </c>
      <c r="L624" s="202">
        <v>24</v>
      </c>
      <c r="M624" s="202">
        <v>4</v>
      </c>
      <c r="N624" s="202">
        <v>10</v>
      </c>
      <c r="O624" s="202">
        <v>52</v>
      </c>
      <c r="P624" s="202">
        <v>1</v>
      </c>
      <c r="Q624" s="202">
        <v>11</v>
      </c>
      <c r="R624" s="202">
        <v>18</v>
      </c>
      <c r="S624" s="202">
        <v>2</v>
      </c>
    </row>
    <row r="625" spans="1:19" x14ac:dyDescent="0.35">
      <c r="A625" s="202">
        <v>45</v>
      </c>
      <c r="B625" s="202">
        <v>32</v>
      </c>
      <c r="C625" s="202">
        <v>4</v>
      </c>
      <c r="D625" s="202">
        <v>8</v>
      </c>
      <c r="E625" s="202">
        <v>28</v>
      </c>
      <c r="F625" s="202">
        <v>5</v>
      </c>
      <c r="G625" s="202">
        <v>20</v>
      </c>
      <c r="H625" s="202">
        <v>3</v>
      </c>
      <c r="I625" s="202">
        <v>1</v>
      </c>
      <c r="K625" s="202">
        <v>55</v>
      </c>
      <c r="L625" s="202">
        <v>55</v>
      </c>
      <c r="M625" s="202">
        <v>4</v>
      </c>
      <c r="N625" s="202">
        <v>15</v>
      </c>
      <c r="O625" s="202">
        <v>42</v>
      </c>
      <c r="P625" s="202">
        <v>4</v>
      </c>
      <c r="Q625" s="202">
        <v>25</v>
      </c>
      <c r="R625" s="202">
        <v>48</v>
      </c>
      <c r="S625" s="202">
        <v>1</v>
      </c>
    </row>
    <row r="626" spans="1:19" x14ac:dyDescent="0.35">
      <c r="A626" s="202">
        <v>45</v>
      </c>
      <c r="B626" s="202">
        <v>94</v>
      </c>
      <c r="C626" s="202">
        <v>4</v>
      </c>
      <c r="D626" s="202">
        <v>8</v>
      </c>
      <c r="E626" s="202">
        <v>1</v>
      </c>
      <c r="F626" s="202">
        <v>2</v>
      </c>
      <c r="G626" s="202">
        <v>2</v>
      </c>
      <c r="H626" s="202">
        <v>4</v>
      </c>
      <c r="I626" s="202">
        <v>1</v>
      </c>
      <c r="K626" s="202">
        <v>24</v>
      </c>
      <c r="L626" s="202">
        <v>25</v>
      </c>
      <c r="M626" s="202">
        <v>2</v>
      </c>
      <c r="N626" s="202">
        <v>16</v>
      </c>
      <c r="O626" s="202">
        <v>48</v>
      </c>
      <c r="P626" s="202">
        <v>1</v>
      </c>
      <c r="Q626" s="202">
        <v>25</v>
      </c>
      <c r="R626" s="202">
        <v>9</v>
      </c>
      <c r="S626" s="202">
        <v>1</v>
      </c>
    </row>
    <row r="627" spans="1:19" x14ac:dyDescent="0.35">
      <c r="A627" s="202">
        <v>45</v>
      </c>
      <c r="B627" s="202">
        <v>94</v>
      </c>
      <c r="C627" s="202">
        <v>4</v>
      </c>
      <c r="D627" s="202">
        <v>8</v>
      </c>
      <c r="E627" s="202">
        <v>1</v>
      </c>
      <c r="F627" s="202">
        <v>4</v>
      </c>
      <c r="G627" s="202">
        <v>2</v>
      </c>
      <c r="H627" s="202">
        <v>4</v>
      </c>
      <c r="I627" s="202">
        <v>1</v>
      </c>
      <c r="K627" s="202">
        <v>67</v>
      </c>
      <c r="L627" s="202">
        <v>29</v>
      </c>
      <c r="M627" s="202">
        <v>4</v>
      </c>
      <c r="N627" s="202">
        <v>8</v>
      </c>
      <c r="O627" s="202">
        <v>9</v>
      </c>
      <c r="P627" s="202">
        <v>2</v>
      </c>
      <c r="Q627" s="202">
        <v>2</v>
      </c>
      <c r="R627" s="202">
        <v>12</v>
      </c>
      <c r="S627" s="202">
        <v>1</v>
      </c>
    </row>
    <row r="628" spans="1:19" x14ac:dyDescent="0.35">
      <c r="A628" s="202">
        <v>45</v>
      </c>
      <c r="B628" s="202">
        <v>94</v>
      </c>
      <c r="C628" s="202">
        <v>4</v>
      </c>
      <c r="D628" s="202">
        <v>8</v>
      </c>
      <c r="E628" s="202">
        <v>2</v>
      </c>
      <c r="F628" s="202">
        <v>2</v>
      </c>
      <c r="G628" s="202">
        <v>11</v>
      </c>
      <c r="H628" s="202">
        <v>4</v>
      </c>
      <c r="I628" s="202">
        <v>1</v>
      </c>
      <c r="K628" s="202">
        <v>41</v>
      </c>
      <c r="L628" s="202">
        <v>25</v>
      </c>
      <c r="M628" s="202">
        <v>4</v>
      </c>
      <c r="N628" s="202">
        <v>8</v>
      </c>
      <c r="O628" s="202">
        <v>46</v>
      </c>
      <c r="P628" s="202">
        <v>2</v>
      </c>
      <c r="Q628" s="202">
        <v>18</v>
      </c>
      <c r="R628" s="202">
        <v>22</v>
      </c>
      <c r="S628" s="202">
        <v>1</v>
      </c>
    </row>
    <row r="629" spans="1:19" x14ac:dyDescent="0.35">
      <c r="A629" s="202">
        <v>45</v>
      </c>
      <c r="B629" s="202">
        <v>94</v>
      </c>
      <c r="C629" s="202">
        <v>4</v>
      </c>
      <c r="D629" s="202">
        <v>8</v>
      </c>
      <c r="E629" s="202">
        <v>2</v>
      </c>
      <c r="F629" s="202">
        <v>4</v>
      </c>
      <c r="G629" s="202">
        <v>11</v>
      </c>
      <c r="H629" s="202">
        <v>4</v>
      </c>
      <c r="I629" s="202">
        <v>1</v>
      </c>
      <c r="K629" s="202">
        <v>47</v>
      </c>
      <c r="L629" s="202">
        <v>73</v>
      </c>
      <c r="M629" s="202">
        <v>3</v>
      </c>
      <c r="N629" s="202">
        <v>17</v>
      </c>
      <c r="O629" s="202">
        <v>50</v>
      </c>
      <c r="P629" s="202">
        <v>2</v>
      </c>
      <c r="Q629" s="202">
        <v>7</v>
      </c>
      <c r="R629" s="202">
        <v>7</v>
      </c>
      <c r="S629" s="202">
        <v>1</v>
      </c>
    </row>
    <row r="630" spans="1:19" x14ac:dyDescent="0.35">
      <c r="A630" s="202">
        <v>45</v>
      </c>
      <c r="B630" s="202">
        <v>94</v>
      </c>
      <c r="C630" s="202">
        <v>4</v>
      </c>
      <c r="D630" s="202">
        <v>8</v>
      </c>
      <c r="E630" s="202">
        <v>3</v>
      </c>
      <c r="F630" s="202">
        <v>1</v>
      </c>
      <c r="G630" s="202">
        <v>2</v>
      </c>
      <c r="H630" s="202">
        <v>1</v>
      </c>
      <c r="I630" s="202">
        <v>1</v>
      </c>
      <c r="K630" s="202">
        <v>42</v>
      </c>
      <c r="L630" s="202">
        <v>25</v>
      </c>
      <c r="M630" s="202">
        <v>4</v>
      </c>
      <c r="N630" s="202">
        <v>15</v>
      </c>
      <c r="O630" s="202">
        <v>2</v>
      </c>
      <c r="P630" s="202">
        <v>5</v>
      </c>
      <c r="Q630" s="202">
        <v>20</v>
      </c>
      <c r="R630" s="202">
        <v>28</v>
      </c>
      <c r="S630" s="202">
        <v>1</v>
      </c>
    </row>
    <row r="631" spans="1:19" x14ac:dyDescent="0.35">
      <c r="A631" s="202">
        <v>45</v>
      </c>
      <c r="B631" s="202">
        <v>94</v>
      </c>
      <c r="C631" s="202">
        <v>4</v>
      </c>
      <c r="D631" s="202">
        <v>8</v>
      </c>
      <c r="E631" s="202">
        <v>3</v>
      </c>
      <c r="F631" s="202">
        <v>5</v>
      </c>
      <c r="G631" s="202">
        <v>2</v>
      </c>
      <c r="H631" s="202">
        <v>1</v>
      </c>
      <c r="I631" s="202">
        <v>1</v>
      </c>
      <c r="K631" s="202">
        <v>40</v>
      </c>
      <c r="L631" s="202">
        <v>43</v>
      </c>
      <c r="M631" s="202">
        <v>3</v>
      </c>
      <c r="N631" s="202">
        <v>10</v>
      </c>
      <c r="O631" s="202">
        <v>1</v>
      </c>
      <c r="P631" s="202">
        <v>2</v>
      </c>
      <c r="Q631" s="202">
        <v>23</v>
      </c>
      <c r="R631" s="202">
        <v>33</v>
      </c>
      <c r="S631" s="202">
        <v>1</v>
      </c>
    </row>
    <row r="632" spans="1:19" x14ac:dyDescent="0.35">
      <c r="A632" s="202">
        <v>46</v>
      </c>
      <c r="B632" s="202">
        <v>15</v>
      </c>
      <c r="C632" s="202">
        <v>3</v>
      </c>
      <c r="D632" s="202">
        <v>15</v>
      </c>
      <c r="E632" s="202">
        <v>25</v>
      </c>
      <c r="F632" s="202">
        <v>2</v>
      </c>
      <c r="G632" s="202">
        <v>19</v>
      </c>
      <c r="H632" s="202">
        <v>12</v>
      </c>
      <c r="I632" s="202">
        <v>2</v>
      </c>
      <c r="K632" s="202">
        <v>2</v>
      </c>
      <c r="L632" s="202">
        <v>80</v>
      </c>
      <c r="M632" s="202">
        <v>4</v>
      </c>
      <c r="N632" s="202">
        <v>8</v>
      </c>
      <c r="O632" s="202">
        <v>46</v>
      </c>
      <c r="P632" s="202">
        <v>1</v>
      </c>
      <c r="Q632" s="202">
        <v>11</v>
      </c>
      <c r="R632" s="202">
        <v>38</v>
      </c>
      <c r="S632" s="202">
        <v>2</v>
      </c>
    </row>
    <row r="633" spans="1:19" x14ac:dyDescent="0.35">
      <c r="A633" s="202">
        <v>46</v>
      </c>
      <c r="B633" s="202">
        <v>15</v>
      </c>
      <c r="C633" s="202">
        <v>3</v>
      </c>
      <c r="D633" s="202">
        <v>15</v>
      </c>
      <c r="E633" s="202">
        <v>25</v>
      </c>
      <c r="F633" s="202">
        <v>4</v>
      </c>
      <c r="G633" s="202">
        <v>1</v>
      </c>
      <c r="H633" s="202">
        <v>12</v>
      </c>
      <c r="I633" s="202">
        <v>2</v>
      </c>
      <c r="K633" s="202">
        <v>33</v>
      </c>
      <c r="L633" s="202">
        <v>42</v>
      </c>
      <c r="M633" s="202">
        <v>4</v>
      </c>
      <c r="N633" s="202">
        <v>17</v>
      </c>
      <c r="O633" s="202">
        <v>27</v>
      </c>
      <c r="P633" s="202">
        <v>2</v>
      </c>
      <c r="Q633" s="202">
        <v>20</v>
      </c>
      <c r="R633" s="202">
        <v>17</v>
      </c>
      <c r="S633" s="202">
        <v>1</v>
      </c>
    </row>
    <row r="634" spans="1:19" x14ac:dyDescent="0.35">
      <c r="A634" s="202">
        <v>46</v>
      </c>
      <c r="B634" s="202">
        <v>15</v>
      </c>
      <c r="C634" s="202">
        <v>3</v>
      </c>
      <c r="D634" s="202">
        <v>15</v>
      </c>
      <c r="E634" s="202">
        <v>26</v>
      </c>
      <c r="F634" s="202">
        <v>1</v>
      </c>
      <c r="G634" s="202">
        <v>19</v>
      </c>
      <c r="H634" s="202">
        <v>12</v>
      </c>
      <c r="I634" s="202">
        <v>2</v>
      </c>
      <c r="K634" s="202">
        <v>5</v>
      </c>
      <c r="L634" s="202">
        <v>81</v>
      </c>
      <c r="M634" s="202">
        <v>4</v>
      </c>
      <c r="N634" s="202">
        <v>8</v>
      </c>
      <c r="O634" s="202">
        <v>43</v>
      </c>
      <c r="P634" s="202">
        <v>2</v>
      </c>
      <c r="Q634" s="202">
        <v>2</v>
      </c>
      <c r="R634" s="202">
        <v>10</v>
      </c>
      <c r="S634" s="202">
        <v>2</v>
      </c>
    </row>
    <row r="635" spans="1:19" x14ac:dyDescent="0.35">
      <c r="A635" s="202">
        <v>46</v>
      </c>
      <c r="B635" s="202">
        <v>15</v>
      </c>
      <c r="C635" s="202">
        <v>3</v>
      </c>
      <c r="D635" s="202">
        <v>15</v>
      </c>
      <c r="E635" s="202">
        <v>26</v>
      </c>
      <c r="F635" s="202">
        <v>5</v>
      </c>
      <c r="G635" s="202">
        <v>10</v>
      </c>
      <c r="H635" s="202">
        <v>36</v>
      </c>
      <c r="I635" s="202">
        <v>2</v>
      </c>
      <c r="K635" s="202">
        <v>5</v>
      </c>
      <c r="L635" s="202">
        <v>33</v>
      </c>
      <c r="M635" s="202">
        <v>1</v>
      </c>
      <c r="N635" s="202">
        <v>15</v>
      </c>
      <c r="O635" s="202">
        <v>27</v>
      </c>
      <c r="P635" s="202">
        <v>3</v>
      </c>
      <c r="Q635" s="202">
        <v>10</v>
      </c>
      <c r="R635" s="202">
        <v>7</v>
      </c>
      <c r="S635" s="202">
        <v>1</v>
      </c>
    </row>
    <row r="636" spans="1:19" x14ac:dyDescent="0.35">
      <c r="A636" s="202">
        <v>47</v>
      </c>
      <c r="B636" s="202">
        <v>47</v>
      </c>
      <c r="C636" s="202">
        <v>1</v>
      </c>
      <c r="D636" s="202">
        <v>10</v>
      </c>
      <c r="E636" s="202">
        <v>43</v>
      </c>
      <c r="F636" s="202">
        <v>1</v>
      </c>
      <c r="G636" s="202">
        <v>19</v>
      </c>
      <c r="H636" s="202">
        <v>18</v>
      </c>
      <c r="I636" s="202">
        <v>2</v>
      </c>
      <c r="K636" s="202">
        <v>43</v>
      </c>
      <c r="L636" s="202">
        <v>7</v>
      </c>
      <c r="M636" s="202">
        <v>4</v>
      </c>
      <c r="N636" s="202">
        <v>10</v>
      </c>
      <c r="O636" s="202">
        <v>43</v>
      </c>
      <c r="P636" s="202">
        <v>4</v>
      </c>
      <c r="Q636" s="202">
        <v>24</v>
      </c>
      <c r="R636" s="202">
        <v>3</v>
      </c>
      <c r="S636" s="202">
        <v>1</v>
      </c>
    </row>
    <row r="637" spans="1:19" x14ac:dyDescent="0.35">
      <c r="A637" s="202">
        <v>47</v>
      </c>
      <c r="B637" s="202">
        <v>47</v>
      </c>
      <c r="C637" s="202">
        <v>1</v>
      </c>
      <c r="D637" s="202">
        <v>10</v>
      </c>
      <c r="E637" s="202">
        <v>43</v>
      </c>
      <c r="F637" s="202">
        <v>4</v>
      </c>
      <c r="G637" s="202">
        <v>19</v>
      </c>
      <c r="H637" s="202">
        <v>18</v>
      </c>
      <c r="I637" s="202">
        <v>2</v>
      </c>
      <c r="K637" s="202">
        <v>43</v>
      </c>
      <c r="L637" s="202">
        <v>111</v>
      </c>
      <c r="M637" s="202">
        <v>2</v>
      </c>
      <c r="N637" s="202">
        <v>10</v>
      </c>
      <c r="O637" s="202">
        <v>25</v>
      </c>
      <c r="P637" s="202">
        <v>4</v>
      </c>
      <c r="Q637" s="202">
        <v>19</v>
      </c>
      <c r="R637" s="202">
        <v>8</v>
      </c>
      <c r="S637" s="202">
        <v>3</v>
      </c>
    </row>
    <row r="638" spans="1:19" x14ac:dyDescent="0.35">
      <c r="A638" s="202">
        <v>47</v>
      </c>
      <c r="B638" s="202">
        <v>31</v>
      </c>
      <c r="C638" s="202">
        <v>4</v>
      </c>
      <c r="D638" s="202">
        <v>10</v>
      </c>
      <c r="E638" s="202">
        <v>48</v>
      </c>
      <c r="F638" s="202">
        <v>1</v>
      </c>
      <c r="G638" s="202">
        <v>11</v>
      </c>
      <c r="H638" s="202">
        <v>45</v>
      </c>
      <c r="I638" s="202">
        <v>1</v>
      </c>
      <c r="K638" s="202">
        <v>21</v>
      </c>
      <c r="L638" s="202">
        <v>94</v>
      </c>
      <c r="M638" s="202">
        <v>1</v>
      </c>
      <c r="N638" s="202">
        <v>17</v>
      </c>
      <c r="O638" s="202">
        <v>26</v>
      </c>
      <c r="P638" s="202">
        <v>4</v>
      </c>
      <c r="Q638" s="202">
        <v>2</v>
      </c>
      <c r="R638" s="202">
        <v>21</v>
      </c>
      <c r="S638" s="202">
        <v>1</v>
      </c>
    </row>
    <row r="639" spans="1:19" x14ac:dyDescent="0.35">
      <c r="A639" s="202">
        <v>47</v>
      </c>
      <c r="B639" s="202">
        <v>31</v>
      </c>
      <c r="C639" s="202">
        <v>4</v>
      </c>
      <c r="D639" s="202">
        <v>10</v>
      </c>
      <c r="E639" s="202">
        <v>48</v>
      </c>
      <c r="F639" s="202">
        <v>4</v>
      </c>
      <c r="G639" s="202">
        <v>2</v>
      </c>
      <c r="H639" s="202">
        <v>24</v>
      </c>
      <c r="I639" s="202">
        <v>1</v>
      </c>
      <c r="K639" s="202">
        <v>51</v>
      </c>
      <c r="L639" s="202">
        <v>24</v>
      </c>
      <c r="M639" s="202">
        <v>4</v>
      </c>
      <c r="N639" s="202">
        <v>8</v>
      </c>
      <c r="O639" s="202">
        <v>25</v>
      </c>
      <c r="P639" s="202">
        <v>1</v>
      </c>
      <c r="Q639" s="202">
        <v>11</v>
      </c>
      <c r="R639" s="202">
        <v>7</v>
      </c>
      <c r="S639" s="202">
        <v>2</v>
      </c>
    </row>
    <row r="640" spans="1:19" x14ac:dyDescent="0.35">
      <c r="A640" s="202">
        <v>47</v>
      </c>
      <c r="B640" s="202">
        <v>31</v>
      </c>
      <c r="C640" s="202">
        <v>4</v>
      </c>
      <c r="D640" s="202">
        <v>10</v>
      </c>
      <c r="E640" s="202">
        <v>49</v>
      </c>
      <c r="F640" s="202">
        <v>2</v>
      </c>
      <c r="G640" s="202">
        <v>11</v>
      </c>
      <c r="H640" s="202">
        <v>9</v>
      </c>
      <c r="I640" s="202">
        <v>1</v>
      </c>
      <c r="K640" s="202">
        <v>22</v>
      </c>
      <c r="L640" s="202">
        <v>33</v>
      </c>
      <c r="M640" s="202">
        <v>4</v>
      </c>
      <c r="N640" s="202">
        <v>15</v>
      </c>
      <c r="O640" s="202">
        <v>50</v>
      </c>
      <c r="P640" s="202">
        <v>3</v>
      </c>
      <c r="Q640" s="202">
        <v>9</v>
      </c>
      <c r="R640" s="202">
        <v>28</v>
      </c>
      <c r="S640" s="202">
        <v>2</v>
      </c>
    </row>
    <row r="641" spans="1:19" x14ac:dyDescent="0.35">
      <c r="A641" s="202">
        <v>47</v>
      </c>
      <c r="B641" s="202">
        <v>31</v>
      </c>
      <c r="C641" s="202">
        <v>4</v>
      </c>
      <c r="D641" s="202">
        <v>10</v>
      </c>
      <c r="E641" s="202">
        <v>49</v>
      </c>
      <c r="F641" s="202">
        <v>5</v>
      </c>
      <c r="G641" s="202">
        <v>8</v>
      </c>
      <c r="H641" s="202">
        <v>60</v>
      </c>
      <c r="I641" s="202">
        <v>1</v>
      </c>
      <c r="K641" s="202">
        <v>62</v>
      </c>
      <c r="L641" s="202">
        <v>74</v>
      </c>
      <c r="M641" s="202">
        <v>2</v>
      </c>
      <c r="N641" s="202">
        <v>8</v>
      </c>
      <c r="O641" s="202">
        <v>26</v>
      </c>
      <c r="P641" s="202">
        <v>4</v>
      </c>
      <c r="Q641" s="202">
        <v>2</v>
      </c>
      <c r="R641" s="202">
        <v>3</v>
      </c>
      <c r="S641" s="202">
        <v>2</v>
      </c>
    </row>
    <row r="642" spans="1:19" x14ac:dyDescent="0.35">
      <c r="A642" s="202">
        <v>47</v>
      </c>
      <c r="B642" s="202">
        <v>95</v>
      </c>
      <c r="C642" s="202">
        <v>4</v>
      </c>
      <c r="D642" s="202">
        <v>10</v>
      </c>
      <c r="E642" s="202">
        <v>1</v>
      </c>
      <c r="F642" s="202">
        <v>1</v>
      </c>
      <c r="G642" s="202">
        <v>22</v>
      </c>
      <c r="H642" s="202">
        <v>36</v>
      </c>
      <c r="I642" s="202">
        <v>1</v>
      </c>
      <c r="K642" s="202">
        <v>11</v>
      </c>
      <c r="L642" s="202">
        <v>42</v>
      </c>
      <c r="M642" s="202">
        <v>4</v>
      </c>
      <c r="N642" s="202">
        <v>10</v>
      </c>
      <c r="O642" s="202">
        <v>43</v>
      </c>
      <c r="P642" s="202">
        <v>2</v>
      </c>
      <c r="Q642" s="202">
        <v>2</v>
      </c>
      <c r="R642" s="202">
        <v>86</v>
      </c>
      <c r="S642" s="202">
        <v>2</v>
      </c>
    </row>
    <row r="643" spans="1:19" x14ac:dyDescent="0.35">
      <c r="A643" s="202">
        <v>47</v>
      </c>
      <c r="B643" s="202">
        <v>95</v>
      </c>
      <c r="C643" s="202">
        <v>4</v>
      </c>
      <c r="D643" s="202">
        <v>10</v>
      </c>
      <c r="E643" s="202">
        <v>1</v>
      </c>
      <c r="F643" s="202">
        <v>4</v>
      </c>
      <c r="G643" s="202">
        <v>11</v>
      </c>
      <c r="H643" s="202">
        <v>24</v>
      </c>
      <c r="I643" s="202">
        <v>1</v>
      </c>
      <c r="K643" s="202">
        <v>39</v>
      </c>
      <c r="L643" s="202">
        <v>25</v>
      </c>
      <c r="M643" s="202">
        <v>3</v>
      </c>
      <c r="N643" s="202">
        <v>10</v>
      </c>
      <c r="O643" s="202">
        <v>48</v>
      </c>
      <c r="P643" s="202">
        <v>1</v>
      </c>
      <c r="Q643" s="202">
        <v>2</v>
      </c>
      <c r="R643" s="202">
        <v>29</v>
      </c>
      <c r="S643" s="202">
        <v>1</v>
      </c>
    </row>
    <row r="644" spans="1:19" x14ac:dyDescent="0.35">
      <c r="A644" s="202">
        <v>47</v>
      </c>
      <c r="B644" s="202">
        <v>48</v>
      </c>
      <c r="C644" s="202">
        <v>4</v>
      </c>
      <c r="D644" s="202">
        <v>18</v>
      </c>
      <c r="E644" s="202">
        <v>1</v>
      </c>
      <c r="F644" s="202">
        <v>2</v>
      </c>
      <c r="G644" s="202">
        <v>11</v>
      </c>
      <c r="H644" s="202">
        <v>12</v>
      </c>
      <c r="I644" s="202">
        <v>2</v>
      </c>
      <c r="K644" s="202">
        <v>29</v>
      </c>
      <c r="L644" s="202">
        <v>44</v>
      </c>
      <c r="M644" s="202">
        <v>3</v>
      </c>
      <c r="N644" s="202">
        <v>8</v>
      </c>
      <c r="O644" s="202">
        <v>33</v>
      </c>
      <c r="P644" s="202">
        <v>3</v>
      </c>
      <c r="Q644" s="202">
        <v>14</v>
      </c>
      <c r="R644" s="202">
        <v>56</v>
      </c>
      <c r="S644" s="202">
        <v>2</v>
      </c>
    </row>
    <row r="645" spans="1:19" x14ac:dyDescent="0.35">
      <c r="A645" s="202">
        <v>47</v>
      </c>
      <c r="B645" s="202">
        <v>48</v>
      </c>
      <c r="C645" s="202">
        <v>4</v>
      </c>
      <c r="D645" s="202">
        <v>18</v>
      </c>
      <c r="E645" s="202">
        <v>42</v>
      </c>
      <c r="F645" s="202">
        <v>5</v>
      </c>
      <c r="G645" s="202">
        <v>2</v>
      </c>
      <c r="H645" s="202">
        <v>12</v>
      </c>
      <c r="I645" s="202">
        <v>2</v>
      </c>
      <c r="K645" s="202">
        <v>13</v>
      </c>
      <c r="L645" s="202">
        <v>14</v>
      </c>
      <c r="M645" s="202">
        <v>4</v>
      </c>
      <c r="N645" s="202">
        <v>4</v>
      </c>
      <c r="O645" s="202">
        <v>48</v>
      </c>
      <c r="P645" s="202">
        <v>4</v>
      </c>
      <c r="Q645" s="202">
        <v>24</v>
      </c>
      <c r="R645" s="202">
        <v>38</v>
      </c>
      <c r="S645" s="202">
        <v>1</v>
      </c>
    </row>
    <row r="646" spans="1:19" x14ac:dyDescent="0.35">
      <c r="A646" s="202">
        <v>48</v>
      </c>
      <c r="B646" s="202">
        <v>24</v>
      </c>
      <c r="C646" s="202">
        <v>2</v>
      </c>
      <c r="D646" s="202">
        <v>11</v>
      </c>
      <c r="E646" s="202">
        <v>50</v>
      </c>
      <c r="F646" s="202">
        <v>2</v>
      </c>
      <c r="G646" s="202">
        <v>25</v>
      </c>
      <c r="H646" s="202">
        <v>7</v>
      </c>
      <c r="I646" s="202">
        <v>2</v>
      </c>
      <c r="K646" s="202">
        <v>67</v>
      </c>
      <c r="L646" s="202">
        <v>26</v>
      </c>
      <c r="M646" s="202">
        <v>3</v>
      </c>
      <c r="N646" s="202">
        <v>18</v>
      </c>
      <c r="O646" s="202">
        <v>48</v>
      </c>
      <c r="P646" s="202">
        <v>2</v>
      </c>
      <c r="Q646" s="202">
        <v>20</v>
      </c>
      <c r="R646" s="202">
        <v>31</v>
      </c>
      <c r="S646" s="202">
        <v>2</v>
      </c>
    </row>
    <row r="647" spans="1:19" x14ac:dyDescent="0.35">
      <c r="A647" s="202">
        <v>48</v>
      </c>
      <c r="B647" s="202">
        <v>24</v>
      </c>
      <c r="C647" s="202">
        <v>2</v>
      </c>
      <c r="D647" s="202">
        <v>11</v>
      </c>
      <c r="E647" s="202">
        <v>50</v>
      </c>
      <c r="F647" s="202">
        <v>4</v>
      </c>
      <c r="G647" s="202">
        <v>25</v>
      </c>
      <c r="H647" s="202">
        <v>7</v>
      </c>
      <c r="I647" s="202">
        <v>2</v>
      </c>
      <c r="K647" s="202">
        <v>56</v>
      </c>
      <c r="L647" s="202">
        <v>4</v>
      </c>
      <c r="M647" s="202">
        <v>2</v>
      </c>
      <c r="N647" s="202">
        <v>15</v>
      </c>
      <c r="O647" s="202">
        <v>51</v>
      </c>
      <c r="P647" s="202">
        <v>5</v>
      </c>
      <c r="Q647" s="202">
        <v>2</v>
      </c>
      <c r="R647" s="202">
        <v>22</v>
      </c>
      <c r="S647" s="202">
        <v>1</v>
      </c>
    </row>
    <row r="648" spans="1:19" x14ac:dyDescent="0.35">
      <c r="A648" s="202">
        <v>48</v>
      </c>
      <c r="B648" s="202">
        <v>24</v>
      </c>
      <c r="C648" s="202">
        <v>2</v>
      </c>
      <c r="D648" s="202">
        <v>11</v>
      </c>
      <c r="E648" s="202">
        <v>52</v>
      </c>
      <c r="F648" s="202">
        <v>1</v>
      </c>
      <c r="G648" s="202">
        <v>25</v>
      </c>
      <c r="H648" s="202">
        <v>7</v>
      </c>
      <c r="I648" s="202">
        <v>2</v>
      </c>
      <c r="K648" s="202">
        <v>32</v>
      </c>
      <c r="L648" s="202">
        <v>24</v>
      </c>
      <c r="M648" s="202">
        <v>3</v>
      </c>
      <c r="N648" s="202">
        <v>18</v>
      </c>
      <c r="O648" s="202">
        <v>49</v>
      </c>
      <c r="P648" s="202">
        <v>1</v>
      </c>
      <c r="Q648" s="202">
        <v>2</v>
      </c>
      <c r="R648" s="202">
        <v>71</v>
      </c>
      <c r="S648" s="202">
        <v>1</v>
      </c>
    </row>
    <row r="649" spans="1:19" x14ac:dyDescent="0.35">
      <c r="A649" s="202">
        <v>48</v>
      </c>
      <c r="B649" s="202">
        <v>24</v>
      </c>
      <c r="C649" s="202">
        <v>2</v>
      </c>
      <c r="D649" s="202">
        <v>11</v>
      </c>
      <c r="E649" s="202">
        <v>52</v>
      </c>
      <c r="F649" s="202">
        <v>4</v>
      </c>
      <c r="G649" s="202">
        <v>25</v>
      </c>
      <c r="H649" s="202">
        <v>7</v>
      </c>
      <c r="I649" s="202">
        <v>2</v>
      </c>
      <c r="K649" s="202">
        <v>15</v>
      </c>
      <c r="L649" s="202">
        <v>87</v>
      </c>
      <c r="M649" s="202">
        <v>2</v>
      </c>
      <c r="N649" s="202">
        <v>17</v>
      </c>
      <c r="O649" s="202">
        <v>51</v>
      </c>
      <c r="P649" s="202">
        <v>2</v>
      </c>
      <c r="Q649" s="202">
        <v>20</v>
      </c>
      <c r="R649" s="202">
        <v>5</v>
      </c>
      <c r="S649" s="202">
        <v>1</v>
      </c>
    </row>
    <row r="650" spans="1:19" x14ac:dyDescent="0.35">
      <c r="A650" s="202">
        <v>48</v>
      </c>
      <c r="B650" s="202">
        <v>24</v>
      </c>
      <c r="C650" s="202">
        <v>2</v>
      </c>
      <c r="D650" s="202">
        <v>1</v>
      </c>
      <c r="E650" s="202">
        <v>48</v>
      </c>
      <c r="F650" s="202">
        <v>3</v>
      </c>
      <c r="G650" s="202">
        <v>25</v>
      </c>
      <c r="H650" s="202">
        <v>7</v>
      </c>
      <c r="I650" s="202">
        <v>2</v>
      </c>
      <c r="K650" s="202">
        <v>54</v>
      </c>
      <c r="L650" s="202">
        <v>89</v>
      </c>
      <c r="M650" s="202">
        <v>3</v>
      </c>
      <c r="N650" s="202">
        <v>8</v>
      </c>
      <c r="O650" s="202">
        <v>20</v>
      </c>
      <c r="P650" s="202">
        <v>1</v>
      </c>
      <c r="Q650" s="202">
        <v>1</v>
      </c>
      <c r="R650" s="202">
        <v>41</v>
      </c>
      <c r="S650" s="202">
        <v>1</v>
      </c>
    </row>
    <row r="651" spans="1:19" x14ac:dyDescent="0.35">
      <c r="A651" s="202">
        <v>48</v>
      </c>
      <c r="B651" s="202">
        <v>24</v>
      </c>
      <c r="C651" s="202">
        <v>2</v>
      </c>
      <c r="D651" s="202">
        <v>1</v>
      </c>
      <c r="E651" s="202">
        <v>48</v>
      </c>
      <c r="F651" s="202">
        <v>5</v>
      </c>
      <c r="G651" s="202">
        <v>23</v>
      </c>
      <c r="H651" s="202">
        <v>7</v>
      </c>
      <c r="I651" s="202">
        <v>2</v>
      </c>
      <c r="K651" s="202">
        <v>1</v>
      </c>
      <c r="L651" s="202">
        <v>103</v>
      </c>
      <c r="M651" s="202">
        <v>2</v>
      </c>
      <c r="N651" s="202">
        <v>10</v>
      </c>
      <c r="O651" s="202">
        <v>50</v>
      </c>
      <c r="P651" s="202">
        <v>5</v>
      </c>
      <c r="Q651" s="202">
        <v>20</v>
      </c>
      <c r="R651" s="202">
        <v>4</v>
      </c>
      <c r="S651" s="202">
        <v>2</v>
      </c>
    </row>
    <row r="652" spans="1:19" x14ac:dyDescent="0.35">
      <c r="A652" s="202">
        <v>48</v>
      </c>
      <c r="B652" s="202">
        <v>43</v>
      </c>
      <c r="C652" s="202">
        <v>1</v>
      </c>
      <c r="D652" s="202">
        <v>15</v>
      </c>
      <c r="E652" s="202">
        <v>1</v>
      </c>
      <c r="F652" s="202">
        <v>1</v>
      </c>
      <c r="G652" s="202">
        <v>19</v>
      </c>
      <c r="H652" s="202">
        <v>48</v>
      </c>
      <c r="I652" s="202">
        <v>1</v>
      </c>
      <c r="K652" s="202">
        <v>22</v>
      </c>
      <c r="L652" s="202">
        <v>64</v>
      </c>
      <c r="M652" s="202">
        <v>4</v>
      </c>
      <c r="N652" s="202">
        <v>16</v>
      </c>
      <c r="O652" s="202">
        <v>50</v>
      </c>
      <c r="P652" s="202">
        <v>1</v>
      </c>
      <c r="Q652" s="202">
        <v>2</v>
      </c>
      <c r="R652" s="202">
        <v>44</v>
      </c>
      <c r="S652" s="202">
        <v>1</v>
      </c>
    </row>
    <row r="653" spans="1:19" x14ac:dyDescent="0.35">
      <c r="A653" s="202">
        <v>48</v>
      </c>
      <c r="B653" s="202">
        <v>43</v>
      </c>
      <c r="C653" s="202">
        <v>1</v>
      </c>
      <c r="D653" s="202">
        <v>15</v>
      </c>
      <c r="E653" s="202">
        <v>1</v>
      </c>
      <c r="F653" s="202">
        <v>4</v>
      </c>
      <c r="G653" s="202">
        <v>17</v>
      </c>
      <c r="H653" s="202">
        <v>98</v>
      </c>
      <c r="I653" s="202">
        <v>1</v>
      </c>
      <c r="K653" s="202">
        <v>55</v>
      </c>
      <c r="L653" s="202">
        <v>96</v>
      </c>
      <c r="M653" s="202">
        <v>3</v>
      </c>
      <c r="N653" s="202">
        <v>17</v>
      </c>
      <c r="O653" s="202">
        <v>50</v>
      </c>
      <c r="P653" s="202">
        <v>1</v>
      </c>
      <c r="Q653" s="202">
        <v>2</v>
      </c>
      <c r="R653" s="202">
        <v>33</v>
      </c>
      <c r="S653" s="202">
        <v>1</v>
      </c>
    </row>
    <row r="654" spans="1:19" x14ac:dyDescent="0.35">
      <c r="A654" s="202">
        <v>48</v>
      </c>
      <c r="B654" s="202">
        <v>43</v>
      </c>
      <c r="C654" s="202">
        <v>1</v>
      </c>
      <c r="D654" s="202">
        <v>15</v>
      </c>
      <c r="E654" s="202">
        <v>2</v>
      </c>
      <c r="F654" s="202">
        <v>2</v>
      </c>
      <c r="G654" s="202">
        <v>19</v>
      </c>
      <c r="H654" s="202">
        <v>36</v>
      </c>
      <c r="I654" s="202">
        <v>2</v>
      </c>
      <c r="K654" s="202">
        <v>65</v>
      </c>
      <c r="L654" s="202">
        <v>68</v>
      </c>
      <c r="M654" s="202">
        <v>4</v>
      </c>
      <c r="N654" s="202">
        <v>10</v>
      </c>
      <c r="O654" s="202">
        <v>48</v>
      </c>
      <c r="P654" s="202">
        <v>4</v>
      </c>
      <c r="Q654" s="202">
        <v>20</v>
      </c>
      <c r="R654" s="202">
        <v>101</v>
      </c>
      <c r="S654" s="202">
        <v>1</v>
      </c>
    </row>
    <row r="655" spans="1:19" x14ac:dyDescent="0.35">
      <c r="A655" s="202">
        <v>48</v>
      </c>
      <c r="B655" s="202">
        <v>43</v>
      </c>
      <c r="C655" s="202">
        <v>1</v>
      </c>
      <c r="D655" s="202">
        <v>15</v>
      </c>
      <c r="E655" s="202">
        <v>2</v>
      </c>
      <c r="F655" s="202">
        <v>4</v>
      </c>
      <c r="G655" s="202">
        <v>23</v>
      </c>
      <c r="H655" s="202">
        <v>51</v>
      </c>
      <c r="I655" s="202">
        <v>2</v>
      </c>
      <c r="K655" s="202">
        <v>81</v>
      </c>
      <c r="L655" s="202">
        <v>14</v>
      </c>
      <c r="M655" s="202">
        <v>3</v>
      </c>
      <c r="N655" s="202">
        <v>8</v>
      </c>
      <c r="O655" s="202">
        <v>11</v>
      </c>
      <c r="P655" s="202">
        <v>2</v>
      </c>
      <c r="Q655" s="202">
        <v>2</v>
      </c>
      <c r="R655" s="202">
        <v>7</v>
      </c>
      <c r="S655" s="202">
        <v>1</v>
      </c>
    </row>
    <row r="656" spans="1:19" x14ac:dyDescent="0.35">
      <c r="A656" s="202">
        <v>48</v>
      </c>
      <c r="B656" s="202">
        <v>26</v>
      </c>
      <c r="C656" s="202">
        <v>4</v>
      </c>
      <c r="D656" s="202">
        <v>8</v>
      </c>
      <c r="E656" s="202">
        <v>42</v>
      </c>
      <c r="F656" s="202">
        <v>3</v>
      </c>
      <c r="G656" s="202">
        <v>20</v>
      </c>
      <c r="H656" s="202">
        <v>24</v>
      </c>
      <c r="I656" s="202">
        <v>1</v>
      </c>
      <c r="K656" s="202">
        <v>35</v>
      </c>
      <c r="L656" s="202">
        <v>48</v>
      </c>
      <c r="M656" s="202">
        <v>2</v>
      </c>
      <c r="N656" s="202">
        <v>8</v>
      </c>
      <c r="O656" s="202">
        <v>1</v>
      </c>
      <c r="P656" s="202">
        <v>1</v>
      </c>
      <c r="Q656" s="202">
        <v>14</v>
      </c>
      <c r="R656" s="202">
        <v>39</v>
      </c>
      <c r="S656" s="202">
        <v>2</v>
      </c>
    </row>
    <row r="657" spans="1:19" x14ac:dyDescent="0.35">
      <c r="A657" s="202">
        <v>48</v>
      </c>
      <c r="B657" s="202">
        <v>26</v>
      </c>
      <c r="C657" s="202">
        <v>4</v>
      </c>
      <c r="D657" s="202">
        <v>8</v>
      </c>
      <c r="E657" s="202">
        <v>42</v>
      </c>
      <c r="F657" s="202">
        <v>5</v>
      </c>
      <c r="G657" s="202">
        <v>20</v>
      </c>
      <c r="H657" s="202">
        <v>24</v>
      </c>
      <c r="I657" s="202">
        <v>1</v>
      </c>
      <c r="K657" s="202">
        <v>25</v>
      </c>
      <c r="L657" s="202">
        <v>55</v>
      </c>
      <c r="M657" s="202">
        <v>4</v>
      </c>
      <c r="N657" s="202">
        <v>15</v>
      </c>
      <c r="O657" s="202">
        <v>48</v>
      </c>
      <c r="P657" s="202">
        <v>5</v>
      </c>
      <c r="Q657" s="202">
        <v>23</v>
      </c>
      <c r="R657" s="202">
        <v>21</v>
      </c>
      <c r="S657" s="202">
        <v>1</v>
      </c>
    </row>
    <row r="658" spans="1:19" x14ac:dyDescent="0.35">
      <c r="A658" s="202">
        <v>48</v>
      </c>
      <c r="B658" s="202">
        <v>46</v>
      </c>
      <c r="C658" s="202">
        <v>4</v>
      </c>
      <c r="D658" s="202">
        <v>15</v>
      </c>
      <c r="E658" s="202">
        <v>18</v>
      </c>
      <c r="F658" s="202">
        <v>5</v>
      </c>
      <c r="G658" s="202">
        <v>25</v>
      </c>
      <c r="H658" s="202">
        <v>38</v>
      </c>
      <c r="I658" s="202">
        <v>3</v>
      </c>
      <c r="K658" s="202">
        <v>84</v>
      </c>
      <c r="L658" s="202">
        <v>67</v>
      </c>
      <c r="M658" s="202">
        <v>2</v>
      </c>
      <c r="N658" s="202">
        <v>15</v>
      </c>
      <c r="O658" s="202">
        <v>46</v>
      </c>
      <c r="P658" s="202">
        <v>1</v>
      </c>
      <c r="Q658" s="202">
        <v>11</v>
      </c>
      <c r="R658" s="202">
        <v>36</v>
      </c>
      <c r="S658" s="202">
        <v>1</v>
      </c>
    </row>
    <row r="659" spans="1:19" x14ac:dyDescent="0.35">
      <c r="A659" s="202">
        <v>49</v>
      </c>
      <c r="B659" s="202">
        <v>17</v>
      </c>
      <c r="C659" s="202">
        <v>2</v>
      </c>
      <c r="D659" s="202">
        <v>4</v>
      </c>
      <c r="E659" s="202">
        <v>48</v>
      </c>
      <c r="F659" s="202">
        <v>2</v>
      </c>
      <c r="G659" s="202">
        <v>2</v>
      </c>
      <c r="H659" s="202">
        <v>52</v>
      </c>
      <c r="I659" s="202">
        <v>2</v>
      </c>
      <c r="K659" s="202">
        <v>8</v>
      </c>
      <c r="L659" s="202">
        <v>21</v>
      </c>
      <c r="M659" s="202">
        <v>2</v>
      </c>
      <c r="N659" s="202">
        <v>12</v>
      </c>
      <c r="O659" s="202">
        <v>1</v>
      </c>
      <c r="P659" s="202">
        <v>1</v>
      </c>
      <c r="Q659" s="202">
        <v>2</v>
      </c>
      <c r="R659" s="202">
        <v>19</v>
      </c>
      <c r="S659" s="202">
        <v>2</v>
      </c>
    </row>
    <row r="660" spans="1:19" x14ac:dyDescent="0.35">
      <c r="A660" s="202">
        <v>49</v>
      </c>
      <c r="B660" s="202">
        <v>17</v>
      </c>
      <c r="C660" s="202">
        <v>2</v>
      </c>
      <c r="D660" s="202">
        <v>4</v>
      </c>
      <c r="E660" s="202">
        <v>48</v>
      </c>
      <c r="F660" s="202">
        <v>5</v>
      </c>
      <c r="G660" s="202">
        <v>2</v>
      </c>
      <c r="H660" s="202">
        <v>27</v>
      </c>
      <c r="I660" s="202">
        <v>2</v>
      </c>
      <c r="K660" s="202">
        <v>50</v>
      </c>
      <c r="L660" s="202">
        <v>22</v>
      </c>
      <c r="M660" s="202">
        <v>3</v>
      </c>
      <c r="N660" s="202">
        <v>17</v>
      </c>
      <c r="O660" s="202">
        <v>42</v>
      </c>
      <c r="P660" s="202">
        <v>2</v>
      </c>
      <c r="Q660" s="202">
        <v>10</v>
      </c>
      <c r="R660" s="202">
        <v>36</v>
      </c>
      <c r="S660" s="202">
        <v>1</v>
      </c>
    </row>
    <row r="661" spans="1:19" x14ac:dyDescent="0.35">
      <c r="A661" s="202">
        <v>49</v>
      </c>
      <c r="B661" s="202">
        <v>17</v>
      </c>
      <c r="C661" s="202">
        <v>2</v>
      </c>
      <c r="D661" s="202">
        <v>15</v>
      </c>
      <c r="E661" s="202">
        <v>48</v>
      </c>
      <c r="F661" s="202">
        <v>1</v>
      </c>
      <c r="G661" s="202">
        <v>20</v>
      </c>
      <c r="H661" s="202">
        <v>28</v>
      </c>
      <c r="I661" s="202">
        <v>2</v>
      </c>
      <c r="K661" s="202">
        <v>15</v>
      </c>
      <c r="L661" s="202">
        <v>63</v>
      </c>
      <c r="M661" s="202">
        <v>3</v>
      </c>
      <c r="N661" s="202">
        <v>8</v>
      </c>
      <c r="O661" s="202">
        <v>27</v>
      </c>
      <c r="P661" s="202">
        <v>1</v>
      </c>
      <c r="Q661" s="202">
        <v>11</v>
      </c>
      <c r="R661" s="202">
        <v>19</v>
      </c>
      <c r="S661" s="202">
        <v>1</v>
      </c>
    </row>
    <row r="662" spans="1:19" x14ac:dyDescent="0.35">
      <c r="A662" s="202">
        <v>49</v>
      </c>
      <c r="B662" s="202">
        <v>17</v>
      </c>
      <c r="C662" s="202">
        <v>2</v>
      </c>
      <c r="D662" s="202">
        <v>15</v>
      </c>
      <c r="E662" s="202">
        <v>48</v>
      </c>
      <c r="F662" s="202">
        <v>4</v>
      </c>
      <c r="G662" s="202">
        <v>2</v>
      </c>
      <c r="H662" s="202">
        <v>62</v>
      </c>
      <c r="I662" s="202">
        <v>2</v>
      </c>
      <c r="K662" s="202">
        <v>57</v>
      </c>
      <c r="L662" s="202">
        <v>44</v>
      </c>
      <c r="M662" s="202">
        <v>2</v>
      </c>
      <c r="N662" s="202">
        <v>10</v>
      </c>
      <c r="O662" s="202">
        <v>48</v>
      </c>
      <c r="P662" s="202">
        <v>4</v>
      </c>
      <c r="Q662" s="202">
        <v>2</v>
      </c>
      <c r="R662" s="202">
        <v>48</v>
      </c>
      <c r="S662" s="202">
        <v>2</v>
      </c>
    </row>
    <row r="663" spans="1:19" x14ac:dyDescent="0.35">
      <c r="A663" s="202">
        <v>49</v>
      </c>
      <c r="B663" s="202">
        <v>17</v>
      </c>
      <c r="C663" s="202">
        <v>2</v>
      </c>
      <c r="D663" s="202">
        <v>15</v>
      </c>
      <c r="E663" s="202">
        <v>49</v>
      </c>
      <c r="F663" s="202">
        <v>2</v>
      </c>
      <c r="G663" s="202">
        <v>11</v>
      </c>
      <c r="H663" s="202">
        <v>35</v>
      </c>
      <c r="I663" s="202">
        <v>2</v>
      </c>
      <c r="K663" s="202">
        <v>50</v>
      </c>
      <c r="L663" s="202">
        <v>30</v>
      </c>
      <c r="M663" s="202">
        <v>4</v>
      </c>
      <c r="N663" s="202">
        <v>18</v>
      </c>
      <c r="O663" s="202">
        <v>42</v>
      </c>
      <c r="P663" s="202">
        <v>1</v>
      </c>
      <c r="Q663" s="202">
        <v>11</v>
      </c>
      <c r="R663" s="202">
        <v>92</v>
      </c>
      <c r="S663" s="202">
        <v>2</v>
      </c>
    </row>
    <row r="664" spans="1:19" x14ac:dyDescent="0.35">
      <c r="A664" s="202">
        <v>49</v>
      </c>
      <c r="B664" s="202">
        <v>17</v>
      </c>
      <c r="C664" s="202">
        <v>2</v>
      </c>
      <c r="D664" s="202">
        <v>15</v>
      </c>
      <c r="E664" s="202">
        <v>49</v>
      </c>
      <c r="F664" s="202">
        <v>4</v>
      </c>
      <c r="G664" s="202">
        <v>11</v>
      </c>
      <c r="H664" s="202">
        <v>31</v>
      </c>
      <c r="I664" s="202">
        <v>2</v>
      </c>
      <c r="K664" s="202">
        <v>52</v>
      </c>
      <c r="L664" s="202">
        <v>8</v>
      </c>
      <c r="M664" s="202">
        <v>3</v>
      </c>
      <c r="N664" s="202">
        <v>18</v>
      </c>
      <c r="O664" s="202">
        <v>47</v>
      </c>
      <c r="P664" s="202">
        <v>5</v>
      </c>
      <c r="Q664" s="202">
        <v>12</v>
      </c>
      <c r="R664" s="202">
        <v>12</v>
      </c>
      <c r="S664" s="202">
        <v>1</v>
      </c>
    </row>
    <row r="665" spans="1:19" x14ac:dyDescent="0.35">
      <c r="A665" s="202">
        <v>49</v>
      </c>
      <c r="B665" s="202">
        <v>17</v>
      </c>
      <c r="C665" s="202">
        <v>2</v>
      </c>
      <c r="D665" s="202">
        <v>15</v>
      </c>
      <c r="E665" s="202">
        <v>50</v>
      </c>
      <c r="F665" s="202">
        <v>2</v>
      </c>
      <c r="G665" s="202">
        <v>20</v>
      </c>
      <c r="H665" s="202">
        <v>8</v>
      </c>
      <c r="I665" s="202">
        <v>2</v>
      </c>
      <c r="K665" s="202">
        <v>32</v>
      </c>
      <c r="L665" s="202">
        <v>25</v>
      </c>
      <c r="M665" s="202">
        <v>3</v>
      </c>
      <c r="N665" s="202">
        <v>15</v>
      </c>
      <c r="O665" s="202">
        <v>45</v>
      </c>
      <c r="P665" s="202">
        <v>4</v>
      </c>
      <c r="Q665" s="202">
        <v>20</v>
      </c>
      <c r="R665" s="202">
        <v>48</v>
      </c>
      <c r="S665" s="202">
        <v>1</v>
      </c>
    </row>
    <row r="666" spans="1:19" x14ac:dyDescent="0.35">
      <c r="A666" s="202">
        <v>49</v>
      </c>
      <c r="B666" s="202">
        <v>17</v>
      </c>
      <c r="C666" s="202">
        <v>2</v>
      </c>
      <c r="D666" s="202">
        <v>15</v>
      </c>
      <c r="E666" s="202">
        <v>50</v>
      </c>
      <c r="F666" s="202">
        <v>5</v>
      </c>
      <c r="G666" s="202">
        <v>20</v>
      </c>
      <c r="H666" s="202">
        <v>52</v>
      </c>
      <c r="I666" s="202">
        <v>2</v>
      </c>
      <c r="K666" s="202">
        <v>9</v>
      </c>
      <c r="L666" s="202">
        <v>104</v>
      </c>
      <c r="M666" s="202">
        <v>4</v>
      </c>
      <c r="N666" s="202">
        <v>13</v>
      </c>
      <c r="O666" s="202">
        <v>42</v>
      </c>
      <c r="P666" s="202">
        <v>1</v>
      </c>
      <c r="Q666" s="202">
        <v>14</v>
      </c>
      <c r="R666" s="202">
        <v>29</v>
      </c>
      <c r="S666" s="202">
        <v>2</v>
      </c>
    </row>
    <row r="667" spans="1:19" x14ac:dyDescent="0.35">
      <c r="A667" s="202">
        <v>49</v>
      </c>
      <c r="B667" s="202">
        <v>48</v>
      </c>
      <c r="C667" s="202">
        <v>4</v>
      </c>
      <c r="D667" s="202">
        <v>15</v>
      </c>
      <c r="E667" s="202">
        <v>29</v>
      </c>
      <c r="F667" s="202">
        <v>1</v>
      </c>
      <c r="G667" s="202">
        <v>11</v>
      </c>
      <c r="H667" s="202">
        <v>21</v>
      </c>
      <c r="I667" s="202">
        <v>2</v>
      </c>
      <c r="K667" s="202">
        <v>34</v>
      </c>
      <c r="L667" s="202">
        <v>33</v>
      </c>
      <c r="M667" s="202">
        <v>4</v>
      </c>
      <c r="N667" s="202">
        <v>8</v>
      </c>
      <c r="O667" s="202">
        <v>25</v>
      </c>
      <c r="P667" s="202">
        <v>1</v>
      </c>
      <c r="Q667" s="202">
        <v>1</v>
      </c>
      <c r="R667" s="202">
        <v>11</v>
      </c>
      <c r="S667" s="202">
        <v>1</v>
      </c>
    </row>
    <row r="668" spans="1:19" x14ac:dyDescent="0.35">
      <c r="A668" s="202">
        <v>49</v>
      </c>
      <c r="B668" s="202">
        <v>48</v>
      </c>
      <c r="C668" s="202">
        <v>4</v>
      </c>
      <c r="D668" s="202">
        <v>15</v>
      </c>
      <c r="E668" s="202">
        <v>29</v>
      </c>
      <c r="F668" s="202">
        <v>4</v>
      </c>
      <c r="G668" s="202">
        <v>20</v>
      </c>
      <c r="H668" s="202">
        <v>9</v>
      </c>
      <c r="I668" s="202">
        <v>2</v>
      </c>
      <c r="K668" s="202">
        <v>23</v>
      </c>
      <c r="L668" s="202">
        <v>25</v>
      </c>
      <c r="M668" s="202">
        <v>4</v>
      </c>
      <c r="N668" s="202">
        <v>8</v>
      </c>
      <c r="O668" s="202">
        <v>49</v>
      </c>
      <c r="P668" s="202">
        <v>3</v>
      </c>
      <c r="Q668" s="202">
        <v>24</v>
      </c>
      <c r="R668" s="202">
        <v>7</v>
      </c>
      <c r="S668" s="202">
        <v>2</v>
      </c>
    </row>
    <row r="669" spans="1:19" x14ac:dyDescent="0.35">
      <c r="A669" s="202">
        <v>49</v>
      </c>
      <c r="B669" s="202">
        <v>74</v>
      </c>
      <c r="C669" s="202">
        <v>3</v>
      </c>
      <c r="D669" s="202">
        <v>4</v>
      </c>
      <c r="E669" s="202">
        <v>1</v>
      </c>
      <c r="F669" s="202">
        <v>1</v>
      </c>
      <c r="G669" s="202">
        <v>19</v>
      </c>
      <c r="H669" s="202">
        <v>51</v>
      </c>
      <c r="I669" s="202">
        <v>1</v>
      </c>
      <c r="K669" s="202">
        <v>11</v>
      </c>
      <c r="L669" s="202">
        <v>3</v>
      </c>
      <c r="M669" s="202">
        <v>3</v>
      </c>
      <c r="N669" s="202">
        <v>8</v>
      </c>
      <c r="O669" s="202">
        <v>49</v>
      </c>
      <c r="P669" s="202">
        <v>4</v>
      </c>
      <c r="Q669" s="202">
        <v>17</v>
      </c>
      <c r="R669" s="202">
        <v>37</v>
      </c>
      <c r="S669" s="202">
        <v>2</v>
      </c>
    </row>
    <row r="670" spans="1:19" x14ac:dyDescent="0.35">
      <c r="A670" s="202">
        <v>49</v>
      </c>
      <c r="B670" s="202">
        <v>74</v>
      </c>
      <c r="C670" s="202">
        <v>3</v>
      </c>
      <c r="D670" s="202">
        <v>4</v>
      </c>
      <c r="E670" s="202">
        <v>1</v>
      </c>
      <c r="F670" s="202">
        <v>4</v>
      </c>
      <c r="G670" s="202">
        <v>10</v>
      </c>
      <c r="H670" s="202">
        <v>52</v>
      </c>
      <c r="I670" s="202">
        <v>1</v>
      </c>
      <c r="K670" s="202">
        <v>39</v>
      </c>
      <c r="L670" s="202">
        <v>97</v>
      </c>
      <c r="M670" s="202">
        <v>4</v>
      </c>
      <c r="N670" s="202">
        <v>18</v>
      </c>
      <c r="O670" s="202">
        <v>44</v>
      </c>
      <c r="P670" s="202">
        <v>1</v>
      </c>
      <c r="Q670" s="202">
        <v>11</v>
      </c>
      <c r="R670" s="202">
        <v>18</v>
      </c>
      <c r="S670" s="202">
        <v>2</v>
      </c>
    </row>
    <row r="671" spans="1:19" x14ac:dyDescent="0.35">
      <c r="A671" s="202">
        <v>49</v>
      </c>
      <c r="B671" s="202">
        <v>24</v>
      </c>
      <c r="C671" s="202">
        <v>2</v>
      </c>
      <c r="D671" s="202">
        <v>6</v>
      </c>
      <c r="E671" s="202">
        <v>48</v>
      </c>
      <c r="F671" s="202">
        <v>3</v>
      </c>
      <c r="G671" s="202">
        <v>23</v>
      </c>
      <c r="H671" s="202">
        <v>7</v>
      </c>
      <c r="I671" s="202">
        <v>1</v>
      </c>
      <c r="K671" s="202">
        <v>42</v>
      </c>
      <c r="L671" s="202">
        <v>48</v>
      </c>
      <c r="M671" s="202">
        <v>3</v>
      </c>
      <c r="N671" s="202">
        <v>15</v>
      </c>
      <c r="O671" s="202">
        <v>29</v>
      </c>
      <c r="P671" s="202">
        <v>1</v>
      </c>
      <c r="Q671" s="202">
        <v>24</v>
      </c>
      <c r="R671" s="202">
        <v>19</v>
      </c>
      <c r="S671" s="202">
        <v>1</v>
      </c>
    </row>
    <row r="672" spans="1:19" x14ac:dyDescent="0.35">
      <c r="A672" s="202">
        <v>49</v>
      </c>
      <c r="B672" s="202">
        <v>24</v>
      </c>
      <c r="C672" s="202">
        <v>2</v>
      </c>
      <c r="D672" s="202">
        <v>6</v>
      </c>
      <c r="E672" s="202">
        <v>48</v>
      </c>
      <c r="F672" s="202">
        <v>5</v>
      </c>
      <c r="G672" s="202">
        <v>25</v>
      </c>
      <c r="H672" s="202">
        <v>7</v>
      </c>
      <c r="I672" s="202">
        <v>1</v>
      </c>
      <c r="K672" s="202">
        <v>19</v>
      </c>
      <c r="L672" s="202">
        <v>87</v>
      </c>
      <c r="M672" s="202">
        <v>1</v>
      </c>
      <c r="N672" s="202">
        <v>15</v>
      </c>
      <c r="O672" s="202">
        <v>25</v>
      </c>
      <c r="P672" s="202">
        <v>1</v>
      </c>
      <c r="Q672" s="202">
        <v>19</v>
      </c>
      <c r="R672" s="202">
        <v>36</v>
      </c>
      <c r="S672" s="202">
        <v>2</v>
      </c>
    </row>
    <row r="673" spans="1:19" x14ac:dyDescent="0.35">
      <c r="A673" s="202">
        <v>49</v>
      </c>
      <c r="B673" s="202">
        <v>22</v>
      </c>
      <c r="C673" s="202">
        <v>4</v>
      </c>
      <c r="D673" s="202">
        <v>15</v>
      </c>
      <c r="E673" s="202">
        <v>7</v>
      </c>
      <c r="F673" s="202">
        <v>1</v>
      </c>
      <c r="G673" s="202">
        <v>24</v>
      </c>
      <c r="H673" s="202">
        <v>49</v>
      </c>
      <c r="I673" s="202">
        <v>3</v>
      </c>
      <c r="K673" s="202">
        <v>49</v>
      </c>
      <c r="L673" s="202">
        <v>76</v>
      </c>
      <c r="M673" s="202">
        <v>3</v>
      </c>
      <c r="N673" s="202">
        <v>8</v>
      </c>
      <c r="O673" s="202">
        <v>50</v>
      </c>
      <c r="P673" s="202">
        <v>1</v>
      </c>
      <c r="Q673" s="202">
        <v>10</v>
      </c>
      <c r="R673" s="202">
        <v>34</v>
      </c>
      <c r="S673" s="202">
        <v>1</v>
      </c>
    </row>
    <row r="674" spans="1:19" x14ac:dyDescent="0.35">
      <c r="A674" s="202">
        <v>50</v>
      </c>
      <c r="B674" s="202">
        <v>96</v>
      </c>
      <c r="C674" s="202">
        <v>4</v>
      </c>
      <c r="D674" s="202">
        <v>15</v>
      </c>
      <c r="E674" s="202">
        <v>42</v>
      </c>
      <c r="F674" s="202">
        <v>1</v>
      </c>
      <c r="G674" s="202">
        <v>2</v>
      </c>
      <c r="H674" s="202">
        <v>47</v>
      </c>
      <c r="I674" s="202">
        <v>2</v>
      </c>
      <c r="K674" s="202">
        <v>14</v>
      </c>
      <c r="L674" s="202">
        <v>28</v>
      </c>
      <c r="M674" s="202">
        <v>4</v>
      </c>
      <c r="N674" s="202">
        <v>8</v>
      </c>
      <c r="O674" s="202">
        <v>43</v>
      </c>
      <c r="P674" s="202">
        <v>4</v>
      </c>
      <c r="Q674" s="202">
        <v>2</v>
      </c>
      <c r="R674" s="202">
        <v>21</v>
      </c>
      <c r="S674" s="202">
        <v>1</v>
      </c>
    </row>
    <row r="675" spans="1:19" x14ac:dyDescent="0.35">
      <c r="A675" s="202">
        <v>50</v>
      </c>
      <c r="B675" s="202">
        <v>96</v>
      </c>
      <c r="C675" s="202">
        <v>4</v>
      </c>
      <c r="D675" s="202">
        <v>15</v>
      </c>
      <c r="E675" s="202">
        <v>42</v>
      </c>
      <c r="F675" s="202">
        <v>4</v>
      </c>
      <c r="G675" s="202">
        <v>20</v>
      </c>
      <c r="H675" s="202">
        <v>31</v>
      </c>
      <c r="I675" s="202">
        <v>2</v>
      </c>
      <c r="K675" s="202">
        <v>42</v>
      </c>
      <c r="L675" s="202">
        <v>22</v>
      </c>
      <c r="M675" s="202">
        <v>3</v>
      </c>
      <c r="N675" s="202">
        <v>10</v>
      </c>
      <c r="O675" s="202">
        <v>49</v>
      </c>
      <c r="P675" s="202">
        <v>3</v>
      </c>
      <c r="Q675" s="202">
        <v>2</v>
      </c>
      <c r="R675" s="202">
        <v>39</v>
      </c>
      <c r="S675" s="202">
        <v>1</v>
      </c>
    </row>
    <row r="676" spans="1:19" x14ac:dyDescent="0.35">
      <c r="A676" s="202">
        <v>50</v>
      </c>
      <c r="B676" s="202">
        <v>96</v>
      </c>
      <c r="C676" s="202">
        <v>4</v>
      </c>
      <c r="D676" s="202">
        <v>15</v>
      </c>
      <c r="E676" s="202">
        <v>43</v>
      </c>
      <c r="F676" s="202">
        <v>1</v>
      </c>
      <c r="G676" s="202">
        <v>20</v>
      </c>
      <c r="H676" s="202">
        <v>34</v>
      </c>
      <c r="I676" s="202">
        <v>2</v>
      </c>
      <c r="K676" s="202">
        <v>65</v>
      </c>
      <c r="L676" s="202">
        <v>53</v>
      </c>
      <c r="M676" s="202">
        <v>2</v>
      </c>
      <c r="N676" s="202">
        <v>8</v>
      </c>
      <c r="O676" s="202">
        <v>48</v>
      </c>
      <c r="P676" s="202">
        <v>2</v>
      </c>
      <c r="Q676" s="202">
        <v>23</v>
      </c>
      <c r="R676" s="202">
        <v>34</v>
      </c>
      <c r="S676" s="202">
        <v>1</v>
      </c>
    </row>
    <row r="677" spans="1:19" x14ac:dyDescent="0.35">
      <c r="A677" s="202">
        <v>50</v>
      </c>
      <c r="B677" s="202">
        <v>96</v>
      </c>
      <c r="C677" s="202">
        <v>4</v>
      </c>
      <c r="D677" s="202">
        <v>15</v>
      </c>
      <c r="E677" s="202">
        <v>43</v>
      </c>
      <c r="F677" s="202">
        <v>5</v>
      </c>
      <c r="G677" s="202">
        <v>2</v>
      </c>
      <c r="H677" s="202">
        <v>31</v>
      </c>
      <c r="I677" s="202">
        <v>2</v>
      </c>
      <c r="K677" s="202">
        <v>81</v>
      </c>
      <c r="L677" s="202">
        <v>24</v>
      </c>
      <c r="M677" s="202">
        <v>3</v>
      </c>
      <c r="N677" s="202">
        <v>18</v>
      </c>
      <c r="O677" s="202">
        <v>50</v>
      </c>
      <c r="P677" s="202">
        <v>4</v>
      </c>
      <c r="Q677" s="202">
        <v>1</v>
      </c>
      <c r="R677" s="202">
        <v>77</v>
      </c>
      <c r="S677" s="202">
        <v>2</v>
      </c>
    </row>
    <row r="678" spans="1:19" x14ac:dyDescent="0.35">
      <c r="A678" s="202">
        <v>50</v>
      </c>
      <c r="B678" s="202">
        <v>10</v>
      </c>
      <c r="C678" s="202">
        <v>2</v>
      </c>
      <c r="D678" s="202">
        <v>16</v>
      </c>
      <c r="E678" s="202">
        <v>48</v>
      </c>
      <c r="F678" s="202">
        <v>1</v>
      </c>
      <c r="G678" s="202">
        <v>11</v>
      </c>
      <c r="H678" s="202">
        <v>37</v>
      </c>
      <c r="I678" s="202">
        <v>2</v>
      </c>
      <c r="K678" s="202">
        <v>19</v>
      </c>
      <c r="L678" s="202">
        <v>85</v>
      </c>
      <c r="M678" s="202">
        <v>4</v>
      </c>
      <c r="N678" s="202">
        <v>17</v>
      </c>
      <c r="O678" s="202">
        <v>28</v>
      </c>
      <c r="P678" s="202">
        <v>4</v>
      </c>
      <c r="Q678" s="202">
        <v>20</v>
      </c>
      <c r="R678" s="202">
        <v>48</v>
      </c>
      <c r="S678" s="202">
        <v>1</v>
      </c>
    </row>
    <row r="679" spans="1:19" x14ac:dyDescent="0.35">
      <c r="A679" s="202">
        <v>50</v>
      </c>
      <c r="B679" s="202">
        <v>10</v>
      </c>
      <c r="C679" s="202">
        <v>2</v>
      </c>
      <c r="D679" s="202">
        <v>16</v>
      </c>
      <c r="E679" s="202">
        <v>48</v>
      </c>
      <c r="F679" s="202">
        <v>2</v>
      </c>
      <c r="G679" s="202">
        <v>11</v>
      </c>
      <c r="H679" s="202">
        <v>37</v>
      </c>
      <c r="I679" s="202">
        <v>2</v>
      </c>
      <c r="K679" s="202">
        <v>43</v>
      </c>
      <c r="L679" s="202">
        <v>25</v>
      </c>
      <c r="M679" s="202">
        <v>3</v>
      </c>
      <c r="N679" s="202">
        <v>4</v>
      </c>
      <c r="O679" s="202">
        <v>26</v>
      </c>
      <c r="P679" s="202">
        <v>2</v>
      </c>
      <c r="Q679" s="202">
        <v>20</v>
      </c>
      <c r="R679" s="202">
        <v>56</v>
      </c>
      <c r="S679" s="202">
        <v>1</v>
      </c>
    </row>
    <row r="680" spans="1:19" x14ac:dyDescent="0.35">
      <c r="A680" s="202">
        <v>50</v>
      </c>
      <c r="B680" s="202">
        <v>67</v>
      </c>
      <c r="C680" s="202">
        <v>2</v>
      </c>
      <c r="D680" s="202">
        <v>17</v>
      </c>
      <c r="E680" s="202">
        <v>42</v>
      </c>
      <c r="F680" s="202">
        <v>1</v>
      </c>
      <c r="G680" s="202">
        <v>15</v>
      </c>
      <c r="H680" s="202">
        <v>22</v>
      </c>
      <c r="I680" s="202">
        <v>1</v>
      </c>
      <c r="K680" s="202">
        <v>22</v>
      </c>
      <c r="L680" s="202">
        <v>33</v>
      </c>
      <c r="M680" s="202">
        <v>4</v>
      </c>
      <c r="N680" s="202">
        <v>15</v>
      </c>
      <c r="O680" s="202">
        <v>48</v>
      </c>
      <c r="P680" s="202">
        <v>1</v>
      </c>
      <c r="Q680" s="202">
        <v>10</v>
      </c>
      <c r="R680" s="202">
        <v>8</v>
      </c>
      <c r="S680" s="202">
        <v>1</v>
      </c>
    </row>
    <row r="681" spans="1:19" x14ac:dyDescent="0.35">
      <c r="A681" s="202">
        <v>50</v>
      </c>
      <c r="B681" s="202">
        <v>67</v>
      </c>
      <c r="C681" s="202">
        <v>2</v>
      </c>
      <c r="D681" s="202">
        <v>17</v>
      </c>
      <c r="E681" s="202">
        <v>42</v>
      </c>
      <c r="F681" s="202">
        <v>4</v>
      </c>
      <c r="G681" s="202">
        <v>15</v>
      </c>
      <c r="H681" s="202">
        <v>22</v>
      </c>
      <c r="I681" s="202">
        <v>1</v>
      </c>
      <c r="K681" s="202">
        <v>68</v>
      </c>
      <c r="L681" s="202">
        <v>37</v>
      </c>
      <c r="M681" s="202">
        <v>2</v>
      </c>
      <c r="N681" s="202">
        <v>10</v>
      </c>
      <c r="O681" s="202">
        <v>43</v>
      </c>
      <c r="P681" s="202">
        <v>2</v>
      </c>
      <c r="Q681" s="202">
        <v>19</v>
      </c>
      <c r="R681" s="202">
        <v>48</v>
      </c>
      <c r="S681" s="202">
        <v>1</v>
      </c>
    </row>
    <row r="682" spans="1:19" x14ac:dyDescent="0.35">
      <c r="A682" s="202">
        <v>50</v>
      </c>
      <c r="B682" s="202">
        <v>29</v>
      </c>
      <c r="C682" s="202">
        <v>2</v>
      </c>
      <c r="D682" s="202">
        <v>17</v>
      </c>
      <c r="E682" s="202">
        <v>43</v>
      </c>
      <c r="F682" s="202">
        <v>2</v>
      </c>
      <c r="G682" s="202">
        <v>2</v>
      </c>
      <c r="H682" s="202">
        <v>34</v>
      </c>
      <c r="I682" s="202">
        <v>2</v>
      </c>
      <c r="K682" s="202">
        <v>66</v>
      </c>
      <c r="L682" s="202">
        <v>111</v>
      </c>
      <c r="M682" s="202">
        <v>3</v>
      </c>
      <c r="N682" s="202">
        <v>8</v>
      </c>
      <c r="O682" s="202">
        <v>48</v>
      </c>
      <c r="P682" s="202">
        <v>4</v>
      </c>
      <c r="Q682" s="202">
        <v>25</v>
      </c>
      <c r="R682" s="202">
        <v>28</v>
      </c>
      <c r="S682" s="202">
        <v>1</v>
      </c>
    </row>
    <row r="683" spans="1:19" x14ac:dyDescent="0.35">
      <c r="A683" s="202">
        <v>50</v>
      </c>
      <c r="B683" s="202">
        <v>29</v>
      </c>
      <c r="C683" s="202">
        <v>2</v>
      </c>
      <c r="D683" s="202">
        <v>17</v>
      </c>
      <c r="E683" s="202">
        <v>43</v>
      </c>
      <c r="F683" s="202">
        <v>4</v>
      </c>
      <c r="G683" s="202">
        <v>2</v>
      </c>
      <c r="H683" s="202">
        <v>34</v>
      </c>
      <c r="I683" s="202">
        <v>2</v>
      </c>
      <c r="K683" s="202">
        <v>42</v>
      </c>
      <c r="L683" s="202">
        <v>32</v>
      </c>
      <c r="M683" s="202">
        <v>2</v>
      </c>
      <c r="N683" s="202">
        <v>13</v>
      </c>
      <c r="O683" s="202">
        <v>50</v>
      </c>
      <c r="P683" s="202">
        <v>2</v>
      </c>
      <c r="Q683" s="202">
        <v>2</v>
      </c>
      <c r="R683" s="202">
        <v>22</v>
      </c>
      <c r="S683" s="202">
        <v>1</v>
      </c>
    </row>
    <row r="684" spans="1:19" x14ac:dyDescent="0.35">
      <c r="A684" s="202">
        <v>50</v>
      </c>
      <c r="B684" s="202">
        <v>46</v>
      </c>
      <c r="C684" s="202">
        <v>4</v>
      </c>
      <c r="D684" s="202">
        <v>15</v>
      </c>
      <c r="E684" s="202">
        <v>19</v>
      </c>
      <c r="F684" s="202">
        <v>5</v>
      </c>
      <c r="G684" s="202">
        <v>25</v>
      </c>
      <c r="H684" s="202">
        <v>46</v>
      </c>
      <c r="I684" s="202">
        <v>3</v>
      </c>
      <c r="K684" s="202">
        <v>83</v>
      </c>
      <c r="L684" s="202">
        <v>102</v>
      </c>
      <c r="M684" s="202">
        <v>3</v>
      </c>
      <c r="N684" s="202">
        <v>18</v>
      </c>
      <c r="O684" s="202">
        <v>5</v>
      </c>
      <c r="P684" s="202">
        <v>5</v>
      </c>
      <c r="Q684" s="202">
        <v>2</v>
      </c>
      <c r="R684" s="202">
        <v>5</v>
      </c>
      <c r="S684" s="202">
        <v>2</v>
      </c>
    </row>
    <row r="685" spans="1:19" x14ac:dyDescent="0.35">
      <c r="A685" s="202">
        <v>51</v>
      </c>
      <c r="B685" s="202">
        <v>18</v>
      </c>
      <c r="C685" s="202">
        <v>4</v>
      </c>
      <c r="D685" s="202">
        <v>10</v>
      </c>
      <c r="E685" s="202">
        <v>42</v>
      </c>
      <c r="F685" s="202">
        <v>1</v>
      </c>
      <c r="G685" s="202">
        <v>20</v>
      </c>
      <c r="H685" s="202">
        <v>8</v>
      </c>
      <c r="I685" s="202">
        <v>2</v>
      </c>
      <c r="K685" s="202">
        <v>4</v>
      </c>
      <c r="L685" s="202">
        <v>24</v>
      </c>
      <c r="M685" s="202">
        <v>3</v>
      </c>
      <c r="N685" s="202">
        <v>10</v>
      </c>
      <c r="O685" s="202">
        <v>23</v>
      </c>
      <c r="P685" s="202">
        <v>1</v>
      </c>
      <c r="Q685" s="202">
        <v>8</v>
      </c>
      <c r="R685" s="202">
        <v>65</v>
      </c>
      <c r="S685" s="202">
        <v>2</v>
      </c>
    </row>
    <row r="686" spans="1:19" x14ac:dyDescent="0.35">
      <c r="A686" s="202">
        <v>51</v>
      </c>
      <c r="B686" s="202">
        <v>18</v>
      </c>
      <c r="C686" s="202">
        <v>4</v>
      </c>
      <c r="D686" s="202">
        <v>10</v>
      </c>
      <c r="E686" s="202">
        <v>42</v>
      </c>
      <c r="F686" s="202">
        <v>5</v>
      </c>
      <c r="G686" s="202">
        <v>2</v>
      </c>
      <c r="H686" s="202">
        <v>6</v>
      </c>
      <c r="I686" s="202">
        <v>2</v>
      </c>
      <c r="K686" s="202">
        <v>39</v>
      </c>
      <c r="L686" s="202">
        <v>42</v>
      </c>
      <c r="M686" s="202">
        <v>3</v>
      </c>
      <c r="N686" s="202">
        <v>15</v>
      </c>
      <c r="O686" s="202">
        <v>48</v>
      </c>
      <c r="P686" s="202">
        <v>4</v>
      </c>
      <c r="Q686" s="202">
        <v>11</v>
      </c>
      <c r="R686" s="202">
        <v>29</v>
      </c>
      <c r="S686" s="202">
        <v>1</v>
      </c>
    </row>
    <row r="687" spans="1:19" x14ac:dyDescent="0.35">
      <c r="A687" s="202">
        <v>51</v>
      </c>
      <c r="B687" s="202">
        <v>96</v>
      </c>
      <c r="C687" s="202">
        <v>4</v>
      </c>
      <c r="D687" s="202">
        <v>15</v>
      </c>
      <c r="E687" s="202">
        <v>44</v>
      </c>
      <c r="F687" s="202">
        <v>1</v>
      </c>
      <c r="G687" s="202">
        <v>11</v>
      </c>
      <c r="H687" s="202">
        <v>36</v>
      </c>
      <c r="I687" s="202">
        <v>2</v>
      </c>
      <c r="K687" s="202">
        <v>47</v>
      </c>
      <c r="L687" s="202">
        <v>25</v>
      </c>
      <c r="M687" s="202">
        <v>2</v>
      </c>
      <c r="N687" s="202">
        <v>10</v>
      </c>
      <c r="O687" s="202">
        <v>49</v>
      </c>
      <c r="P687" s="202">
        <v>3</v>
      </c>
      <c r="Q687" s="202">
        <v>2</v>
      </c>
      <c r="R687" s="202">
        <v>98</v>
      </c>
      <c r="S687" s="202">
        <v>1</v>
      </c>
    </row>
    <row r="688" spans="1:19" x14ac:dyDescent="0.35">
      <c r="A688" s="202">
        <v>51</v>
      </c>
      <c r="B688" s="202">
        <v>96</v>
      </c>
      <c r="C688" s="202">
        <v>4</v>
      </c>
      <c r="D688" s="202">
        <v>15</v>
      </c>
      <c r="E688" s="202">
        <v>44</v>
      </c>
      <c r="F688" s="202">
        <v>5</v>
      </c>
      <c r="G688" s="202">
        <v>24</v>
      </c>
      <c r="H688" s="202">
        <v>5</v>
      </c>
      <c r="I688" s="202">
        <v>2</v>
      </c>
      <c r="K688" s="202">
        <v>41</v>
      </c>
      <c r="L688" s="202">
        <v>69</v>
      </c>
      <c r="M688" s="202">
        <v>4</v>
      </c>
      <c r="N688" s="202">
        <v>18</v>
      </c>
      <c r="O688" s="202">
        <v>25</v>
      </c>
      <c r="P688" s="202">
        <v>2</v>
      </c>
      <c r="Q688" s="202">
        <v>10</v>
      </c>
      <c r="R688" s="202">
        <v>51</v>
      </c>
      <c r="S688" s="202">
        <v>2</v>
      </c>
    </row>
    <row r="689" spans="1:19" x14ac:dyDescent="0.35">
      <c r="A689" s="202">
        <v>51</v>
      </c>
      <c r="B689" s="202">
        <v>96</v>
      </c>
      <c r="C689" s="202">
        <v>4</v>
      </c>
      <c r="D689" s="202">
        <v>15</v>
      </c>
      <c r="E689" s="202">
        <v>45</v>
      </c>
      <c r="F689" s="202">
        <v>1</v>
      </c>
      <c r="G689" s="202">
        <v>2</v>
      </c>
      <c r="H689" s="202">
        <v>22</v>
      </c>
      <c r="I689" s="202">
        <v>2</v>
      </c>
      <c r="K689" s="202">
        <v>69</v>
      </c>
      <c r="L689" s="202">
        <v>78</v>
      </c>
      <c r="M689" s="202">
        <v>4</v>
      </c>
      <c r="N689" s="202">
        <v>10</v>
      </c>
      <c r="O689" s="202">
        <v>49</v>
      </c>
      <c r="P689" s="202">
        <v>2</v>
      </c>
      <c r="Q689" s="202">
        <v>7</v>
      </c>
      <c r="R689" s="202">
        <v>8</v>
      </c>
      <c r="S689" s="202">
        <v>1</v>
      </c>
    </row>
    <row r="690" spans="1:19" x14ac:dyDescent="0.35">
      <c r="A690" s="202">
        <v>51</v>
      </c>
      <c r="B690" s="202">
        <v>96</v>
      </c>
      <c r="C690" s="202">
        <v>4</v>
      </c>
      <c r="D690" s="202">
        <v>15</v>
      </c>
      <c r="E690" s="202">
        <v>45</v>
      </c>
      <c r="F690" s="202">
        <v>4</v>
      </c>
      <c r="G690" s="202">
        <v>11</v>
      </c>
      <c r="H690" s="202">
        <v>99</v>
      </c>
      <c r="I690" s="202">
        <v>2</v>
      </c>
      <c r="K690" s="202">
        <v>11</v>
      </c>
      <c r="L690" s="202">
        <v>78</v>
      </c>
      <c r="M690" s="202">
        <v>2</v>
      </c>
      <c r="N690" s="202">
        <v>17</v>
      </c>
      <c r="O690" s="202">
        <v>2</v>
      </c>
      <c r="P690" s="202">
        <v>1</v>
      </c>
      <c r="Q690" s="202">
        <v>23</v>
      </c>
      <c r="R690" s="202">
        <v>38</v>
      </c>
      <c r="S690" s="202">
        <v>2</v>
      </c>
    </row>
    <row r="691" spans="1:19" x14ac:dyDescent="0.35">
      <c r="A691" s="202">
        <v>51</v>
      </c>
      <c r="B691" s="202">
        <v>96</v>
      </c>
      <c r="C691" s="202">
        <v>4</v>
      </c>
      <c r="D691" s="202">
        <v>15</v>
      </c>
      <c r="E691" s="202">
        <v>46</v>
      </c>
      <c r="F691" s="202">
        <v>1</v>
      </c>
      <c r="G691" s="202">
        <v>2</v>
      </c>
      <c r="H691" s="202">
        <v>48</v>
      </c>
      <c r="I691" s="202">
        <v>1</v>
      </c>
      <c r="K691" s="202">
        <v>39</v>
      </c>
      <c r="L691" s="202">
        <v>27</v>
      </c>
      <c r="M691" s="202">
        <v>4</v>
      </c>
      <c r="N691" s="202">
        <v>10</v>
      </c>
      <c r="O691" s="202">
        <v>49</v>
      </c>
      <c r="P691" s="202">
        <v>4</v>
      </c>
      <c r="Q691" s="202">
        <v>1</v>
      </c>
      <c r="R691" s="202">
        <v>92</v>
      </c>
      <c r="S691" s="202">
        <v>1</v>
      </c>
    </row>
    <row r="692" spans="1:19" x14ac:dyDescent="0.35">
      <c r="A692" s="202">
        <v>51</v>
      </c>
      <c r="B692" s="202">
        <v>96</v>
      </c>
      <c r="C692" s="202">
        <v>4</v>
      </c>
      <c r="D692" s="202">
        <v>15</v>
      </c>
      <c r="E692" s="202">
        <v>46</v>
      </c>
      <c r="F692" s="202">
        <v>5</v>
      </c>
      <c r="G692" s="202">
        <v>20</v>
      </c>
      <c r="H692" s="202">
        <v>9</v>
      </c>
      <c r="I692" s="202">
        <v>1</v>
      </c>
      <c r="K692" s="202">
        <v>38</v>
      </c>
      <c r="L692" s="202">
        <v>48</v>
      </c>
      <c r="M692" s="202">
        <v>3</v>
      </c>
      <c r="N692" s="202">
        <v>10</v>
      </c>
      <c r="O692" s="202">
        <v>43</v>
      </c>
      <c r="P692" s="202">
        <v>1</v>
      </c>
      <c r="Q692" s="202">
        <v>2</v>
      </c>
      <c r="R692" s="202">
        <v>33</v>
      </c>
      <c r="S692" s="202">
        <v>1</v>
      </c>
    </row>
    <row r="693" spans="1:19" x14ac:dyDescent="0.35">
      <c r="A693" s="202">
        <v>51</v>
      </c>
      <c r="B693" s="202">
        <v>44</v>
      </c>
      <c r="C693" s="202">
        <v>4</v>
      </c>
      <c r="D693" s="202">
        <v>15</v>
      </c>
      <c r="E693" s="202">
        <v>29</v>
      </c>
      <c r="F693" s="202">
        <v>1</v>
      </c>
      <c r="G693" s="202">
        <v>11</v>
      </c>
      <c r="H693" s="202">
        <v>35</v>
      </c>
      <c r="I693" s="202">
        <v>1</v>
      </c>
      <c r="K693" s="202">
        <v>25</v>
      </c>
      <c r="L693" s="202">
        <v>69</v>
      </c>
      <c r="M693" s="202">
        <v>3</v>
      </c>
      <c r="N693" s="202">
        <v>15</v>
      </c>
      <c r="O693" s="202">
        <v>48</v>
      </c>
      <c r="P693" s="202">
        <v>4</v>
      </c>
      <c r="Q693" s="202">
        <v>2</v>
      </c>
      <c r="R693" s="202">
        <v>35</v>
      </c>
      <c r="S693" s="202">
        <v>3</v>
      </c>
    </row>
    <row r="694" spans="1:19" x14ac:dyDescent="0.35">
      <c r="A694" s="202">
        <v>51</v>
      </c>
      <c r="B694" s="202">
        <v>44</v>
      </c>
      <c r="C694" s="202">
        <v>4</v>
      </c>
      <c r="D694" s="202">
        <v>15</v>
      </c>
      <c r="E694" s="202">
        <v>29</v>
      </c>
      <c r="F694" s="202">
        <v>4</v>
      </c>
      <c r="G694" s="202">
        <v>2</v>
      </c>
      <c r="H694" s="202">
        <v>52</v>
      </c>
      <c r="I694" s="202">
        <v>1</v>
      </c>
      <c r="K694" s="202">
        <v>28</v>
      </c>
      <c r="L694" s="202">
        <v>49</v>
      </c>
      <c r="M694" s="202">
        <v>3</v>
      </c>
      <c r="N694" s="202">
        <v>17</v>
      </c>
      <c r="O694" s="202">
        <v>48</v>
      </c>
      <c r="P694" s="202">
        <v>5</v>
      </c>
      <c r="Q694" s="202">
        <v>2</v>
      </c>
      <c r="R694" s="202">
        <v>18</v>
      </c>
      <c r="S694" s="202">
        <v>2</v>
      </c>
    </row>
    <row r="695" spans="1:19" x14ac:dyDescent="0.35">
      <c r="A695" s="202">
        <v>52</v>
      </c>
      <c r="B695" s="202">
        <v>97</v>
      </c>
      <c r="C695" s="202">
        <v>4</v>
      </c>
      <c r="D695" s="202">
        <v>10</v>
      </c>
      <c r="E695" s="202">
        <v>25</v>
      </c>
      <c r="F695" s="202">
        <v>3</v>
      </c>
      <c r="G695" s="202">
        <v>20</v>
      </c>
      <c r="H695" s="202">
        <v>6</v>
      </c>
      <c r="I695" s="202">
        <v>2</v>
      </c>
      <c r="K695" s="202">
        <v>74</v>
      </c>
      <c r="L695" s="202">
        <v>26</v>
      </c>
      <c r="M695" s="202">
        <v>2</v>
      </c>
      <c r="N695" s="202">
        <v>8</v>
      </c>
      <c r="O695" s="202">
        <v>43</v>
      </c>
      <c r="P695" s="202">
        <v>1</v>
      </c>
      <c r="Q695" s="202">
        <v>11</v>
      </c>
      <c r="R695" s="202">
        <v>24</v>
      </c>
      <c r="S695" s="202">
        <v>1</v>
      </c>
    </row>
    <row r="696" spans="1:19" x14ac:dyDescent="0.35">
      <c r="A696" s="202">
        <v>52</v>
      </c>
      <c r="B696" s="202">
        <v>97</v>
      </c>
      <c r="C696" s="202">
        <v>4</v>
      </c>
      <c r="D696" s="202">
        <v>10</v>
      </c>
      <c r="E696" s="202">
        <v>25</v>
      </c>
      <c r="F696" s="202">
        <v>4</v>
      </c>
      <c r="G696" s="202">
        <v>2</v>
      </c>
      <c r="H696" s="202">
        <v>2</v>
      </c>
      <c r="I696" s="202">
        <v>2</v>
      </c>
      <c r="K696" s="202">
        <v>43</v>
      </c>
      <c r="L696" s="202">
        <v>93</v>
      </c>
      <c r="M696" s="202">
        <v>4</v>
      </c>
      <c r="N696" s="202">
        <v>11</v>
      </c>
      <c r="O696" s="202">
        <v>49</v>
      </c>
      <c r="P696" s="202">
        <v>1</v>
      </c>
      <c r="Q696" s="202">
        <v>22</v>
      </c>
      <c r="R696" s="202">
        <v>37</v>
      </c>
      <c r="S696" s="202">
        <v>2</v>
      </c>
    </row>
    <row r="697" spans="1:19" x14ac:dyDescent="0.35">
      <c r="A697" s="202">
        <v>52</v>
      </c>
      <c r="B697" s="202">
        <v>97</v>
      </c>
      <c r="C697" s="202">
        <v>4</v>
      </c>
      <c r="D697" s="202">
        <v>10</v>
      </c>
      <c r="E697" s="202">
        <v>26</v>
      </c>
      <c r="F697" s="202">
        <v>1</v>
      </c>
      <c r="G697" s="202">
        <v>20</v>
      </c>
      <c r="H697" s="202">
        <v>52</v>
      </c>
      <c r="I697" s="202">
        <v>2</v>
      </c>
      <c r="K697" s="202">
        <v>51</v>
      </c>
      <c r="L697" s="202">
        <v>14</v>
      </c>
      <c r="M697" s="202">
        <v>3</v>
      </c>
      <c r="N697" s="202">
        <v>8</v>
      </c>
      <c r="O697" s="202">
        <v>27</v>
      </c>
      <c r="P697" s="202">
        <v>5</v>
      </c>
      <c r="Q697" s="202">
        <v>20</v>
      </c>
      <c r="R697" s="202">
        <v>10</v>
      </c>
      <c r="S697" s="202">
        <v>2</v>
      </c>
    </row>
    <row r="698" spans="1:19" x14ac:dyDescent="0.35">
      <c r="A698" s="202">
        <v>52</v>
      </c>
      <c r="B698" s="202">
        <v>97</v>
      </c>
      <c r="C698" s="202">
        <v>4</v>
      </c>
      <c r="D698" s="202">
        <v>10</v>
      </c>
      <c r="E698" s="202">
        <v>26</v>
      </c>
      <c r="F698" s="202">
        <v>4</v>
      </c>
      <c r="G698" s="202">
        <v>20</v>
      </c>
      <c r="H698" s="202">
        <v>2</v>
      </c>
      <c r="I698" s="202">
        <v>2</v>
      </c>
      <c r="K698" s="202">
        <v>3</v>
      </c>
      <c r="L698" s="202">
        <v>101</v>
      </c>
      <c r="M698" s="202">
        <v>2</v>
      </c>
      <c r="N698" s="202">
        <v>18</v>
      </c>
      <c r="O698" s="202">
        <v>26</v>
      </c>
      <c r="P698" s="202">
        <v>5</v>
      </c>
      <c r="Q698" s="202">
        <v>11</v>
      </c>
      <c r="R698" s="202">
        <v>63</v>
      </c>
      <c r="S698" s="202">
        <v>1</v>
      </c>
    </row>
    <row r="699" spans="1:19" x14ac:dyDescent="0.35">
      <c r="A699" s="202">
        <v>52</v>
      </c>
      <c r="B699" s="202">
        <v>97</v>
      </c>
      <c r="C699" s="202">
        <v>4</v>
      </c>
      <c r="D699" s="202">
        <v>10</v>
      </c>
      <c r="E699" s="202">
        <v>27</v>
      </c>
      <c r="F699" s="202">
        <v>2</v>
      </c>
      <c r="G699" s="202">
        <v>20</v>
      </c>
      <c r="H699" s="202">
        <v>5</v>
      </c>
      <c r="I699" s="202">
        <v>1</v>
      </c>
      <c r="K699" s="202">
        <v>68</v>
      </c>
      <c r="L699" s="202">
        <v>78</v>
      </c>
      <c r="M699" s="202">
        <v>2</v>
      </c>
      <c r="N699" s="202">
        <v>13</v>
      </c>
      <c r="O699" s="202">
        <v>25</v>
      </c>
      <c r="P699" s="202">
        <v>5</v>
      </c>
      <c r="Q699" s="202">
        <v>19</v>
      </c>
      <c r="R699" s="202">
        <v>34</v>
      </c>
      <c r="S699" s="202">
        <v>2</v>
      </c>
    </row>
    <row r="700" spans="1:19" x14ac:dyDescent="0.35">
      <c r="A700" s="202">
        <v>52</v>
      </c>
      <c r="B700" s="202">
        <v>97</v>
      </c>
      <c r="C700" s="202">
        <v>4</v>
      </c>
      <c r="D700" s="202">
        <v>10</v>
      </c>
      <c r="E700" s="202">
        <v>27</v>
      </c>
      <c r="F700" s="202">
        <v>5</v>
      </c>
      <c r="G700" s="202">
        <v>2</v>
      </c>
      <c r="H700" s="202">
        <v>27</v>
      </c>
      <c r="I700" s="202">
        <v>1</v>
      </c>
      <c r="K700" s="202">
        <v>62</v>
      </c>
      <c r="L700" s="202">
        <v>25</v>
      </c>
      <c r="M700" s="202">
        <v>4</v>
      </c>
      <c r="N700" s="202">
        <v>8</v>
      </c>
      <c r="O700" s="202">
        <v>54</v>
      </c>
      <c r="P700" s="202">
        <v>2</v>
      </c>
      <c r="Q700" s="202">
        <v>10</v>
      </c>
      <c r="R700" s="202">
        <v>9</v>
      </c>
      <c r="S700" s="202">
        <v>1</v>
      </c>
    </row>
    <row r="701" spans="1:19" x14ac:dyDescent="0.35">
      <c r="A701" s="202">
        <v>52</v>
      </c>
      <c r="B701" s="202">
        <v>91</v>
      </c>
      <c r="C701" s="202">
        <v>4</v>
      </c>
      <c r="D701" s="202">
        <v>10</v>
      </c>
      <c r="E701" s="202">
        <v>1</v>
      </c>
      <c r="F701" s="202">
        <v>2</v>
      </c>
      <c r="G701" s="202">
        <v>11</v>
      </c>
      <c r="H701" s="202">
        <v>21</v>
      </c>
      <c r="I701" s="202">
        <v>1</v>
      </c>
      <c r="K701" s="202">
        <v>82</v>
      </c>
      <c r="L701" s="202">
        <v>57</v>
      </c>
      <c r="M701" s="202">
        <v>4</v>
      </c>
      <c r="N701" s="202">
        <v>1</v>
      </c>
      <c r="O701" s="202">
        <v>48</v>
      </c>
      <c r="P701" s="202">
        <v>2</v>
      </c>
      <c r="Q701" s="202">
        <v>1</v>
      </c>
      <c r="R701" s="202">
        <v>28</v>
      </c>
      <c r="S701" s="202">
        <v>2</v>
      </c>
    </row>
    <row r="702" spans="1:19" x14ac:dyDescent="0.35">
      <c r="A702" s="202">
        <v>52</v>
      </c>
      <c r="B702" s="202">
        <v>91</v>
      </c>
      <c r="C702" s="202">
        <v>4</v>
      </c>
      <c r="D702" s="202">
        <v>10</v>
      </c>
      <c r="E702" s="202">
        <v>1</v>
      </c>
      <c r="F702" s="202">
        <v>5</v>
      </c>
      <c r="G702" s="202">
        <v>20</v>
      </c>
      <c r="H702" s="202">
        <v>37</v>
      </c>
      <c r="I702" s="202">
        <v>1</v>
      </c>
      <c r="K702" s="202">
        <v>1</v>
      </c>
      <c r="L702" s="202">
        <v>16</v>
      </c>
      <c r="M702" s="202">
        <v>4</v>
      </c>
      <c r="N702" s="202">
        <v>8</v>
      </c>
      <c r="O702" s="202">
        <v>48</v>
      </c>
      <c r="P702" s="202">
        <v>5</v>
      </c>
      <c r="Q702" s="202">
        <v>2</v>
      </c>
      <c r="R702" s="202">
        <v>46</v>
      </c>
      <c r="S702" s="202">
        <v>2</v>
      </c>
    </row>
    <row r="703" spans="1:19" x14ac:dyDescent="0.35">
      <c r="A703" s="202">
        <v>52</v>
      </c>
      <c r="B703" s="202">
        <v>26</v>
      </c>
      <c r="C703" s="202">
        <v>2</v>
      </c>
      <c r="D703" s="202">
        <v>16</v>
      </c>
      <c r="E703" s="202">
        <v>42</v>
      </c>
      <c r="F703" s="202">
        <v>1</v>
      </c>
      <c r="G703" s="202">
        <v>11</v>
      </c>
      <c r="H703" s="202">
        <v>8</v>
      </c>
      <c r="I703" s="202">
        <v>2</v>
      </c>
      <c r="K703" s="202">
        <v>9</v>
      </c>
      <c r="L703" s="202">
        <v>105</v>
      </c>
      <c r="M703" s="202">
        <v>3</v>
      </c>
      <c r="N703" s="202">
        <v>8</v>
      </c>
      <c r="O703" s="202">
        <v>2</v>
      </c>
      <c r="P703" s="202">
        <v>2</v>
      </c>
      <c r="Q703" s="202">
        <v>20</v>
      </c>
      <c r="R703" s="202">
        <v>80</v>
      </c>
      <c r="S703" s="202">
        <v>1</v>
      </c>
    </row>
    <row r="704" spans="1:19" x14ac:dyDescent="0.35">
      <c r="A704" s="202">
        <v>52</v>
      </c>
      <c r="B704" s="202">
        <v>26</v>
      </c>
      <c r="C704" s="202">
        <v>2</v>
      </c>
      <c r="D704" s="202">
        <v>16</v>
      </c>
      <c r="E704" s="202">
        <v>42</v>
      </c>
      <c r="F704" s="202">
        <v>2</v>
      </c>
      <c r="G704" s="202">
        <v>11</v>
      </c>
      <c r="H704" s="202">
        <v>8</v>
      </c>
      <c r="I704" s="202">
        <v>2</v>
      </c>
      <c r="K704" s="202">
        <v>81</v>
      </c>
      <c r="L704" s="202">
        <v>16</v>
      </c>
      <c r="M704" s="202">
        <v>2</v>
      </c>
      <c r="N704" s="202">
        <v>14</v>
      </c>
      <c r="O704" s="202">
        <v>29</v>
      </c>
      <c r="P704" s="202">
        <v>4</v>
      </c>
      <c r="Q704" s="202">
        <v>8</v>
      </c>
      <c r="R704" s="202">
        <v>9</v>
      </c>
      <c r="S704" s="202">
        <v>2</v>
      </c>
    </row>
    <row r="705" spans="1:19" x14ac:dyDescent="0.35">
      <c r="A705" s="202">
        <v>52</v>
      </c>
      <c r="B705" s="202">
        <v>68</v>
      </c>
      <c r="C705" s="202">
        <v>2</v>
      </c>
      <c r="D705" s="202">
        <v>17</v>
      </c>
      <c r="E705" s="202">
        <v>47</v>
      </c>
      <c r="F705" s="202">
        <v>2</v>
      </c>
      <c r="G705" s="202">
        <v>20</v>
      </c>
      <c r="H705" s="202">
        <v>9</v>
      </c>
      <c r="I705" s="202">
        <v>2</v>
      </c>
      <c r="K705" s="202">
        <v>66</v>
      </c>
      <c r="L705" s="202">
        <v>24</v>
      </c>
      <c r="M705" s="202">
        <v>3</v>
      </c>
      <c r="N705" s="202">
        <v>4</v>
      </c>
      <c r="O705" s="202">
        <v>42</v>
      </c>
      <c r="P705" s="202">
        <v>1</v>
      </c>
      <c r="Q705" s="202">
        <v>2</v>
      </c>
      <c r="R705" s="202">
        <v>89</v>
      </c>
      <c r="S705" s="202">
        <v>2</v>
      </c>
    </row>
    <row r="706" spans="1:19" x14ac:dyDescent="0.35">
      <c r="A706" s="202">
        <v>52</v>
      </c>
      <c r="B706" s="202">
        <v>68</v>
      </c>
      <c r="C706" s="202">
        <v>2</v>
      </c>
      <c r="D706" s="202">
        <v>17</v>
      </c>
      <c r="E706" s="202">
        <v>47</v>
      </c>
      <c r="F706" s="202">
        <v>5</v>
      </c>
      <c r="G706" s="202">
        <v>20</v>
      </c>
      <c r="H706" s="202">
        <v>9</v>
      </c>
      <c r="I706" s="202">
        <v>2</v>
      </c>
      <c r="K706" s="202">
        <v>56</v>
      </c>
      <c r="L706" s="202">
        <v>26</v>
      </c>
      <c r="M706" s="202">
        <v>2</v>
      </c>
      <c r="N706" s="202">
        <v>10</v>
      </c>
      <c r="O706" s="202">
        <v>43</v>
      </c>
      <c r="P706" s="202">
        <v>1</v>
      </c>
      <c r="Q706" s="202">
        <v>11</v>
      </c>
      <c r="R706" s="202">
        <v>32</v>
      </c>
      <c r="S706" s="202">
        <v>2</v>
      </c>
    </row>
    <row r="707" spans="1:19" x14ac:dyDescent="0.35">
      <c r="A707" s="202">
        <v>52</v>
      </c>
      <c r="B707" s="202">
        <v>16</v>
      </c>
      <c r="C707" s="202">
        <v>3</v>
      </c>
      <c r="D707" s="202">
        <v>17</v>
      </c>
      <c r="E707" s="202">
        <v>43</v>
      </c>
      <c r="F707" s="202">
        <v>1</v>
      </c>
      <c r="G707" s="202">
        <v>3</v>
      </c>
      <c r="H707" s="202">
        <v>34</v>
      </c>
      <c r="I707" s="202">
        <v>1</v>
      </c>
      <c r="K707" s="202">
        <v>74</v>
      </c>
      <c r="L707" s="202">
        <v>3</v>
      </c>
      <c r="M707" s="202">
        <v>4</v>
      </c>
      <c r="N707" s="202">
        <v>12</v>
      </c>
      <c r="O707" s="202">
        <v>48</v>
      </c>
      <c r="P707" s="202">
        <v>2</v>
      </c>
      <c r="Q707" s="202">
        <v>2</v>
      </c>
      <c r="R707" s="202">
        <v>24</v>
      </c>
      <c r="S707" s="202">
        <v>2</v>
      </c>
    </row>
    <row r="708" spans="1:19" x14ac:dyDescent="0.35">
      <c r="A708" s="202">
        <v>52</v>
      </c>
      <c r="B708" s="202">
        <v>16</v>
      </c>
      <c r="C708" s="202">
        <v>3</v>
      </c>
      <c r="D708" s="202">
        <v>17</v>
      </c>
      <c r="E708" s="202">
        <v>43</v>
      </c>
      <c r="F708" s="202">
        <v>4</v>
      </c>
      <c r="G708" s="202">
        <v>3</v>
      </c>
      <c r="H708" s="202">
        <v>34</v>
      </c>
      <c r="I708" s="202">
        <v>1</v>
      </c>
      <c r="K708" s="202">
        <v>24</v>
      </c>
      <c r="L708" s="202">
        <v>24</v>
      </c>
      <c r="M708" s="202">
        <v>2</v>
      </c>
      <c r="N708" s="202">
        <v>16</v>
      </c>
      <c r="O708" s="202">
        <v>48</v>
      </c>
      <c r="P708" s="202">
        <v>3</v>
      </c>
      <c r="Q708" s="202">
        <v>14</v>
      </c>
      <c r="R708" s="202">
        <v>24</v>
      </c>
      <c r="S708" s="202">
        <v>1</v>
      </c>
    </row>
    <row r="709" spans="1:19" x14ac:dyDescent="0.35">
      <c r="A709" s="202">
        <v>53</v>
      </c>
      <c r="B709" s="202">
        <v>78</v>
      </c>
      <c r="C709" s="202">
        <v>3</v>
      </c>
      <c r="D709" s="202">
        <v>15</v>
      </c>
      <c r="E709" s="202">
        <v>53</v>
      </c>
      <c r="F709" s="202">
        <v>2</v>
      </c>
      <c r="G709" s="202">
        <v>10</v>
      </c>
      <c r="H709" s="202">
        <v>38</v>
      </c>
      <c r="I709" s="202">
        <v>1</v>
      </c>
      <c r="K709" s="202">
        <v>19</v>
      </c>
      <c r="L709" s="202">
        <v>33</v>
      </c>
      <c r="M709" s="202">
        <v>2</v>
      </c>
      <c r="N709" s="202">
        <v>15</v>
      </c>
      <c r="O709" s="202">
        <v>48</v>
      </c>
      <c r="P709" s="202">
        <v>4</v>
      </c>
      <c r="Q709" s="202">
        <v>25</v>
      </c>
      <c r="R709" s="202">
        <v>12</v>
      </c>
      <c r="S709" s="202">
        <v>1</v>
      </c>
    </row>
    <row r="710" spans="1:19" x14ac:dyDescent="0.35">
      <c r="A710" s="202">
        <v>53</v>
      </c>
      <c r="B710" s="202">
        <v>78</v>
      </c>
      <c r="C710" s="202">
        <v>3</v>
      </c>
      <c r="D710" s="202">
        <v>15</v>
      </c>
      <c r="E710" s="202">
        <v>53</v>
      </c>
      <c r="F710" s="202">
        <v>5</v>
      </c>
      <c r="G710" s="202">
        <v>10</v>
      </c>
      <c r="H710" s="202">
        <v>11</v>
      </c>
      <c r="I710" s="202">
        <v>1</v>
      </c>
      <c r="K710" s="202">
        <v>26</v>
      </c>
      <c r="L710" s="202">
        <v>38</v>
      </c>
      <c r="M710" s="202">
        <v>4</v>
      </c>
      <c r="N710" s="202">
        <v>16</v>
      </c>
      <c r="O710" s="202">
        <v>5</v>
      </c>
      <c r="P710" s="202">
        <v>1</v>
      </c>
      <c r="Q710" s="202">
        <v>14</v>
      </c>
      <c r="R710" s="202">
        <v>1</v>
      </c>
      <c r="S710" s="202">
        <v>2</v>
      </c>
    </row>
    <row r="711" spans="1:19" x14ac:dyDescent="0.35">
      <c r="A711" s="202">
        <v>53</v>
      </c>
      <c r="B711" s="202">
        <v>69</v>
      </c>
      <c r="C711" s="202">
        <v>3</v>
      </c>
      <c r="D711" s="202">
        <v>15</v>
      </c>
      <c r="E711" s="202">
        <v>29</v>
      </c>
      <c r="F711" s="202">
        <v>1</v>
      </c>
      <c r="G711" s="202">
        <v>1</v>
      </c>
      <c r="H711" s="202">
        <v>51</v>
      </c>
      <c r="I711" s="202">
        <v>2</v>
      </c>
      <c r="K711" s="202">
        <v>6</v>
      </c>
      <c r="L711" s="202">
        <v>51</v>
      </c>
      <c r="M711" s="202">
        <v>2</v>
      </c>
      <c r="N711" s="202">
        <v>10</v>
      </c>
      <c r="O711" s="202">
        <v>38</v>
      </c>
      <c r="P711" s="202">
        <v>2</v>
      </c>
      <c r="Q711" s="202">
        <v>2</v>
      </c>
      <c r="R711" s="202">
        <v>36</v>
      </c>
      <c r="S711" s="202">
        <v>2</v>
      </c>
    </row>
    <row r="712" spans="1:19" x14ac:dyDescent="0.35">
      <c r="A712" s="202">
        <v>53</v>
      </c>
      <c r="B712" s="202">
        <v>69</v>
      </c>
      <c r="C712" s="202">
        <v>3</v>
      </c>
      <c r="D712" s="202">
        <v>15</v>
      </c>
      <c r="E712" s="202">
        <v>29</v>
      </c>
      <c r="F712" s="202">
        <v>3</v>
      </c>
      <c r="G712" s="202">
        <v>1</v>
      </c>
      <c r="H712" s="202">
        <v>51</v>
      </c>
      <c r="I712" s="202">
        <v>2</v>
      </c>
      <c r="K712" s="202">
        <v>66</v>
      </c>
      <c r="L712" s="202">
        <v>99</v>
      </c>
      <c r="M712" s="202">
        <v>4</v>
      </c>
      <c r="N712" s="202">
        <v>8</v>
      </c>
      <c r="O712" s="202">
        <v>32</v>
      </c>
      <c r="P712" s="202">
        <v>4</v>
      </c>
      <c r="Q712" s="202">
        <v>11</v>
      </c>
      <c r="R712" s="202">
        <v>17</v>
      </c>
      <c r="S712" s="202">
        <v>1</v>
      </c>
    </row>
    <row r="713" spans="1:19" x14ac:dyDescent="0.35">
      <c r="A713" s="202">
        <v>53</v>
      </c>
      <c r="B713" s="202">
        <v>24</v>
      </c>
      <c r="C713" s="202">
        <v>2</v>
      </c>
      <c r="D713" s="202">
        <v>18</v>
      </c>
      <c r="E713" s="202">
        <v>49</v>
      </c>
      <c r="F713" s="202">
        <v>2</v>
      </c>
      <c r="G713" s="202">
        <v>25</v>
      </c>
      <c r="H713" s="202">
        <v>7</v>
      </c>
      <c r="I713" s="202">
        <v>1</v>
      </c>
      <c r="K713" s="202">
        <v>25</v>
      </c>
      <c r="L713" s="202">
        <v>105</v>
      </c>
      <c r="M713" s="202">
        <v>4</v>
      </c>
      <c r="N713" s="202">
        <v>15</v>
      </c>
      <c r="O713" s="202">
        <v>43</v>
      </c>
      <c r="P713" s="202">
        <v>1</v>
      </c>
      <c r="Q713" s="202">
        <v>2</v>
      </c>
      <c r="R713" s="202">
        <v>35</v>
      </c>
      <c r="S713" s="202">
        <v>1</v>
      </c>
    </row>
    <row r="714" spans="1:19" x14ac:dyDescent="0.35">
      <c r="A714" s="202">
        <v>53</v>
      </c>
      <c r="B714" s="202">
        <v>24</v>
      </c>
      <c r="C714" s="202">
        <v>2</v>
      </c>
      <c r="D714" s="202">
        <v>18</v>
      </c>
      <c r="E714" s="202">
        <v>49</v>
      </c>
      <c r="F714" s="202">
        <v>5</v>
      </c>
      <c r="G714" s="202">
        <v>25</v>
      </c>
      <c r="H714" s="202">
        <v>7</v>
      </c>
      <c r="I714" s="202">
        <v>1</v>
      </c>
      <c r="K714" s="202">
        <v>13</v>
      </c>
      <c r="L714" s="202">
        <v>35</v>
      </c>
      <c r="M714" s="202">
        <v>3</v>
      </c>
      <c r="N714" s="202">
        <v>17</v>
      </c>
      <c r="O714" s="202">
        <v>48</v>
      </c>
      <c r="P714" s="202">
        <v>5</v>
      </c>
      <c r="Q714" s="202">
        <v>11</v>
      </c>
      <c r="R714" s="202">
        <v>21</v>
      </c>
      <c r="S714" s="202">
        <v>2</v>
      </c>
    </row>
    <row r="715" spans="1:19" x14ac:dyDescent="0.35">
      <c r="A715" s="202">
        <v>53</v>
      </c>
      <c r="B715" s="202">
        <v>25</v>
      </c>
      <c r="C715" s="202">
        <v>2</v>
      </c>
      <c r="D715" s="202">
        <v>18</v>
      </c>
      <c r="E715" s="202">
        <v>50</v>
      </c>
      <c r="F715" s="202">
        <v>1</v>
      </c>
      <c r="G715" s="202">
        <v>7</v>
      </c>
      <c r="H715" s="202">
        <v>20</v>
      </c>
      <c r="I715" s="202">
        <v>2</v>
      </c>
      <c r="K715" s="202">
        <v>61</v>
      </c>
      <c r="L715" s="202">
        <v>50</v>
      </c>
      <c r="M715" s="202">
        <v>2</v>
      </c>
      <c r="N715" s="202">
        <v>8</v>
      </c>
      <c r="O715" s="202">
        <v>43</v>
      </c>
      <c r="P715" s="202">
        <v>4</v>
      </c>
      <c r="Q715" s="202">
        <v>7</v>
      </c>
      <c r="R715" s="202">
        <v>3</v>
      </c>
      <c r="S715" s="202">
        <v>1</v>
      </c>
    </row>
    <row r="716" spans="1:19" x14ac:dyDescent="0.35">
      <c r="A716" s="202">
        <v>53</v>
      </c>
      <c r="B716" s="202">
        <v>25</v>
      </c>
      <c r="C716" s="202">
        <v>2</v>
      </c>
      <c r="D716" s="202">
        <v>18</v>
      </c>
      <c r="E716" s="202">
        <v>50</v>
      </c>
      <c r="F716" s="202">
        <v>4</v>
      </c>
      <c r="G716" s="202">
        <v>14</v>
      </c>
      <c r="H716" s="202">
        <v>33</v>
      </c>
      <c r="I716" s="202">
        <v>2</v>
      </c>
      <c r="K716" s="202">
        <v>27</v>
      </c>
      <c r="L716" s="202">
        <v>11</v>
      </c>
      <c r="M716" s="202">
        <v>3</v>
      </c>
      <c r="N716" s="202">
        <v>18</v>
      </c>
      <c r="O716" s="202">
        <v>26</v>
      </c>
      <c r="P716" s="202">
        <v>4</v>
      </c>
      <c r="Q716" s="202">
        <v>20</v>
      </c>
      <c r="R716" s="202">
        <v>30</v>
      </c>
      <c r="S716" s="202">
        <v>2</v>
      </c>
    </row>
    <row r="717" spans="1:19" x14ac:dyDescent="0.35">
      <c r="A717" s="202">
        <v>53</v>
      </c>
      <c r="B717" s="202">
        <v>24</v>
      </c>
      <c r="C717" s="202">
        <v>2</v>
      </c>
      <c r="D717" s="202">
        <v>2</v>
      </c>
      <c r="E717" s="202">
        <v>48</v>
      </c>
      <c r="F717" s="202">
        <v>4</v>
      </c>
      <c r="G717" s="202">
        <v>25</v>
      </c>
      <c r="H717" s="202">
        <v>7</v>
      </c>
      <c r="I717" s="202">
        <v>2</v>
      </c>
      <c r="K717" s="202">
        <v>32</v>
      </c>
      <c r="L717" s="202">
        <v>49</v>
      </c>
      <c r="M717" s="202">
        <v>4</v>
      </c>
      <c r="N717" s="202">
        <v>18</v>
      </c>
      <c r="O717" s="202">
        <v>45</v>
      </c>
      <c r="P717" s="202">
        <v>1</v>
      </c>
      <c r="Q717" s="202">
        <v>14</v>
      </c>
      <c r="R717" s="202">
        <v>37</v>
      </c>
      <c r="S717" s="202">
        <v>1</v>
      </c>
    </row>
    <row r="718" spans="1:19" x14ac:dyDescent="0.35">
      <c r="A718" s="202">
        <v>53</v>
      </c>
      <c r="B718" s="202">
        <v>24</v>
      </c>
      <c r="C718" s="202">
        <v>2</v>
      </c>
      <c r="D718" s="202">
        <v>2</v>
      </c>
      <c r="E718" s="202">
        <v>48</v>
      </c>
      <c r="F718" s="202">
        <v>5</v>
      </c>
      <c r="G718" s="202">
        <v>25</v>
      </c>
      <c r="H718" s="202">
        <v>7</v>
      </c>
      <c r="I718" s="202">
        <v>2</v>
      </c>
      <c r="K718" s="202">
        <v>48</v>
      </c>
      <c r="L718" s="202">
        <v>70</v>
      </c>
      <c r="M718" s="202">
        <v>3</v>
      </c>
      <c r="N718" s="202">
        <v>17</v>
      </c>
      <c r="O718" s="202">
        <v>26</v>
      </c>
      <c r="P718" s="202">
        <v>4</v>
      </c>
      <c r="Q718" s="202">
        <v>19</v>
      </c>
      <c r="R718" s="202">
        <v>18</v>
      </c>
      <c r="S718" s="202">
        <v>2</v>
      </c>
    </row>
    <row r="719" spans="1:19" x14ac:dyDescent="0.35">
      <c r="A719" s="202">
        <v>53</v>
      </c>
      <c r="B719" s="202">
        <v>25</v>
      </c>
      <c r="C719" s="202">
        <v>2</v>
      </c>
      <c r="D719" s="202">
        <v>11</v>
      </c>
      <c r="E719" s="202">
        <v>49</v>
      </c>
      <c r="F719" s="202">
        <v>1</v>
      </c>
      <c r="G719" s="202">
        <v>17</v>
      </c>
      <c r="H719" s="202">
        <v>76</v>
      </c>
      <c r="I719" s="202">
        <v>2</v>
      </c>
      <c r="K719" s="202">
        <v>17</v>
      </c>
      <c r="L719" s="202">
        <v>22</v>
      </c>
      <c r="M719" s="202">
        <v>4</v>
      </c>
      <c r="N719" s="202">
        <v>8</v>
      </c>
      <c r="O719" s="202">
        <v>48</v>
      </c>
      <c r="P719" s="202">
        <v>4</v>
      </c>
      <c r="Q719" s="202">
        <v>20</v>
      </c>
      <c r="R719" s="202">
        <v>35</v>
      </c>
      <c r="S719" s="202">
        <v>1</v>
      </c>
    </row>
    <row r="720" spans="1:19" x14ac:dyDescent="0.35">
      <c r="A720" s="202">
        <v>53</v>
      </c>
      <c r="B720" s="202">
        <v>25</v>
      </c>
      <c r="C720" s="202">
        <v>2</v>
      </c>
      <c r="D720" s="202">
        <v>11</v>
      </c>
      <c r="E720" s="202">
        <v>49</v>
      </c>
      <c r="F720" s="202">
        <v>3</v>
      </c>
      <c r="G720" s="202">
        <v>21</v>
      </c>
      <c r="H720" s="202">
        <v>83</v>
      </c>
      <c r="I720" s="202">
        <v>2</v>
      </c>
      <c r="K720" s="202">
        <v>6</v>
      </c>
      <c r="L720" s="202">
        <v>2</v>
      </c>
      <c r="M720" s="202">
        <v>3</v>
      </c>
      <c r="N720" s="202">
        <v>1</v>
      </c>
      <c r="O720" s="202">
        <v>48</v>
      </c>
      <c r="P720" s="202">
        <v>4</v>
      </c>
      <c r="Q720" s="202">
        <v>20</v>
      </c>
      <c r="R720" s="202">
        <v>33</v>
      </c>
      <c r="S720" s="202">
        <v>2</v>
      </c>
    </row>
    <row r="721" spans="1:19" x14ac:dyDescent="0.35">
      <c r="A721" s="202">
        <v>53</v>
      </c>
      <c r="B721" s="202">
        <v>24</v>
      </c>
      <c r="C721" s="202">
        <v>2</v>
      </c>
      <c r="D721" s="202">
        <v>11</v>
      </c>
      <c r="E721" s="202">
        <v>51</v>
      </c>
      <c r="F721" s="202">
        <v>2</v>
      </c>
      <c r="G721" s="202">
        <v>17</v>
      </c>
      <c r="H721" s="202">
        <v>13</v>
      </c>
      <c r="I721" s="202">
        <v>2</v>
      </c>
      <c r="K721" s="202">
        <v>66</v>
      </c>
      <c r="L721" s="202">
        <v>5</v>
      </c>
      <c r="M721" s="202">
        <v>2</v>
      </c>
      <c r="N721" s="202">
        <v>15</v>
      </c>
      <c r="O721" s="202">
        <v>27</v>
      </c>
      <c r="P721" s="202">
        <v>4</v>
      </c>
      <c r="Q721" s="202">
        <v>20</v>
      </c>
      <c r="R721" s="202">
        <v>19</v>
      </c>
      <c r="S721" s="202">
        <v>2</v>
      </c>
    </row>
    <row r="722" spans="1:19" x14ac:dyDescent="0.35">
      <c r="A722" s="202">
        <v>53</v>
      </c>
      <c r="B722" s="202">
        <v>24</v>
      </c>
      <c r="C722" s="202">
        <v>2</v>
      </c>
      <c r="D722" s="202">
        <v>11</v>
      </c>
      <c r="E722" s="202">
        <v>51</v>
      </c>
      <c r="F722" s="202">
        <v>4</v>
      </c>
      <c r="G722" s="202">
        <v>25</v>
      </c>
      <c r="H722" s="202">
        <v>14</v>
      </c>
      <c r="I722" s="202">
        <v>2</v>
      </c>
      <c r="K722" s="202">
        <v>6</v>
      </c>
      <c r="L722" s="202">
        <v>25</v>
      </c>
      <c r="M722" s="202">
        <v>3</v>
      </c>
      <c r="N722" s="202">
        <v>15</v>
      </c>
      <c r="O722" s="202">
        <v>52</v>
      </c>
      <c r="P722" s="202">
        <v>1</v>
      </c>
      <c r="Q722" s="202">
        <v>2</v>
      </c>
      <c r="R722" s="202">
        <v>29</v>
      </c>
      <c r="S722" s="202">
        <v>1</v>
      </c>
    </row>
    <row r="723" spans="1:19" x14ac:dyDescent="0.35">
      <c r="A723" s="202">
        <v>53</v>
      </c>
      <c r="B723" s="202">
        <v>22</v>
      </c>
      <c r="C723" s="202">
        <v>4</v>
      </c>
      <c r="D723" s="202">
        <v>15</v>
      </c>
      <c r="E723" s="202">
        <v>4</v>
      </c>
      <c r="F723" s="202">
        <v>2</v>
      </c>
      <c r="G723" s="202">
        <v>24</v>
      </c>
      <c r="H723" s="202">
        <v>44</v>
      </c>
      <c r="I723" s="202">
        <v>3</v>
      </c>
      <c r="K723" s="202">
        <v>43</v>
      </c>
      <c r="L723" s="202">
        <v>48</v>
      </c>
      <c r="M723" s="202">
        <v>3</v>
      </c>
      <c r="N723" s="202">
        <v>8</v>
      </c>
      <c r="O723" s="202">
        <v>27</v>
      </c>
      <c r="P723" s="202">
        <v>2</v>
      </c>
      <c r="Q723" s="202">
        <v>1</v>
      </c>
      <c r="R723" s="202">
        <v>17</v>
      </c>
      <c r="S723" s="202">
        <v>1</v>
      </c>
    </row>
    <row r="724" spans="1:19" x14ac:dyDescent="0.35">
      <c r="A724" s="202">
        <v>54</v>
      </c>
      <c r="B724" s="202">
        <v>47</v>
      </c>
      <c r="C724" s="202">
        <v>1</v>
      </c>
      <c r="D724" s="202">
        <v>10</v>
      </c>
      <c r="E724" s="202">
        <v>44</v>
      </c>
      <c r="F724" s="202">
        <v>2</v>
      </c>
      <c r="G724" s="202">
        <v>1</v>
      </c>
      <c r="H724" s="202">
        <v>21</v>
      </c>
      <c r="I724" s="202">
        <v>1</v>
      </c>
      <c r="K724" s="202">
        <v>18</v>
      </c>
      <c r="L724" s="202">
        <v>33</v>
      </c>
      <c r="M724" s="202">
        <v>4</v>
      </c>
      <c r="N724" s="202">
        <v>10</v>
      </c>
      <c r="O724" s="202">
        <v>2</v>
      </c>
      <c r="P724" s="202">
        <v>2</v>
      </c>
      <c r="Q724" s="202">
        <v>11</v>
      </c>
      <c r="R724" s="202">
        <v>20</v>
      </c>
      <c r="S724" s="202">
        <v>1</v>
      </c>
    </row>
    <row r="725" spans="1:19" x14ac:dyDescent="0.35">
      <c r="A725" s="202">
        <v>54</v>
      </c>
      <c r="B725" s="202">
        <v>47</v>
      </c>
      <c r="C725" s="202">
        <v>1</v>
      </c>
      <c r="D725" s="202">
        <v>10</v>
      </c>
      <c r="E725" s="202">
        <v>44</v>
      </c>
      <c r="F725" s="202">
        <v>5</v>
      </c>
      <c r="G725" s="202">
        <v>9</v>
      </c>
      <c r="H725" s="202">
        <v>54</v>
      </c>
      <c r="I725" s="202">
        <v>1</v>
      </c>
      <c r="K725" s="202">
        <v>2</v>
      </c>
      <c r="L725" s="202">
        <v>70</v>
      </c>
      <c r="M725" s="202">
        <v>4</v>
      </c>
      <c r="N725" s="202">
        <v>10</v>
      </c>
      <c r="O725" s="202">
        <v>43</v>
      </c>
      <c r="P725" s="202">
        <v>1</v>
      </c>
      <c r="Q725" s="202">
        <v>20</v>
      </c>
      <c r="R725" s="202">
        <v>27</v>
      </c>
      <c r="S725" s="202">
        <v>2</v>
      </c>
    </row>
    <row r="726" spans="1:19" x14ac:dyDescent="0.35">
      <c r="A726" s="202">
        <v>54</v>
      </c>
      <c r="B726" s="202">
        <v>49</v>
      </c>
      <c r="C726" s="202">
        <v>4</v>
      </c>
      <c r="D726" s="202">
        <v>10</v>
      </c>
      <c r="E726" s="202">
        <v>25</v>
      </c>
      <c r="F726" s="202">
        <v>1</v>
      </c>
      <c r="G726" s="202">
        <v>2</v>
      </c>
      <c r="H726" s="202">
        <v>45</v>
      </c>
      <c r="I726" s="202">
        <v>1</v>
      </c>
      <c r="K726" s="202">
        <v>26</v>
      </c>
      <c r="L726" s="202">
        <v>83</v>
      </c>
      <c r="M726" s="202">
        <v>2</v>
      </c>
      <c r="N726" s="202">
        <v>8</v>
      </c>
      <c r="O726" s="202">
        <v>53</v>
      </c>
      <c r="P726" s="202">
        <v>1</v>
      </c>
      <c r="Q726" s="202">
        <v>23</v>
      </c>
      <c r="R726" s="202">
        <v>30</v>
      </c>
      <c r="S726" s="202">
        <v>2</v>
      </c>
    </row>
    <row r="727" spans="1:19" x14ac:dyDescent="0.35">
      <c r="A727" s="202">
        <v>54</v>
      </c>
      <c r="B727" s="202">
        <v>49</v>
      </c>
      <c r="C727" s="202">
        <v>4</v>
      </c>
      <c r="D727" s="202">
        <v>10</v>
      </c>
      <c r="E727" s="202">
        <v>25</v>
      </c>
      <c r="F727" s="202">
        <v>4</v>
      </c>
      <c r="G727" s="202">
        <v>20</v>
      </c>
      <c r="H727" s="202">
        <v>24</v>
      </c>
      <c r="I727" s="202">
        <v>1</v>
      </c>
      <c r="K727" s="202">
        <v>49</v>
      </c>
      <c r="L727" s="202">
        <v>15</v>
      </c>
      <c r="M727" s="202">
        <v>3</v>
      </c>
      <c r="N727" s="202">
        <v>4</v>
      </c>
      <c r="O727" s="202">
        <v>42</v>
      </c>
      <c r="P727" s="202">
        <v>3</v>
      </c>
      <c r="Q727" s="202">
        <v>10</v>
      </c>
      <c r="R727" s="202">
        <v>48</v>
      </c>
      <c r="S727" s="202">
        <v>2</v>
      </c>
    </row>
    <row r="728" spans="1:19" x14ac:dyDescent="0.35">
      <c r="A728" s="202">
        <v>54</v>
      </c>
      <c r="B728" s="202">
        <v>49</v>
      </c>
      <c r="C728" s="202">
        <v>4</v>
      </c>
      <c r="D728" s="202">
        <v>10</v>
      </c>
      <c r="E728" s="202">
        <v>26</v>
      </c>
      <c r="F728" s="202">
        <v>2</v>
      </c>
      <c r="G728" s="202">
        <v>11</v>
      </c>
      <c r="H728" s="202">
        <v>30</v>
      </c>
      <c r="I728" s="202">
        <v>1</v>
      </c>
      <c r="K728" s="202">
        <v>24</v>
      </c>
      <c r="L728" s="202">
        <v>18</v>
      </c>
      <c r="M728" s="202">
        <v>2</v>
      </c>
      <c r="N728" s="202">
        <v>15</v>
      </c>
      <c r="O728" s="202">
        <v>47</v>
      </c>
      <c r="P728" s="202">
        <v>4</v>
      </c>
      <c r="Q728" s="202">
        <v>1</v>
      </c>
      <c r="R728" s="202">
        <v>38</v>
      </c>
      <c r="S728" s="202">
        <v>2</v>
      </c>
    </row>
    <row r="729" spans="1:19" x14ac:dyDescent="0.35">
      <c r="A729" s="202">
        <v>54</v>
      </c>
      <c r="B729" s="202">
        <v>49</v>
      </c>
      <c r="C729" s="202">
        <v>4</v>
      </c>
      <c r="D729" s="202">
        <v>10</v>
      </c>
      <c r="E729" s="202">
        <v>26</v>
      </c>
      <c r="F729" s="202">
        <v>5</v>
      </c>
      <c r="G729" s="202">
        <v>2</v>
      </c>
      <c r="H729" s="202">
        <v>45</v>
      </c>
      <c r="I729" s="202">
        <v>1</v>
      </c>
      <c r="K729" s="202">
        <v>31</v>
      </c>
      <c r="L729" s="202">
        <v>24</v>
      </c>
      <c r="M729" s="202">
        <v>2</v>
      </c>
      <c r="N729" s="202">
        <v>8</v>
      </c>
      <c r="O729" s="202">
        <v>49</v>
      </c>
      <c r="P729" s="202">
        <v>3</v>
      </c>
      <c r="Q729" s="202">
        <v>2</v>
      </c>
      <c r="R729" s="202">
        <v>39</v>
      </c>
      <c r="S729" s="202">
        <v>2</v>
      </c>
    </row>
    <row r="730" spans="1:19" x14ac:dyDescent="0.35">
      <c r="A730" s="202">
        <v>54</v>
      </c>
      <c r="B730" s="202">
        <v>113</v>
      </c>
      <c r="C730" s="202">
        <v>4</v>
      </c>
      <c r="D730" s="202">
        <v>10</v>
      </c>
      <c r="E730" s="202">
        <v>1</v>
      </c>
      <c r="F730" s="202">
        <v>1</v>
      </c>
      <c r="G730" s="202">
        <v>2</v>
      </c>
      <c r="H730" s="202">
        <v>38</v>
      </c>
      <c r="I730" s="202">
        <v>2</v>
      </c>
      <c r="K730" s="202">
        <v>31</v>
      </c>
      <c r="L730" s="202">
        <v>30</v>
      </c>
      <c r="M730" s="202">
        <v>4</v>
      </c>
      <c r="N730" s="202">
        <v>18</v>
      </c>
      <c r="O730" s="202">
        <v>51</v>
      </c>
      <c r="P730" s="202">
        <v>1</v>
      </c>
      <c r="Q730" s="202">
        <v>11</v>
      </c>
      <c r="R730" s="202">
        <v>30</v>
      </c>
      <c r="S730" s="202">
        <v>1</v>
      </c>
    </row>
    <row r="731" spans="1:19" x14ac:dyDescent="0.35">
      <c r="A731" s="202">
        <v>54</v>
      </c>
      <c r="B731" s="202">
        <v>113</v>
      </c>
      <c r="C731" s="202">
        <v>4</v>
      </c>
      <c r="D731" s="202">
        <v>10</v>
      </c>
      <c r="E731" s="202">
        <v>1</v>
      </c>
      <c r="F731" s="202">
        <v>4</v>
      </c>
      <c r="G731" s="202">
        <v>2</v>
      </c>
      <c r="H731" s="202">
        <v>38</v>
      </c>
      <c r="I731" s="202">
        <v>2</v>
      </c>
      <c r="K731" s="202">
        <v>11</v>
      </c>
      <c r="L731" s="202">
        <v>69</v>
      </c>
      <c r="M731" s="202">
        <v>4</v>
      </c>
      <c r="N731" s="202">
        <v>18</v>
      </c>
      <c r="O731" s="202">
        <v>46</v>
      </c>
      <c r="P731" s="202">
        <v>1</v>
      </c>
      <c r="Q731" s="202">
        <v>20</v>
      </c>
      <c r="R731" s="202">
        <v>19</v>
      </c>
      <c r="S731" s="202">
        <v>2</v>
      </c>
    </row>
    <row r="732" spans="1:19" x14ac:dyDescent="0.35">
      <c r="A732" s="202">
        <v>54</v>
      </c>
      <c r="B732" s="202">
        <v>26</v>
      </c>
      <c r="C732" s="202">
        <v>2</v>
      </c>
      <c r="D732" s="202">
        <v>16</v>
      </c>
      <c r="E732" s="202">
        <v>1</v>
      </c>
      <c r="F732" s="202">
        <v>1</v>
      </c>
      <c r="G732" s="202">
        <v>11</v>
      </c>
      <c r="H732" s="202">
        <v>8</v>
      </c>
      <c r="I732" s="202">
        <v>2</v>
      </c>
      <c r="K732" s="202">
        <v>44</v>
      </c>
      <c r="L732" s="202">
        <v>83</v>
      </c>
      <c r="M732" s="202">
        <v>3</v>
      </c>
      <c r="N732" s="202">
        <v>8</v>
      </c>
      <c r="O732" s="202">
        <v>43</v>
      </c>
      <c r="P732" s="202">
        <v>1</v>
      </c>
      <c r="Q732" s="202">
        <v>11</v>
      </c>
      <c r="R732" s="202">
        <v>20</v>
      </c>
      <c r="S732" s="202">
        <v>1</v>
      </c>
    </row>
    <row r="733" spans="1:19" x14ac:dyDescent="0.35">
      <c r="A733" s="202">
        <v>54</v>
      </c>
      <c r="B733" s="202">
        <v>26</v>
      </c>
      <c r="C733" s="202">
        <v>2</v>
      </c>
      <c r="D733" s="202">
        <v>16</v>
      </c>
      <c r="E733" s="202">
        <v>1</v>
      </c>
      <c r="F733" s="202">
        <v>2</v>
      </c>
      <c r="G733" s="202">
        <v>11</v>
      </c>
      <c r="H733" s="202">
        <v>8</v>
      </c>
      <c r="I733" s="202">
        <v>2</v>
      </c>
      <c r="K733" s="202">
        <v>20</v>
      </c>
      <c r="L733" s="202">
        <v>20</v>
      </c>
      <c r="M733" s="202">
        <v>4</v>
      </c>
      <c r="N733" s="202">
        <v>17</v>
      </c>
      <c r="O733" s="202">
        <v>53</v>
      </c>
      <c r="P733" s="202">
        <v>1</v>
      </c>
      <c r="Q733" s="202">
        <v>2</v>
      </c>
      <c r="R733" s="202">
        <v>11</v>
      </c>
      <c r="S733" s="202">
        <v>2</v>
      </c>
    </row>
    <row r="734" spans="1:19" x14ac:dyDescent="0.35">
      <c r="A734" s="202">
        <v>54</v>
      </c>
      <c r="B734" s="202">
        <v>2</v>
      </c>
      <c r="C734" s="202">
        <v>2</v>
      </c>
      <c r="D734" s="202">
        <v>17</v>
      </c>
      <c r="E734" s="202">
        <v>47</v>
      </c>
      <c r="F734" s="202">
        <v>1</v>
      </c>
      <c r="G734" s="202">
        <v>15</v>
      </c>
      <c r="H734" s="202">
        <v>9</v>
      </c>
      <c r="I734" s="202">
        <v>1</v>
      </c>
      <c r="K734" s="202">
        <v>22</v>
      </c>
      <c r="L734" s="202">
        <v>68</v>
      </c>
      <c r="M734" s="202">
        <v>4</v>
      </c>
      <c r="N734" s="202">
        <v>18</v>
      </c>
      <c r="O734" s="202">
        <v>42</v>
      </c>
      <c r="P734" s="202">
        <v>2</v>
      </c>
      <c r="Q734" s="202">
        <v>17</v>
      </c>
      <c r="R734" s="202">
        <v>36</v>
      </c>
      <c r="S734" s="202">
        <v>2</v>
      </c>
    </row>
    <row r="735" spans="1:19" x14ac:dyDescent="0.35">
      <c r="A735" s="202">
        <v>54</v>
      </c>
      <c r="B735" s="202">
        <v>2</v>
      </c>
      <c r="C735" s="202">
        <v>2</v>
      </c>
      <c r="D735" s="202">
        <v>17</v>
      </c>
      <c r="E735" s="202">
        <v>47</v>
      </c>
      <c r="F735" s="202">
        <v>4</v>
      </c>
      <c r="G735" s="202">
        <v>15</v>
      </c>
      <c r="H735" s="202">
        <v>9</v>
      </c>
      <c r="I735" s="202">
        <v>1</v>
      </c>
      <c r="K735" s="202">
        <v>30</v>
      </c>
      <c r="L735" s="202">
        <v>5</v>
      </c>
      <c r="M735" s="202">
        <v>2</v>
      </c>
      <c r="N735" s="202">
        <v>18</v>
      </c>
      <c r="O735" s="202">
        <v>48</v>
      </c>
      <c r="P735" s="202">
        <v>5</v>
      </c>
      <c r="Q735" s="202">
        <v>19</v>
      </c>
      <c r="R735" s="202">
        <v>1</v>
      </c>
      <c r="S735" s="202">
        <v>2</v>
      </c>
    </row>
    <row r="736" spans="1:19" x14ac:dyDescent="0.35">
      <c r="A736" s="202">
        <v>55</v>
      </c>
      <c r="B736" s="202">
        <v>25</v>
      </c>
      <c r="C736" s="202">
        <v>2</v>
      </c>
      <c r="D736" s="202">
        <v>1</v>
      </c>
      <c r="E736" s="202">
        <v>48</v>
      </c>
      <c r="F736" s="202">
        <v>3</v>
      </c>
      <c r="G736" s="202">
        <v>17</v>
      </c>
      <c r="H736" s="202">
        <v>79</v>
      </c>
      <c r="I736" s="202">
        <v>2</v>
      </c>
      <c r="K736" s="202">
        <v>73</v>
      </c>
      <c r="L736" s="202">
        <v>94</v>
      </c>
      <c r="M736" s="202">
        <v>4</v>
      </c>
      <c r="N736" s="202">
        <v>15</v>
      </c>
      <c r="O736" s="202">
        <v>27</v>
      </c>
      <c r="P736" s="202">
        <v>4</v>
      </c>
      <c r="Q736" s="202">
        <v>11</v>
      </c>
      <c r="R736" s="202">
        <v>46</v>
      </c>
      <c r="S736" s="202">
        <v>3</v>
      </c>
    </row>
    <row r="737" spans="1:19" x14ac:dyDescent="0.35">
      <c r="A737" s="202">
        <v>55</v>
      </c>
      <c r="B737" s="202">
        <v>25</v>
      </c>
      <c r="C737" s="202">
        <v>2</v>
      </c>
      <c r="D737" s="202">
        <v>1</v>
      </c>
      <c r="E737" s="202">
        <v>48</v>
      </c>
      <c r="F737" s="202">
        <v>5</v>
      </c>
      <c r="G737" s="202">
        <v>19</v>
      </c>
      <c r="H737" s="202">
        <v>75</v>
      </c>
      <c r="I737" s="202">
        <v>2</v>
      </c>
      <c r="K737" s="202">
        <v>19</v>
      </c>
      <c r="L737" s="202">
        <v>25</v>
      </c>
      <c r="M737" s="202">
        <v>3</v>
      </c>
      <c r="N737" s="202">
        <v>15</v>
      </c>
      <c r="O737" s="202">
        <v>45</v>
      </c>
      <c r="P737" s="202">
        <v>5</v>
      </c>
      <c r="Q737" s="202">
        <v>2</v>
      </c>
      <c r="R737" s="202">
        <v>35</v>
      </c>
      <c r="S737" s="202">
        <v>2</v>
      </c>
    </row>
    <row r="738" spans="1:19" x14ac:dyDescent="0.35">
      <c r="A738" s="202">
        <v>55</v>
      </c>
      <c r="B738" s="202">
        <v>25</v>
      </c>
      <c r="C738" s="202">
        <v>2</v>
      </c>
      <c r="D738" s="202">
        <v>1</v>
      </c>
      <c r="E738" s="202">
        <v>49</v>
      </c>
      <c r="F738" s="202">
        <v>3</v>
      </c>
      <c r="G738" s="202">
        <v>17</v>
      </c>
      <c r="H738" s="202">
        <v>82</v>
      </c>
      <c r="I738" s="202">
        <v>2</v>
      </c>
      <c r="K738" s="202">
        <v>11</v>
      </c>
      <c r="L738" s="202">
        <v>44</v>
      </c>
      <c r="M738" s="202">
        <v>2</v>
      </c>
      <c r="N738" s="202">
        <v>15</v>
      </c>
      <c r="O738" s="202">
        <v>42</v>
      </c>
      <c r="P738" s="202">
        <v>1</v>
      </c>
      <c r="Q738" s="202">
        <v>7</v>
      </c>
      <c r="R738" s="202">
        <v>37</v>
      </c>
      <c r="S738" s="202">
        <v>1</v>
      </c>
    </row>
    <row r="739" spans="1:19" x14ac:dyDescent="0.35">
      <c r="A739" s="202">
        <v>55</v>
      </c>
      <c r="B739" s="202">
        <v>25</v>
      </c>
      <c r="C739" s="202">
        <v>2</v>
      </c>
      <c r="D739" s="202">
        <v>1</v>
      </c>
      <c r="E739" s="202">
        <v>49</v>
      </c>
      <c r="F739" s="202">
        <v>5</v>
      </c>
      <c r="G739" s="202">
        <v>19</v>
      </c>
      <c r="H739" s="202">
        <v>76</v>
      </c>
      <c r="I739" s="202">
        <v>2</v>
      </c>
      <c r="K739" s="202">
        <v>76</v>
      </c>
      <c r="L739" s="202">
        <v>79</v>
      </c>
      <c r="M739" s="202">
        <v>2</v>
      </c>
      <c r="N739" s="202">
        <v>10</v>
      </c>
      <c r="O739" s="202">
        <v>25</v>
      </c>
      <c r="P739" s="202">
        <v>2</v>
      </c>
      <c r="Q739" s="202">
        <v>15</v>
      </c>
      <c r="R739" s="202">
        <v>9</v>
      </c>
      <c r="S739" s="202">
        <v>1</v>
      </c>
    </row>
    <row r="740" spans="1:19" x14ac:dyDescent="0.35">
      <c r="A740" s="202">
        <v>55</v>
      </c>
      <c r="B740" s="202">
        <v>24</v>
      </c>
      <c r="C740" s="202">
        <v>2</v>
      </c>
      <c r="D740" s="202">
        <v>1</v>
      </c>
      <c r="E740" s="202">
        <v>50</v>
      </c>
      <c r="F740" s="202">
        <v>2</v>
      </c>
      <c r="G740" s="202">
        <v>25</v>
      </c>
      <c r="H740" s="202">
        <v>7</v>
      </c>
      <c r="I740" s="202">
        <v>2</v>
      </c>
      <c r="K740" s="202">
        <v>22</v>
      </c>
      <c r="L740" s="202">
        <v>25</v>
      </c>
      <c r="M740" s="202">
        <v>1</v>
      </c>
      <c r="N740" s="202">
        <v>18</v>
      </c>
      <c r="O740" s="202">
        <v>49</v>
      </c>
      <c r="P740" s="202">
        <v>2</v>
      </c>
      <c r="Q740" s="202">
        <v>10</v>
      </c>
      <c r="R740" s="202">
        <v>35</v>
      </c>
      <c r="S740" s="202">
        <v>1</v>
      </c>
    </row>
    <row r="741" spans="1:19" x14ac:dyDescent="0.35">
      <c r="A741" s="202">
        <v>55</v>
      </c>
      <c r="B741" s="202">
        <v>24</v>
      </c>
      <c r="C741" s="202">
        <v>2</v>
      </c>
      <c r="D741" s="202">
        <v>1</v>
      </c>
      <c r="E741" s="202">
        <v>50</v>
      </c>
      <c r="F741" s="202">
        <v>4</v>
      </c>
      <c r="G741" s="202">
        <v>17</v>
      </c>
      <c r="H741" s="202">
        <v>7</v>
      </c>
      <c r="I741" s="202">
        <v>2</v>
      </c>
      <c r="K741" s="202">
        <v>20</v>
      </c>
      <c r="L741" s="202">
        <v>17</v>
      </c>
      <c r="M741" s="202">
        <v>4</v>
      </c>
      <c r="N741" s="202">
        <v>8</v>
      </c>
      <c r="O741" s="202">
        <v>49</v>
      </c>
      <c r="P741" s="202">
        <v>4</v>
      </c>
      <c r="Q741" s="202">
        <v>20</v>
      </c>
      <c r="R741" s="202">
        <v>11</v>
      </c>
      <c r="S741" s="202">
        <v>2</v>
      </c>
    </row>
    <row r="742" spans="1:19" x14ac:dyDescent="0.35">
      <c r="A742" s="202">
        <v>55</v>
      </c>
      <c r="B742" s="202">
        <v>25</v>
      </c>
      <c r="C742" s="202">
        <v>2</v>
      </c>
      <c r="D742" s="202">
        <v>1</v>
      </c>
      <c r="E742" s="202">
        <v>51</v>
      </c>
      <c r="F742" s="202">
        <v>2</v>
      </c>
      <c r="G742" s="202">
        <v>14</v>
      </c>
      <c r="H742" s="202">
        <v>79</v>
      </c>
      <c r="I742" s="202">
        <v>2</v>
      </c>
      <c r="K742" s="202">
        <v>37</v>
      </c>
      <c r="L742" s="202">
        <v>5</v>
      </c>
      <c r="M742" s="202">
        <v>2</v>
      </c>
      <c r="N742" s="202">
        <v>8</v>
      </c>
      <c r="O742" s="202">
        <v>26</v>
      </c>
      <c r="P742" s="202">
        <v>3</v>
      </c>
      <c r="Q742" s="202">
        <v>18</v>
      </c>
      <c r="R742" s="202">
        <v>33</v>
      </c>
      <c r="S742" s="202">
        <v>2</v>
      </c>
    </row>
    <row r="743" spans="1:19" x14ac:dyDescent="0.35">
      <c r="A743" s="202">
        <v>55</v>
      </c>
      <c r="B743" s="202">
        <v>25</v>
      </c>
      <c r="C743" s="202">
        <v>2</v>
      </c>
      <c r="D743" s="202">
        <v>1</v>
      </c>
      <c r="E743" s="202">
        <v>51</v>
      </c>
      <c r="F743" s="202">
        <v>3</v>
      </c>
      <c r="G743" s="202">
        <v>23</v>
      </c>
      <c r="H743" s="202">
        <v>78</v>
      </c>
      <c r="I743" s="202">
        <v>2</v>
      </c>
      <c r="K743" s="202">
        <v>5</v>
      </c>
      <c r="L743" s="202">
        <v>113</v>
      </c>
      <c r="M743" s="202">
        <v>3</v>
      </c>
      <c r="N743" s="202">
        <v>7</v>
      </c>
      <c r="O743" s="202">
        <v>50</v>
      </c>
      <c r="P743" s="202">
        <v>4</v>
      </c>
      <c r="Q743" s="202">
        <v>1</v>
      </c>
      <c r="R743" s="202">
        <v>46</v>
      </c>
      <c r="S743" s="202">
        <v>2</v>
      </c>
    </row>
    <row r="744" spans="1:19" x14ac:dyDescent="0.35">
      <c r="A744" s="202">
        <v>55</v>
      </c>
      <c r="B744" s="202">
        <v>24</v>
      </c>
      <c r="C744" s="202">
        <v>2</v>
      </c>
      <c r="D744" s="202">
        <v>14</v>
      </c>
      <c r="E744" s="202">
        <v>48</v>
      </c>
      <c r="F744" s="202">
        <v>3</v>
      </c>
      <c r="G744" s="202">
        <v>21</v>
      </c>
      <c r="H744" s="202">
        <v>7</v>
      </c>
      <c r="I744" s="202">
        <v>2</v>
      </c>
      <c r="K744" s="202">
        <v>72</v>
      </c>
      <c r="L744" s="202">
        <v>97</v>
      </c>
      <c r="M744" s="202">
        <v>4</v>
      </c>
      <c r="N744" s="202">
        <v>12</v>
      </c>
      <c r="O744" s="202">
        <v>53</v>
      </c>
      <c r="P744" s="202">
        <v>4</v>
      </c>
      <c r="Q744" s="202">
        <v>2</v>
      </c>
      <c r="R744" s="202">
        <v>99</v>
      </c>
      <c r="S744" s="202">
        <v>2</v>
      </c>
    </row>
    <row r="745" spans="1:19" x14ac:dyDescent="0.35">
      <c r="A745" s="202">
        <v>55</v>
      </c>
      <c r="B745" s="202">
        <v>24</v>
      </c>
      <c r="C745" s="202">
        <v>2</v>
      </c>
      <c r="D745" s="202">
        <v>14</v>
      </c>
      <c r="E745" s="202">
        <v>48</v>
      </c>
      <c r="F745" s="202">
        <v>5</v>
      </c>
      <c r="G745" s="202">
        <v>23</v>
      </c>
      <c r="H745" s="202">
        <v>7</v>
      </c>
      <c r="I745" s="202">
        <v>2</v>
      </c>
      <c r="K745" s="202">
        <v>68</v>
      </c>
      <c r="L745" s="202">
        <v>59</v>
      </c>
      <c r="M745" s="202">
        <v>2</v>
      </c>
      <c r="N745" s="202">
        <v>15</v>
      </c>
      <c r="O745" s="202">
        <v>42</v>
      </c>
      <c r="P745" s="202">
        <v>4</v>
      </c>
      <c r="Q745" s="202">
        <v>2</v>
      </c>
      <c r="R745" s="202">
        <v>7</v>
      </c>
      <c r="S745" s="202">
        <v>1</v>
      </c>
    </row>
    <row r="746" spans="1:19" x14ac:dyDescent="0.35">
      <c r="A746" s="202">
        <v>55</v>
      </c>
      <c r="B746" s="202">
        <v>25</v>
      </c>
      <c r="C746" s="202">
        <v>2</v>
      </c>
      <c r="D746" s="202">
        <v>8</v>
      </c>
      <c r="E746" s="202">
        <v>49</v>
      </c>
      <c r="F746" s="202">
        <v>3</v>
      </c>
      <c r="G746" s="202">
        <v>23</v>
      </c>
      <c r="H746" s="202">
        <v>48</v>
      </c>
      <c r="I746" s="202">
        <v>1</v>
      </c>
      <c r="K746" s="202">
        <v>10</v>
      </c>
      <c r="L746" s="202">
        <v>11</v>
      </c>
      <c r="M746" s="202">
        <v>2</v>
      </c>
      <c r="N746" s="202">
        <v>3</v>
      </c>
      <c r="O746" s="202">
        <v>3</v>
      </c>
      <c r="P746" s="202">
        <v>4</v>
      </c>
      <c r="Q746" s="202">
        <v>25</v>
      </c>
      <c r="R746" s="202">
        <v>2</v>
      </c>
      <c r="S746" s="202">
        <v>1</v>
      </c>
    </row>
    <row r="747" spans="1:19" x14ac:dyDescent="0.35">
      <c r="A747" s="202">
        <v>55</v>
      </c>
      <c r="B747" s="202">
        <v>25</v>
      </c>
      <c r="C747" s="202">
        <v>2</v>
      </c>
      <c r="D747" s="202">
        <v>8</v>
      </c>
      <c r="E747" s="202">
        <v>49</v>
      </c>
      <c r="F747" s="202">
        <v>5</v>
      </c>
      <c r="G747" s="202">
        <v>23</v>
      </c>
      <c r="H747" s="202">
        <v>33</v>
      </c>
      <c r="I747" s="202">
        <v>1</v>
      </c>
      <c r="K747" s="202">
        <v>25</v>
      </c>
      <c r="L747" s="202">
        <v>70</v>
      </c>
      <c r="M747" s="202">
        <v>2</v>
      </c>
      <c r="N747" s="202">
        <v>15</v>
      </c>
      <c r="O747" s="202">
        <v>27</v>
      </c>
      <c r="P747" s="202">
        <v>1</v>
      </c>
      <c r="Q747" s="202">
        <v>19</v>
      </c>
      <c r="R747" s="202">
        <v>48</v>
      </c>
      <c r="S747" s="202">
        <v>1</v>
      </c>
    </row>
    <row r="748" spans="1:19" x14ac:dyDescent="0.35">
      <c r="A748" s="202">
        <v>55</v>
      </c>
      <c r="B748" s="202">
        <v>24</v>
      </c>
      <c r="C748" s="202">
        <v>2</v>
      </c>
      <c r="D748" s="202">
        <v>8</v>
      </c>
      <c r="E748" s="202">
        <v>48</v>
      </c>
      <c r="F748" s="202">
        <v>4</v>
      </c>
      <c r="G748" s="202">
        <v>23</v>
      </c>
      <c r="H748" s="202">
        <v>7</v>
      </c>
      <c r="I748" s="202">
        <v>1</v>
      </c>
      <c r="K748" s="202">
        <v>29</v>
      </c>
      <c r="L748" s="202">
        <v>5</v>
      </c>
      <c r="M748" s="202">
        <v>3</v>
      </c>
      <c r="N748" s="202">
        <v>15</v>
      </c>
      <c r="O748" s="202">
        <v>49</v>
      </c>
      <c r="P748" s="202">
        <v>3</v>
      </c>
      <c r="Q748" s="202">
        <v>18</v>
      </c>
      <c r="R748" s="202">
        <v>20</v>
      </c>
      <c r="S748" s="202">
        <v>1</v>
      </c>
    </row>
    <row r="749" spans="1:19" x14ac:dyDescent="0.35">
      <c r="A749" s="202">
        <v>55</v>
      </c>
      <c r="B749" s="202">
        <v>24</v>
      </c>
      <c r="C749" s="202">
        <v>2</v>
      </c>
      <c r="D749" s="202">
        <v>8</v>
      </c>
      <c r="E749" s="202">
        <v>48</v>
      </c>
      <c r="F749" s="202">
        <v>1</v>
      </c>
      <c r="G749" s="202">
        <v>23</v>
      </c>
      <c r="H749" s="202">
        <v>7</v>
      </c>
      <c r="I749" s="202">
        <v>1</v>
      </c>
      <c r="K749" s="202">
        <v>84</v>
      </c>
      <c r="L749" s="202">
        <v>74</v>
      </c>
      <c r="M749" s="202">
        <v>1</v>
      </c>
      <c r="N749" s="202">
        <v>16</v>
      </c>
      <c r="O749" s="202">
        <v>51</v>
      </c>
      <c r="P749" s="202">
        <v>1</v>
      </c>
      <c r="Q749" s="202">
        <v>20</v>
      </c>
      <c r="R749" s="202">
        <v>37</v>
      </c>
      <c r="S749" s="202">
        <v>2</v>
      </c>
    </row>
    <row r="750" spans="1:19" x14ac:dyDescent="0.35">
      <c r="A750" s="202">
        <v>56</v>
      </c>
      <c r="B750" s="202">
        <v>20</v>
      </c>
      <c r="C750" s="202">
        <v>3</v>
      </c>
      <c r="D750" s="202">
        <v>15</v>
      </c>
      <c r="E750" s="202">
        <v>48</v>
      </c>
      <c r="F750" s="202">
        <v>2</v>
      </c>
      <c r="G750" s="202">
        <v>10</v>
      </c>
      <c r="H750" s="202">
        <v>31</v>
      </c>
      <c r="I750" s="202">
        <v>1</v>
      </c>
      <c r="K750" s="202">
        <v>47</v>
      </c>
      <c r="L750" s="202">
        <v>76</v>
      </c>
      <c r="M750" s="202">
        <v>3</v>
      </c>
      <c r="N750" s="202">
        <v>17</v>
      </c>
      <c r="O750" s="202">
        <v>1</v>
      </c>
      <c r="P750" s="202">
        <v>4</v>
      </c>
      <c r="Q750" s="202">
        <v>23</v>
      </c>
      <c r="R750" s="202">
        <v>5</v>
      </c>
      <c r="S750" s="202">
        <v>1</v>
      </c>
    </row>
    <row r="751" spans="1:19" x14ac:dyDescent="0.35">
      <c r="A751" s="202">
        <v>56</v>
      </c>
      <c r="B751" s="202">
        <v>20</v>
      </c>
      <c r="C751" s="202">
        <v>3</v>
      </c>
      <c r="D751" s="202">
        <v>15</v>
      </c>
      <c r="E751" s="202">
        <v>48</v>
      </c>
      <c r="F751" s="202">
        <v>4</v>
      </c>
      <c r="G751" s="202">
        <v>1</v>
      </c>
      <c r="H751" s="202">
        <v>38</v>
      </c>
      <c r="I751" s="202">
        <v>1</v>
      </c>
      <c r="K751" s="202">
        <v>26</v>
      </c>
      <c r="L751" s="202">
        <v>75</v>
      </c>
      <c r="M751" s="202">
        <v>2</v>
      </c>
      <c r="N751" s="202">
        <v>10</v>
      </c>
      <c r="O751" s="202">
        <v>45</v>
      </c>
      <c r="P751" s="202">
        <v>5</v>
      </c>
      <c r="Q751" s="202">
        <v>11</v>
      </c>
      <c r="R751" s="202">
        <v>5</v>
      </c>
      <c r="S751" s="202">
        <v>2</v>
      </c>
    </row>
    <row r="752" spans="1:19" x14ac:dyDescent="0.35">
      <c r="A752" s="202">
        <v>56</v>
      </c>
      <c r="B752" s="202">
        <v>20</v>
      </c>
      <c r="C752" s="202">
        <v>3</v>
      </c>
      <c r="D752" s="202">
        <v>15</v>
      </c>
      <c r="E752" s="202">
        <v>52</v>
      </c>
      <c r="F752" s="202">
        <v>2</v>
      </c>
      <c r="G752" s="202">
        <v>17</v>
      </c>
      <c r="H752" s="202">
        <v>11</v>
      </c>
      <c r="I752" s="202">
        <v>1</v>
      </c>
      <c r="K752" s="202">
        <v>25</v>
      </c>
      <c r="L752" s="202">
        <v>25</v>
      </c>
      <c r="M752" s="202">
        <v>4</v>
      </c>
      <c r="N752" s="202">
        <v>15</v>
      </c>
      <c r="O752" s="202">
        <v>43</v>
      </c>
      <c r="P752" s="202">
        <v>2</v>
      </c>
      <c r="Q752" s="202">
        <v>10</v>
      </c>
      <c r="R752" s="202">
        <v>44</v>
      </c>
      <c r="S752" s="202">
        <v>2</v>
      </c>
    </row>
    <row r="753" spans="1:19" x14ac:dyDescent="0.35">
      <c r="A753" s="202">
        <v>56</v>
      </c>
      <c r="B753" s="202">
        <v>20</v>
      </c>
      <c r="C753" s="202">
        <v>3</v>
      </c>
      <c r="D753" s="202">
        <v>15</v>
      </c>
      <c r="E753" s="202">
        <v>52</v>
      </c>
      <c r="F753" s="202">
        <v>4</v>
      </c>
      <c r="G753" s="202">
        <v>10</v>
      </c>
      <c r="H753" s="202">
        <v>37</v>
      </c>
      <c r="I753" s="202">
        <v>1</v>
      </c>
      <c r="K753" s="202">
        <v>38</v>
      </c>
      <c r="L753" s="202">
        <v>60</v>
      </c>
      <c r="M753" s="202">
        <v>4</v>
      </c>
      <c r="N753" s="202">
        <v>15</v>
      </c>
      <c r="O753" s="202">
        <v>48</v>
      </c>
      <c r="P753" s="202">
        <v>4</v>
      </c>
      <c r="Q753" s="202">
        <v>21</v>
      </c>
      <c r="R753" s="202">
        <v>52</v>
      </c>
      <c r="S753" s="202">
        <v>1</v>
      </c>
    </row>
    <row r="754" spans="1:19" x14ac:dyDescent="0.35">
      <c r="A754" s="202">
        <v>56</v>
      </c>
      <c r="B754" s="202">
        <v>53</v>
      </c>
      <c r="C754" s="202">
        <v>3</v>
      </c>
      <c r="D754" s="202">
        <v>4</v>
      </c>
      <c r="E754" s="202">
        <v>42</v>
      </c>
      <c r="F754" s="202">
        <v>1</v>
      </c>
      <c r="G754" s="202">
        <v>20</v>
      </c>
      <c r="H754" s="202">
        <v>24</v>
      </c>
      <c r="I754" s="202">
        <v>1</v>
      </c>
      <c r="K754" s="202">
        <v>61</v>
      </c>
      <c r="L754" s="202">
        <v>104</v>
      </c>
      <c r="M754" s="202">
        <v>2</v>
      </c>
      <c r="N754" s="202">
        <v>8</v>
      </c>
      <c r="O754" s="202">
        <v>42</v>
      </c>
      <c r="P754" s="202">
        <v>4</v>
      </c>
      <c r="Q754" s="202">
        <v>17</v>
      </c>
      <c r="R754" s="202">
        <v>98</v>
      </c>
      <c r="S754" s="202">
        <v>2</v>
      </c>
    </row>
    <row r="755" spans="1:19" x14ac:dyDescent="0.35">
      <c r="A755" s="202">
        <v>56</v>
      </c>
      <c r="B755" s="202">
        <v>53</v>
      </c>
      <c r="C755" s="202">
        <v>3</v>
      </c>
      <c r="D755" s="202">
        <v>4</v>
      </c>
      <c r="E755" s="202">
        <v>42</v>
      </c>
      <c r="F755" s="202">
        <v>5</v>
      </c>
      <c r="G755" s="202">
        <v>2</v>
      </c>
      <c r="H755" s="202">
        <v>47</v>
      </c>
      <c r="I755" s="202">
        <v>1</v>
      </c>
      <c r="K755" s="202">
        <v>53</v>
      </c>
      <c r="L755" s="202">
        <v>53</v>
      </c>
      <c r="M755" s="202">
        <v>4</v>
      </c>
      <c r="N755" s="202">
        <v>8</v>
      </c>
      <c r="O755" s="202">
        <v>26</v>
      </c>
      <c r="P755" s="202">
        <v>1</v>
      </c>
      <c r="Q755" s="202">
        <v>20</v>
      </c>
      <c r="R755" s="202">
        <v>19</v>
      </c>
      <c r="S755" s="202">
        <v>2</v>
      </c>
    </row>
    <row r="756" spans="1:19" x14ac:dyDescent="0.35">
      <c r="A756" s="202">
        <v>56</v>
      </c>
      <c r="B756" s="202">
        <v>53</v>
      </c>
      <c r="C756" s="202">
        <v>3</v>
      </c>
      <c r="D756" s="202">
        <v>15</v>
      </c>
      <c r="E756" s="202">
        <v>42</v>
      </c>
      <c r="F756" s="202">
        <v>1</v>
      </c>
      <c r="G756" s="202">
        <v>11</v>
      </c>
      <c r="H756" s="202">
        <v>48</v>
      </c>
      <c r="I756" s="202">
        <v>1</v>
      </c>
      <c r="K756" s="202">
        <v>62</v>
      </c>
      <c r="L756" s="202">
        <v>83</v>
      </c>
      <c r="M756" s="202">
        <v>2</v>
      </c>
      <c r="N756" s="202">
        <v>16</v>
      </c>
      <c r="O756" s="202">
        <v>27</v>
      </c>
      <c r="P756" s="202">
        <v>1</v>
      </c>
      <c r="Q756" s="202">
        <v>11</v>
      </c>
      <c r="R756" s="202">
        <v>45</v>
      </c>
      <c r="S756" s="202">
        <v>2</v>
      </c>
    </row>
    <row r="757" spans="1:19" x14ac:dyDescent="0.35">
      <c r="A757" s="202">
        <v>56</v>
      </c>
      <c r="B757" s="202">
        <v>53</v>
      </c>
      <c r="C757" s="202">
        <v>3</v>
      </c>
      <c r="D757" s="202">
        <v>15</v>
      </c>
      <c r="E757" s="202">
        <v>42</v>
      </c>
      <c r="F757" s="202">
        <v>5</v>
      </c>
      <c r="G757" s="202">
        <v>20</v>
      </c>
      <c r="H757" s="202">
        <v>28</v>
      </c>
      <c r="I757" s="202">
        <v>1</v>
      </c>
      <c r="K757" s="202">
        <v>83</v>
      </c>
      <c r="L757" s="202">
        <v>96</v>
      </c>
      <c r="M757" s="202">
        <v>4</v>
      </c>
      <c r="N757" s="202">
        <v>15</v>
      </c>
      <c r="O757" s="202">
        <v>49</v>
      </c>
      <c r="P757" s="202">
        <v>2</v>
      </c>
      <c r="Q757" s="202">
        <v>2</v>
      </c>
      <c r="R757" s="202">
        <v>21</v>
      </c>
      <c r="S757" s="202">
        <v>3</v>
      </c>
    </row>
    <row r="758" spans="1:19" x14ac:dyDescent="0.35">
      <c r="A758" s="202">
        <v>56</v>
      </c>
      <c r="B758" s="202">
        <v>89</v>
      </c>
      <c r="C758" s="202">
        <v>3</v>
      </c>
      <c r="D758" s="202">
        <v>4</v>
      </c>
      <c r="E758" s="202">
        <v>42</v>
      </c>
      <c r="F758" s="202">
        <v>1</v>
      </c>
      <c r="G758" s="202">
        <v>1</v>
      </c>
      <c r="H758" s="202">
        <v>47</v>
      </c>
      <c r="I758" s="202">
        <v>1</v>
      </c>
      <c r="K758" s="202">
        <v>35</v>
      </c>
      <c r="L758" s="202">
        <v>17</v>
      </c>
      <c r="M758" s="202">
        <v>4</v>
      </c>
      <c r="N758" s="202">
        <v>1</v>
      </c>
      <c r="O758" s="202">
        <v>51</v>
      </c>
      <c r="P758" s="202">
        <v>3</v>
      </c>
      <c r="Q758" s="202">
        <v>2</v>
      </c>
      <c r="R758" s="202">
        <v>4</v>
      </c>
      <c r="S758" s="202">
        <v>1</v>
      </c>
    </row>
    <row r="759" spans="1:19" x14ac:dyDescent="0.35">
      <c r="A759" s="202">
        <v>56</v>
      </c>
      <c r="B759" s="202">
        <v>89</v>
      </c>
      <c r="C759" s="202">
        <v>3</v>
      </c>
      <c r="D759" s="202">
        <v>4</v>
      </c>
      <c r="E759" s="202">
        <v>42</v>
      </c>
      <c r="F759" s="202">
        <v>4</v>
      </c>
      <c r="G759" s="202">
        <v>19</v>
      </c>
      <c r="H759" s="202">
        <v>52</v>
      </c>
      <c r="I759" s="202">
        <v>1</v>
      </c>
      <c r="K759" s="202">
        <v>84</v>
      </c>
      <c r="L759" s="202">
        <v>42</v>
      </c>
      <c r="M759" s="202">
        <v>2</v>
      </c>
      <c r="N759" s="202">
        <v>1</v>
      </c>
      <c r="O759" s="202">
        <v>42</v>
      </c>
      <c r="P759" s="202">
        <v>1</v>
      </c>
      <c r="Q759" s="202">
        <v>20</v>
      </c>
      <c r="R759" s="202">
        <v>9</v>
      </c>
      <c r="S759" s="202">
        <v>2</v>
      </c>
    </row>
    <row r="760" spans="1:19" x14ac:dyDescent="0.35">
      <c r="A760" s="202">
        <v>56</v>
      </c>
      <c r="B760" s="202">
        <v>22</v>
      </c>
      <c r="C760" s="202">
        <v>4</v>
      </c>
      <c r="D760" s="202">
        <v>15</v>
      </c>
      <c r="E760" s="202">
        <v>5</v>
      </c>
      <c r="F760" s="202">
        <v>2</v>
      </c>
      <c r="G760" s="202">
        <v>24</v>
      </c>
      <c r="H760" s="202">
        <v>39</v>
      </c>
      <c r="I760" s="202">
        <v>3</v>
      </c>
      <c r="K760" s="202">
        <v>31</v>
      </c>
      <c r="L760" s="202">
        <v>13</v>
      </c>
      <c r="M760" s="202">
        <v>4</v>
      </c>
      <c r="N760" s="202">
        <v>18</v>
      </c>
      <c r="O760" s="202">
        <v>52</v>
      </c>
      <c r="P760" s="202">
        <v>4</v>
      </c>
      <c r="Q760" s="202">
        <v>2</v>
      </c>
      <c r="R760" s="202">
        <v>38</v>
      </c>
      <c r="S760" s="202">
        <v>2</v>
      </c>
    </row>
    <row r="761" spans="1:19" x14ac:dyDescent="0.35">
      <c r="A761" s="202">
        <v>57</v>
      </c>
      <c r="B761" s="202">
        <v>24</v>
      </c>
      <c r="C761" s="202">
        <v>2</v>
      </c>
      <c r="D761" s="202">
        <v>15</v>
      </c>
      <c r="E761" s="202">
        <v>48</v>
      </c>
      <c r="F761" s="202">
        <v>3</v>
      </c>
      <c r="G761" s="202">
        <v>23</v>
      </c>
      <c r="H761" s="202">
        <v>7</v>
      </c>
      <c r="I761" s="202">
        <v>2</v>
      </c>
      <c r="K761" s="202">
        <v>10</v>
      </c>
      <c r="L761" s="202">
        <v>105</v>
      </c>
      <c r="M761" s="202">
        <v>4</v>
      </c>
      <c r="N761" s="202">
        <v>17</v>
      </c>
      <c r="O761" s="202">
        <v>25</v>
      </c>
      <c r="P761" s="202">
        <v>5</v>
      </c>
      <c r="Q761" s="202">
        <v>18</v>
      </c>
      <c r="R761" s="202">
        <v>11</v>
      </c>
      <c r="S761" s="202">
        <v>1</v>
      </c>
    </row>
    <row r="762" spans="1:19" x14ac:dyDescent="0.35">
      <c r="A762" s="202">
        <v>57</v>
      </c>
      <c r="B762" s="202">
        <v>24</v>
      </c>
      <c r="C762" s="202">
        <v>2</v>
      </c>
      <c r="D762" s="202">
        <v>15</v>
      </c>
      <c r="E762" s="202">
        <v>48</v>
      </c>
      <c r="F762" s="202">
        <v>5</v>
      </c>
      <c r="G762" s="202">
        <v>23</v>
      </c>
      <c r="H762" s="202">
        <v>7</v>
      </c>
      <c r="I762" s="202">
        <v>2</v>
      </c>
      <c r="K762" s="202">
        <v>83</v>
      </c>
      <c r="L762" s="202">
        <v>96</v>
      </c>
      <c r="M762" s="202">
        <v>4</v>
      </c>
      <c r="N762" s="202">
        <v>8</v>
      </c>
      <c r="O762" s="202">
        <v>42</v>
      </c>
      <c r="P762" s="202">
        <v>5</v>
      </c>
      <c r="Q762" s="202">
        <v>2</v>
      </c>
      <c r="R762" s="202">
        <v>41</v>
      </c>
      <c r="S762" s="202">
        <v>1</v>
      </c>
    </row>
    <row r="763" spans="1:19" x14ac:dyDescent="0.35">
      <c r="A763" s="202">
        <v>57</v>
      </c>
      <c r="B763" s="202">
        <v>24</v>
      </c>
      <c r="C763" s="202">
        <v>2</v>
      </c>
      <c r="D763" s="202">
        <v>15</v>
      </c>
      <c r="E763" s="202">
        <v>49</v>
      </c>
      <c r="F763" s="202">
        <v>2</v>
      </c>
      <c r="G763" s="202">
        <v>23</v>
      </c>
      <c r="H763" s="202">
        <v>7</v>
      </c>
      <c r="I763" s="202">
        <v>2</v>
      </c>
      <c r="K763" s="202">
        <v>42</v>
      </c>
      <c r="L763" s="202">
        <v>86</v>
      </c>
      <c r="M763" s="202">
        <v>2</v>
      </c>
      <c r="N763" s="202">
        <v>11</v>
      </c>
      <c r="O763" s="202">
        <v>52</v>
      </c>
      <c r="P763" s="202">
        <v>3</v>
      </c>
      <c r="Q763" s="202">
        <v>20</v>
      </c>
      <c r="R763" s="202">
        <v>6</v>
      </c>
      <c r="S763" s="202">
        <v>2</v>
      </c>
    </row>
    <row r="764" spans="1:19" x14ac:dyDescent="0.35">
      <c r="A764" s="202">
        <v>57</v>
      </c>
      <c r="B764" s="202">
        <v>24</v>
      </c>
      <c r="C764" s="202">
        <v>2</v>
      </c>
      <c r="D764" s="202">
        <v>15</v>
      </c>
      <c r="E764" s="202">
        <v>49</v>
      </c>
      <c r="F764" s="202">
        <v>4</v>
      </c>
      <c r="G764" s="202">
        <v>23</v>
      </c>
      <c r="H764" s="202">
        <v>7</v>
      </c>
      <c r="I764" s="202">
        <v>2</v>
      </c>
      <c r="K764" s="202">
        <v>55</v>
      </c>
      <c r="L764" s="202">
        <v>63</v>
      </c>
      <c r="M764" s="202">
        <v>2</v>
      </c>
      <c r="N764" s="202">
        <v>15</v>
      </c>
      <c r="O764" s="202">
        <v>27</v>
      </c>
      <c r="P764" s="202">
        <v>5</v>
      </c>
      <c r="Q764" s="202">
        <v>20</v>
      </c>
      <c r="R764" s="202">
        <v>33</v>
      </c>
      <c r="S764" s="202">
        <v>2</v>
      </c>
    </row>
    <row r="765" spans="1:19" x14ac:dyDescent="0.35">
      <c r="A765" s="202">
        <v>57</v>
      </c>
      <c r="B765" s="202">
        <v>24</v>
      </c>
      <c r="C765" s="202">
        <v>2</v>
      </c>
      <c r="D765" s="202">
        <v>15</v>
      </c>
      <c r="E765" s="202">
        <v>50</v>
      </c>
      <c r="F765" s="202">
        <v>3</v>
      </c>
      <c r="G765" s="202">
        <v>1</v>
      </c>
      <c r="H765" s="202">
        <v>7</v>
      </c>
      <c r="I765" s="202">
        <v>2</v>
      </c>
      <c r="K765" s="202">
        <v>68</v>
      </c>
      <c r="L765" s="202">
        <v>52</v>
      </c>
      <c r="M765" s="202">
        <v>4</v>
      </c>
      <c r="N765" s="202">
        <v>10</v>
      </c>
      <c r="O765" s="202">
        <v>49</v>
      </c>
      <c r="P765" s="202">
        <v>5</v>
      </c>
      <c r="Q765" s="202">
        <v>1</v>
      </c>
      <c r="R765" s="202">
        <v>20</v>
      </c>
      <c r="S765" s="202">
        <v>2</v>
      </c>
    </row>
    <row r="766" spans="1:19" x14ac:dyDescent="0.35">
      <c r="A766" s="202">
        <v>57</v>
      </c>
      <c r="B766" s="202">
        <v>24</v>
      </c>
      <c r="C766" s="202">
        <v>2</v>
      </c>
      <c r="D766" s="202">
        <v>15</v>
      </c>
      <c r="E766" s="202">
        <v>50</v>
      </c>
      <c r="F766" s="202">
        <v>5</v>
      </c>
      <c r="G766" s="202">
        <v>10</v>
      </c>
      <c r="H766" s="202">
        <v>7</v>
      </c>
      <c r="I766" s="202">
        <v>2</v>
      </c>
      <c r="K766" s="202">
        <v>35</v>
      </c>
      <c r="L766" s="202">
        <v>24</v>
      </c>
      <c r="M766" s="202">
        <v>4</v>
      </c>
      <c r="N766" s="202">
        <v>15</v>
      </c>
      <c r="O766" s="202">
        <v>49</v>
      </c>
      <c r="P766" s="202">
        <v>4</v>
      </c>
      <c r="Q766" s="202">
        <v>19</v>
      </c>
      <c r="R766" s="202">
        <v>51</v>
      </c>
      <c r="S766" s="202">
        <v>1</v>
      </c>
    </row>
    <row r="767" spans="1:19" x14ac:dyDescent="0.35">
      <c r="A767" s="202">
        <v>57</v>
      </c>
      <c r="B767" s="202">
        <v>25</v>
      </c>
      <c r="C767" s="202">
        <v>2</v>
      </c>
      <c r="D767" s="202">
        <v>15</v>
      </c>
      <c r="E767" s="202">
        <v>51</v>
      </c>
      <c r="F767" s="202">
        <v>1</v>
      </c>
      <c r="G767" s="202">
        <v>23</v>
      </c>
      <c r="H767" s="202">
        <v>56</v>
      </c>
      <c r="I767" s="202">
        <v>2</v>
      </c>
      <c r="K767" s="202">
        <v>66</v>
      </c>
      <c r="L767" s="202">
        <v>51</v>
      </c>
      <c r="M767" s="202">
        <v>3</v>
      </c>
      <c r="N767" s="202">
        <v>15</v>
      </c>
      <c r="O767" s="202">
        <v>50</v>
      </c>
      <c r="P767" s="202">
        <v>5</v>
      </c>
      <c r="Q767" s="202">
        <v>19</v>
      </c>
      <c r="R767" s="202">
        <v>37</v>
      </c>
      <c r="S767" s="202">
        <v>2</v>
      </c>
    </row>
    <row r="768" spans="1:19" x14ac:dyDescent="0.35">
      <c r="A768" s="202">
        <v>57</v>
      </c>
      <c r="B768" s="202">
        <v>25</v>
      </c>
      <c r="C768" s="202">
        <v>2</v>
      </c>
      <c r="D768" s="202">
        <v>15</v>
      </c>
      <c r="E768" s="202">
        <v>51</v>
      </c>
      <c r="F768" s="202">
        <v>3</v>
      </c>
      <c r="G768" s="202">
        <v>23</v>
      </c>
      <c r="H768" s="202">
        <v>41</v>
      </c>
      <c r="I768" s="202">
        <v>2</v>
      </c>
      <c r="K768" s="202">
        <v>71</v>
      </c>
      <c r="L768" s="202">
        <v>79</v>
      </c>
      <c r="M768" s="202">
        <v>3</v>
      </c>
      <c r="N768" s="202">
        <v>15</v>
      </c>
      <c r="O768" s="202">
        <v>25</v>
      </c>
      <c r="P768" s="202">
        <v>1</v>
      </c>
      <c r="Q768" s="202">
        <v>9</v>
      </c>
      <c r="R768" s="202">
        <v>7</v>
      </c>
      <c r="S768" s="202">
        <v>1</v>
      </c>
    </row>
    <row r="769" spans="1:19" x14ac:dyDescent="0.35">
      <c r="A769" s="202">
        <v>57</v>
      </c>
      <c r="B769" s="202">
        <v>25</v>
      </c>
      <c r="C769" s="202">
        <v>2</v>
      </c>
      <c r="D769" s="202">
        <v>15</v>
      </c>
      <c r="E769" s="202">
        <v>52</v>
      </c>
      <c r="F769" s="202">
        <v>2</v>
      </c>
      <c r="G769" s="202">
        <v>19</v>
      </c>
      <c r="H769" s="202">
        <v>101</v>
      </c>
      <c r="I769" s="202">
        <v>2</v>
      </c>
      <c r="K769" s="202">
        <v>10</v>
      </c>
      <c r="L769" s="202">
        <v>25</v>
      </c>
      <c r="M769" s="202">
        <v>2</v>
      </c>
      <c r="N769" s="202">
        <v>8</v>
      </c>
      <c r="O769" s="202">
        <v>36</v>
      </c>
      <c r="P769" s="202">
        <v>4</v>
      </c>
      <c r="Q769" s="202">
        <v>14</v>
      </c>
      <c r="R769" s="202">
        <v>38</v>
      </c>
      <c r="S769" s="202">
        <v>2</v>
      </c>
    </row>
    <row r="770" spans="1:19" x14ac:dyDescent="0.35">
      <c r="A770" s="202">
        <v>57</v>
      </c>
      <c r="B770" s="202">
        <v>25</v>
      </c>
      <c r="C770" s="202">
        <v>2</v>
      </c>
      <c r="D770" s="202">
        <v>15</v>
      </c>
      <c r="E770" s="202">
        <v>52</v>
      </c>
      <c r="F770" s="202">
        <v>5</v>
      </c>
      <c r="G770" s="202">
        <v>1</v>
      </c>
      <c r="H770" s="202">
        <v>23</v>
      </c>
      <c r="I770" s="202">
        <v>2</v>
      </c>
      <c r="K770" s="202">
        <v>52</v>
      </c>
      <c r="L770" s="202">
        <v>89</v>
      </c>
      <c r="M770" s="202">
        <v>2</v>
      </c>
      <c r="N770" s="202">
        <v>15</v>
      </c>
      <c r="O770" s="202">
        <v>41</v>
      </c>
      <c r="P770" s="202">
        <v>1</v>
      </c>
      <c r="Q770" s="202">
        <v>11</v>
      </c>
      <c r="R770" s="202">
        <v>7</v>
      </c>
      <c r="S770" s="202">
        <v>2</v>
      </c>
    </row>
    <row r="771" spans="1:19" x14ac:dyDescent="0.35">
      <c r="A771" s="202">
        <v>57</v>
      </c>
      <c r="B771" s="202">
        <v>25</v>
      </c>
      <c r="C771" s="202">
        <v>2</v>
      </c>
      <c r="D771" s="202">
        <v>15</v>
      </c>
      <c r="E771" s="202">
        <v>53</v>
      </c>
      <c r="F771" s="202">
        <v>1</v>
      </c>
      <c r="G771" s="202">
        <v>1</v>
      </c>
      <c r="H771" s="202">
        <v>31</v>
      </c>
      <c r="I771" s="202">
        <v>1</v>
      </c>
      <c r="K771" s="202">
        <v>54</v>
      </c>
      <c r="L771" s="202">
        <v>59</v>
      </c>
      <c r="M771" s="202">
        <v>3</v>
      </c>
      <c r="N771" s="202">
        <v>18</v>
      </c>
      <c r="O771" s="202">
        <v>29</v>
      </c>
      <c r="P771" s="202">
        <v>5</v>
      </c>
      <c r="Q771" s="202">
        <v>15</v>
      </c>
      <c r="R771" s="202">
        <v>21</v>
      </c>
      <c r="S771" s="202">
        <v>1</v>
      </c>
    </row>
    <row r="772" spans="1:19" x14ac:dyDescent="0.35">
      <c r="A772" s="202">
        <v>57</v>
      </c>
      <c r="B772" s="202">
        <v>25</v>
      </c>
      <c r="C772" s="202">
        <v>2</v>
      </c>
      <c r="D772" s="202">
        <v>15</v>
      </c>
      <c r="E772" s="202">
        <v>53</v>
      </c>
      <c r="F772" s="202">
        <v>5</v>
      </c>
      <c r="G772" s="202">
        <v>19</v>
      </c>
      <c r="H772" s="202">
        <v>27</v>
      </c>
      <c r="I772" s="202">
        <v>1</v>
      </c>
      <c r="K772" s="202">
        <v>49</v>
      </c>
      <c r="L772" s="202">
        <v>32</v>
      </c>
      <c r="M772" s="202">
        <v>3</v>
      </c>
      <c r="N772" s="202">
        <v>15</v>
      </c>
      <c r="O772" s="202">
        <v>49</v>
      </c>
      <c r="P772" s="202">
        <v>2</v>
      </c>
      <c r="Q772" s="202">
        <v>20</v>
      </c>
      <c r="R772" s="202">
        <v>34</v>
      </c>
      <c r="S772" s="202">
        <v>2</v>
      </c>
    </row>
    <row r="773" spans="1:19" x14ac:dyDescent="0.35">
      <c r="A773" s="202">
        <v>57</v>
      </c>
      <c r="B773" s="202">
        <v>17</v>
      </c>
      <c r="C773" s="202">
        <v>4</v>
      </c>
      <c r="D773" s="202">
        <v>15</v>
      </c>
      <c r="E773" s="202">
        <v>51</v>
      </c>
      <c r="F773" s="202">
        <v>1</v>
      </c>
      <c r="G773" s="202">
        <v>11</v>
      </c>
      <c r="H773" s="202">
        <v>56</v>
      </c>
      <c r="I773" s="202">
        <v>2</v>
      </c>
      <c r="K773" s="202">
        <v>72</v>
      </c>
      <c r="L773" s="202">
        <v>11</v>
      </c>
      <c r="M773" s="202">
        <v>2</v>
      </c>
      <c r="N773" s="202">
        <v>18</v>
      </c>
      <c r="O773" s="202">
        <v>28</v>
      </c>
      <c r="P773" s="202">
        <v>2</v>
      </c>
      <c r="Q773" s="202">
        <v>2</v>
      </c>
      <c r="R773" s="202">
        <v>10</v>
      </c>
      <c r="S773" s="202">
        <v>2</v>
      </c>
    </row>
    <row r="774" spans="1:19" x14ac:dyDescent="0.35">
      <c r="A774" s="202">
        <v>57</v>
      </c>
      <c r="B774" s="202">
        <v>17</v>
      </c>
      <c r="C774" s="202">
        <v>4</v>
      </c>
      <c r="D774" s="202">
        <v>15</v>
      </c>
      <c r="E774" s="202">
        <v>51</v>
      </c>
      <c r="F774" s="202">
        <v>5</v>
      </c>
      <c r="G774" s="202">
        <v>20</v>
      </c>
      <c r="H774" s="202">
        <v>47</v>
      </c>
      <c r="I774" s="202">
        <v>2</v>
      </c>
      <c r="K774" s="202">
        <v>44</v>
      </c>
      <c r="L774" s="202">
        <v>33</v>
      </c>
      <c r="M774" s="202">
        <v>4</v>
      </c>
      <c r="N774" s="202">
        <v>10</v>
      </c>
      <c r="O774" s="202">
        <v>26</v>
      </c>
      <c r="P774" s="202">
        <v>2</v>
      </c>
      <c r="Q774" s="202">
        <v>11</v>
      </c>
      <c r="R774" s="202">
        <v>38</v>
      </c>
      <c r="S774" s="202">
        <v>1</v>
      </c>
    </row>
    <row r="775" spans="1:19" x14ac:dyDescent="0.35">
      <c r="A775" s="202">
        <v>57</v>
      </c>
      <c r="B775" s="202">
        <v>46</v>
      </c>
      <c r="C775" s="202">
        <v>4</v>
      </c>
      <c r="D775" s="202">
        <v>15</v>
      </c>
      <c r="E775" s="202">
        <v>20</v>
      </c>
      <c r="F775" s="202">
        <v>5</v>
      </c>
      <c r="G775" s="202">
        <v>25</v>
      </c>
      <c r="H775" s="202">
        <v>45</v>
      </c>
      <c r="I775" s="202">
        <v>3</v>
      </c>
      <c r="K775" s="202">
        <v>19</v>
      </c>
      <c r="L775" s="202">
        <v>69</v>
      </c>
      <c r="M775" s="202">
        <v>2</v>
      </c>
      <c r="N775" s="202">
        <v>17</v>
      </c>
      <c r="O775" s="202">
        <v>48</v>
      </c>
      <c r="P775" s="202">
        <v>2</v>
      </c>
      <c r="Q775" s="202">
        <v>1</v>
      </c>
      <c r="R775" s="202">
        <v>34</v>
      </c>
      <c r="S775" s="202">
        <v>1</v>
      </c>
    </row>
    <row r="776" spans="1:19" x14ac:dyDescent="0.35">
      <c r="A776" s="202">
        <v>58</v>
      </c>
      <c r="B776" s="202">
        <v>98</v>
      </c>
      <c r="C776" s="202">
        <v>4</v>
      </c>
      <c r="D776" s="202">
        <v>18</v>
      </c>
      <c r="E776" s="202">
        <v>26</v>
      </c>
      <c r="F776" s="202">
        <v>2</v>
      </c>
      <c r="G776" s="202">
        <v>18</v>
      </c>
      <c r="H776" s="202">
        <v>33</v>
      </c>
      <c r="I776" s="202">
        <v>1</v>
      </c>
      <c r="K776" s="202">
        <v>78</v>
      </c>
      <c r="L776" s="202">
        <v>84</v>
      </c>
      <c r="M776" s="202">
        <v>4</v>
      </c>
      <c r="N776" s="202">
        <v>8</v>
      </c>
      <c r="O776" s="202">
        <v>53</v>
      </c>
      <c r="P776" s="202">
        <v>1</v>
      </c>
      <c r="Q776" s="202">
        <v>1</v>
      </c>
      <c r="R776" s="202">
        <v>8</v>
      </c>
      <c r="S776" s="202">
        <v>2</v>
      </c>
    </row>
    <row r="777" spans="1:19" x14ac:dyDescent="0.35">
      <c r="A777" s="202">
        <v>58</v>
      </c>
      <c r="B777" s="202">
        <v>98</v>
      </c>
      <c r="C777" s="202">
        <v>4</v>
      </c>
      <c r="D777" s="202">
        <v>15</v>
      </c>
      <c r="E777" s="202">
        <v>26</v>
      </c>
      <c r="F777" s="202">
        <v>4</v>
      </c>
      <c r="G777" s="202">
        <v>11</v>
      </c>
      <c r="H777" s="202">
        <v>20</v>
      </c>
      <c r="I777" s="202">
        <v>1</v>
      </c>
      <c r="K777" s="202">
        <v>84</v>
      </c>
      <c r="L777" s="202">
        <v>73</v>
      </c>
      <c r="M777" s="202">
        <v>4</v>
      </c>
      <c r="N777" s="202">
        <v>15</v>
      </c>
      <c r="O777" s="202">
        <v>28</v>
      </c>
      <c r="P777" s="202">
        <v>5</v>
      </c>
      <c r="Q777" s="202">
        <v>23</v>
      </c>
      <c r="R777" s="202">
        <v>9</v>
      </c>
      <c r="S777" s="202">
        <v>1</v>
      </c>
    </row>
    <row r="778" spans="1:19" x14ac:dyDescent="0.35">
      <c r="A778" s="202">
        <v>58</v>
      </c>
      <c r="B778" s="202">
        <v>17</v>
      </c>
      <c r="C778" s="202">
        <v>4</v>
      </c>
      <c r="D778" s="202">
        <v>18</v>
      </c>
      <c r="E778" s="202">
        <v>49</v>
      </c>
      <c r="F778" s="202">
        <v>2</v>
      </c>
      <c r="G778" s="202">
        <v>20</v>
      </c>
      <c r="H778" s="202">
        <v>59</v>
      </c>
      <c r="I778" s="202">
        <v>2</v>
      </c>
      <c r="K778" s="202">
        <v>82</v>
      </c>
      <c r="L778" s="202">
        <v>86</v>
      </c>
      <c r="M778" s="202">
        <v>4</v>
      </c>
      <c r="N778" s="202">
        <v>15</v>
      </c>
      <c r="O778" s="202">
        <v>48</v>
      </c>
      <c r="P778" s="202">
        <v>1</v>
      </c>
      <c r="Q778" s="202">
        <v>1</v>
      </c>
      <c r="R778" s="202">
        <v>37</v>
      </c>
      <c r="S778" s="202">
        <v>2</v>
      </c>
    </row>
    <row r="779" spans="1:19" x14ac:dyDescent="0.35">
      <c r="A779" s="202">
        <v>58</v>
      </c>
      <c r="B779" s="202">
        <v>17</v>
      </c>
      <c r="C779" s="202">
        <v>4</v>
      </c>
      <c r="D779" s="202">
        <v>15</v>
      </c>
      <c r="E779" s="202">
        <v>49</v>
      </c>
      <c r="F779" s="202">
        <v>5</v>
      </c>
      <c r="G779" s="202">
        <v>8</v>
      </c>
      <c r="H779" s="202">
        <v>24</v>
      </c>
      <c r="I779" s="202">
        <v>2</v>
      </c>
      <c r="K779" s="202">
        <v>84</v>
      </c>
      <c r="L779" s="202">
        <v>24</v>
      </c>
      <c r="M779" s="202">
        <v>1</v>
      </c>
      <c r="N779" s="202">
        <v>4</v>
      </c>
      <c r="O779" s="202">
        <v>26</v>
      </c>
      <c r="P779" s="202">
        <v>2</v>
      </c>
      <c r="Q779" s="202">
        <v>19</v>
      </c>
      <c r="R779" s="202">
        <v>18</v>
      </c>
      <c r="S779" s="202">
        <v>1</v>
      </c>
    </row>
    <row r="780" spans="1:19" x14ac:dyDescent="0.35">
      <c r="A780" s="202">
        <v>58</v>
      </c>
      <c r="B780" s="202">
        <v>99</v>
      </c>
      <c r="C780" s="202">
        <v>4</v>
      </c>
      <c r="D780" s="202">
        <v>18</v>
      </c>
      <c r="E780" s="202">
        <v>25</v>
      </c>
      <c r="F780" s="202">
        <v>3</v>
      </c>
      <c r="G780" s="202">
        <v>2</v>
      </c>
      <c r="H780" s="202">
        <v>19</v>
      </c>
      <c r="I780" s="202">
        <v>2</v>
      </c>
      <c r="K780" s="202">
        <v>79</v>
      </c>
      <c r="L780" s="202">
        <v>26</v>
      </c>
      <c r="M780" s="202">
        <v>2</v>
      </c>
      <c r="N780" s="202">
        <v>15</v>
      </c>
      <c r="O780" s="202">
        <v>50</v>
      </c>
      <c r="P780" s="202">
        <v>2</v>
      </c>
      <c r="Q780" s="202">
        <v>18</v>
      </c>
      <c r="R780" s="202">
        <v>41</v>
      </c>
      <c r="S780" s="202">
        <v>2</v>
      </c>
    </row>
    <row r="781" spans="1:19" x14ac:dyDescent="0.35">
      <c r="A781" s="202">
        <v>58</v>
      </c>
      <c r="B781" s="202">
        <v>99</v>
      </c>
      <c r="C781" s="202">
        <v>4</v>
      </c>
      <c r="D781" s="202">
        <v>15</v>
      </c>
      <c r="E781" s="202">
        <v>25</v>
      </c>
      <c r="F781" s="202">
        <v>5</v>
      </c>
      <c r="G781" s="202">
        <v>20</v>
      </c>
      <c r="H781" s="202">
        <v>19</v>
      </c>
      <c r="I781" s="202">
        <v>2</v>
      </c>
      <c r="K781" s="202">
        <v>13</v>
      </c>
      <c r="L781" s="202">
        <v>17</v>
      </c>
      <c r="M781" s="202">
        <v>4</v>
      </c>
      <c r="N781" s="202">
        <v>10</v>
      </c>
      <c r="O781" s="202">
        <v>47</v>
      </c>
      <c r="P781" s="202">
        <v>3</v>
      </c>
      <c r="Q781" s="202">
        <v>14</v>
      </c>
      <c r="R781" s="202">
        <v>90</v>
      </c>
      <c r="S781" s="202">
        <v>1</v>
      </c>
    </row>
    <row r="782" spans="1:19" x14ac:dyDescent="0.35">
      <c r="A782" s="202">
        <v>58</v>
      </c>
      <c r="B782" s="202">
        <v>103</v>
      </c>
      <c r="C782" s="202">
        <v>4</v>
      </c>
      <c r="D782" s="202">
        <v>10</v>
      </c>
      <c r="E782" s="202">
        <v>2</v>
      </c>
      <c r="F782" s="202">
        <v>2</v>
      </c>
      <c r="G782" s="202">
        <v>2</v>
      </c>
      <c r="H782" s="202">
        <v>55</v>
      </c>
      <c r="I782" s="202">
        <v>2</v>
      </c>
      <c r="K782" s="202">
        <v>53</v>
      </c>
      <c r="L782" s="202">
        <v>25</v>
      </c>
      <c r="M782" s="202">
        <v>4</v>
      </c>
      <c r="N782" s="202">
        <v>9</v>
      </c>
      <c r="O782" s="202">
        <v>48</v>
      </c>
      <c r="P782" s="202">
        <v>1</v>
      </c>
      <c r="Q782" s="202">
        <v>7</v>
      </c>
      <c r="R782" s="202">
        <v>33</v>
      </c>
      <c r="S782" s="202">
        <v>2</v>
      </c>
    </row>
    <row r="783" spans="1:19" x14ac:dyDescent="0.35">
      <c r="A783" s="202">
        <v>58</v>
      </c>
      <c r="B783" s="202">
        <v>103</v>
      </c>
      <c r="C783" s="202">
        <v>4</v>
      </c>
      <c r="D783" s="202">
        <v>10</v>
      </c>
      <c r="E783" s="202">
        <v>2</v>
      </c>
      <c r="F783" s="202">
        <v>4</v>
      </c>
      <c r="G783" s="202">
        <v>2</v>
      </c>
      <c r="H783" s="202">
        <v>55</v>
      </c>
      <c r="I783" s="202">
        <v>2</v>
      </c>
      <c r="K783" s="202">
        <v>14</v>
      </c>
      <c r="L783" s="202">
        <v>82</v>
      </c>
      <c r="M783" s="202">
        <v>4</v>
      </c>
      <c r="N783" s="202">
        <v>18</v>
      </c>
      <c r="O783" s="202">
        <v>44</v>
      </c>
      <c r="P783" s="202">
        <v>5</v>
      </c>
      <c r="Q783" s="202">
        <v>2</v>
      </c>
      <c r="R783" s="202">
        <v>22</v>
      </c>
      <c r="S783" s="202">
        <v>2</v>
      </c>
    </row>
    <row r="784" spans="1:19" x14ac:dyDescent="0.35">
      <c r="A784" s="202">
        <v>59</v>
      </c>
      <c r="B784" s="202">
        <v>83</v>
      </c>
      <c r="C784" s="202">
        <v>2</v>
      </c>
      <c r="D784" s="202">
        <v>10</v>
      </c>
      <c r="E784" s="202">
        <v>42</v>
      </c>
      <c r="F784" s="202">
        <v>1</v>
      </c>
      <c r="G784" s="202">
        <v>11</v>
      </c>
      <c r="H784" s="202">
        <v>30</v>
      </c>
      <c r="I784" s="202">
        <v>1</v>
      </c>
      <c r="K784" s="202">
        <v>18</v>
      </c>
      <c r="L784" s="202">
        <v>104</v>
      </c>
      <c r="M784" s="202">
        <v>4</v>
      </c>
      <c r="N784" s="202">
        <v>10</v>
      </c>
      <c r="O784" s="202">
        <v>25</v>
      </c>
      <c r="P784" s="202">
        <v>2</v>
      </c>
      <c r="Q784" s="202">
        <v>11</v>
      </c>
      <c r="R784" s="202">
        <v>47</v>
      </c>
      <c r="S784" s="202">
        <v>1</v>
      </c>
    </row>
    <row r="785" spans="1:19" x14ac:dyDescent="0.35">
      <c r="A785" s="202">
        <v>59</v>
      </c>
      <c r="B785" s="202">
        <v>83</v>
      </c>
      <c r="C785" s="202">
        <v>2</v>
      </c>
      <c r="D785" s="202">
        <v>10</v>
      </c>
      <c r="E785" s="202">
        <v>42</v>
      </c>
      <c r="F785" s="202">
        <v>3</v>
      </c>
      <c r="G785" s="202">
        <v>18</v>
      </c>
      <c r="H785" s="202">
        <v>35</v>
      </c>
      <c r="I785" s="202">
        <v>1</v>
      </c>
      <c r="K785" s="202">
        <v>82</v>
      </c>
      <c r="L785" s="202">
        <v>93</v>
      </c>
      <c r="M785" s="202">
        <v>4</v>
      </c>
      <c r="N785" s="202">
        <v>18</v>
      </c>
      <c r="O785" s="202">
        <v>43</v>
      </c>
      <c r="P785" s="202">
        <v>1</v>
      </c>
      <c r="Q785" s="202">
        <v>20</v>
      </c>
      <c r="R785" s="202">
        <v>38</v>
      </c>
      <c r="S785" s="202">
        <v>2</v>
      </c>
    </row>
    <row r="786" spans="1:19" x14ac:dyDescent="0.35">
      <c r="A786" s="202">
        <v>59</v>
      </c>
      <c r="B786" s="202">
        <v>83</v>
      </c>
      <c r="C786" s="202">
        <v>2</v>
      </c>
      <c r="D786" s="202">
        <v>10</v>
      </c>
      <c r="E786" s="202">
        <v>43</v>
      </c>
      <c r="F786" s="202">
        <v>2</v>
      </c>
      <c r="G786" s="202">
        <v>11</v>
      </c>
      <c r="H786" s="202">
        <v>65</v>
      </c>
      <c r="I786" s="202">
        <v>1</v>
      </c>
      <c r="K786" s="202">
        <v>5</v>
      </c>
      <c r="L786" s="202">
        <v>99</v>
      </c>
      <c r="M786" s="202">
        <v>2</v>
      </c>
      <c r="N786" s="202">
        <v>8</v>
      </c>
      <c r="O786" s="202">
        <v>49</v>
      </c>
      <c r="P786" s="202">
        <v>1</v>
      </c>
      <c r="Q786" s="202">
        <v>1</v>
      </c>
      <c r="R786" s="202">
        <v>52</v>
      </c>
      <c r="S786" s="202">
        <v>2</v>
      </c>
    </row>
    <row r="787" spans="1:19" x14ac:dyDescent="0.35">
      <c r="A787" s="202">
        <v>59</v>
      </c>
      <c r="B787" s="202">
        <v>83</v>
      </c>
      <c r="C787" s="202">
        <v>2</v>
      </c>
      <c r="D787" s="202">
        <v>10</v>
      </c>
      <c r="E787" s="202">
        <v>43</v>
      </c>
      <c r="F787" s="202">
        <v>3</v>
      </c>
      <c r="G787" s="202">
        <v>24</v>
      </c>
      <c r="H787" s="202">
        <v>31</v>
      </c>
      <c r="I787" s="202">
        <v>1</v>
      </c>
      <c r="K787" s="202">
        <v>22</v>
      </c>
      <c r="L787" s="202">
        <v>105</v>
      </c>
      <c r="M787" s="202">
        <v>4</v>
      </c>
      <c r="N787" s="202">
        <v>17</v>
      </c>
      <c r="O787" s="202">
        <v>50</v>
      </c>
      <c r="P787" s="202">
        <v>3</v>
      </c>
      <c r="Q787" s="202">
        <v>10</v>
      </c>
      <c r="R787" s="202">
        <v>1</v>
      </c>
      <c r="S787" s="202">
        <v>1</v>
      </c>
    </row>
    <row r="788" spans="1:19" x14ac:dyDescent="0.35">
      <c r="A788" s="202">
        <v>59</v>
      </c>
      <c r="B788" s="202">
        <v>26</v>
      </c>
      <c r="C788" s="202">
        <v>2</v>
      </c>
      <c r="D788" s="202">
        <v>10</v>
      </c>
      <c r="E788" s="202">
        <v>43</v>
      </c>
      <c r="F788" s="202">
        <v>2</v>
      </c>
      <c r="G788" s="202">
        <v>20</v>
      </c>
      <c r="H788" s="202">
        <v>31</v>
      </c>
      <c r="I788" s="202">
        <v>1</v>
      </c>
      <c r="K788" s="202">
        <v>29</v>
      </c>
      <c r="L788" s="202">
        <v>42</v>
      </c>
      <c r="M788" s="202">
        <v>4</v>
      </c>
      <c r="N788" s="202">
        <v>15</v>
      </c>
      <c r="O788" s="202">
        <v>44</v>
      </c>
      <c r="P788" s="202">
        <v>1</v>
      </c>
      <c r="Q788" s="202">
        <v>11</v>
      </c>
      <c r="R788" s="202">
        <v>24</v>
      </c>
      <c r="S788" s="202">
        <v>2</v>
      </c>
    </row>
    <row r="789" spans="1:19" x14ac:dyDescent="0.35">
      <c r="A789" s="202">
        <v>59</v>
      </c>
      <c r="B789" s="202">
        <v>26</v>
      </c>
      <c r="C789" s="202">
        <v>2</v>
      </c>
      <c r="D789" s="202">
        <v>10</v>
      </c>
      <c r="E789" s="202">
        <v>43</v>
      </c>
      <c r="F789" s="202">
        <v>5</v>
      </c>
      <c r="G789" s="202">
        <v>2</v>
      </c>
      <c r="H789" s="202">
        <v>31</v>
      </c>
      <c r="I789" s="202">
        <v>1</v>
      </c>
      <c r="K789" s="202">
        <v>37</v>
      </c>
      <c r="L789" s="202">
        <v>68</v>
      </c>
      <c r="M789" s="202">
        <v>2</v>
      </c>
      <c r="N789" s="202">
        <v>18</v>
      </c>
      <c r="O789" s="202">
        <v>26</v>
      </c>
      <c r="P789" s="202">
        <v>1</v>
      </c>
      <c r="Q789" s="202">
        <v>3</v>
      </c>
      <c r="R789" s="202">
        <v>90</v>
      </c>
      <c r="S789" s="202">
        <v>2</v>
      </c>
    </row>
    <row r="790" spans="1:19" x14ac:dyDescent="0.35">
      <c r="A790" s="202">
        <v>59</v>
      </c>
      <c r="B790" s="202">
        <v>59</v>
      </c>
      <c r="C790" s="202">
        <v>2</v>
      </c>
      <c r="D790" s="202">
        <v>10</v>
      </c>
      <c r="E790" s="202">
        <v>26</v>
      </c>
      <c r="F790" s="202">
        <v>2</v>
      </c>
      <c r="G790" s="202">
        <v>11</v>
      </c>
      <c r="H790" s="202">
        <v>99</v>
      </c>
      <c r="I790" s="202">
        <v>2</v>
      </c>
      <c r="K790" s="202">
        <v>82</v>
      </c>
      <c r="L790" s="202">
        <v>51</v>
      </c>
      <c r="M790" s="202">
        <v>3</v>
      </c>
      <c r="N790" s="202">
        <v>10</v>
      </c>
      <c r="O790" s="202">
        <v>26</v>
      </c>
      <c r="P790" s="202">
        <v>2</v>
      </c>
      <c r="Q790" s="202">
        <v>11</v>
      </c>
      <c r="R790" s="202">
        <v>31</v>
      </c>
      <c r="S790" s="202">
        <v>1</v>
      </c>
    </row>
    <row r="791" spans="1:19" x14ac:dyDescent="0.35">
      <c r="A791" s="202">
        <v>59</v>
      </c>
      <c r="B791" s="202">
        <v>59</v>
      </c>
      <c r="C791" s="202">
        <v>2</v>
      </c>
      <c r="D791" s="202">
        <v>10</v>
      </c>
      <c r="E791" s="202">
        <v>26</v>
      </c>
      <c r="F791" s="202">
        <v>4</v>
      </c>
      <c r="G791" s="202">
        <v>11</v>
      </c>
      <c r="H791" s="202">
        <v>57</v>
      </c>
      <c r="I791" s="202">
        <v>2</v>
      </c>
      <c r="K791" s="202">
        <v>37</v>
      </c>
      <c r="L791" s="202">
        <v>28</v>
      </c>
      <c r="M791" s="202">
        <v>2</v>
      </c>
      <c r="N791" s="202">
        <v>15</v>
      </c>
      <c r="O791" s="202">
        <v>27</v>
      </c>
      <c r="P791" s="202">
        <v>4</v>
      </c>
      <c r="Q791" s="202">
        <v>23</v>
      </c>
      <c r="R791" s="202">
        <v>7</v>
      </c>
      <c r="S791" s="202">
        <v>1</v>
      </c>
    </row>
    <row r="792" spans="1:19" x14ac:dyDescent="0.35">
      <c r="A792" s="202">
        <v>59</v>
      </c>
      <c r="B792" s="202">
        <v>59</v>
      </c>
      <c r="C792" s="202">
        <v>2</v>
      </c>
      <c r="D792" s="202">
        <v>10</v>
      </c>
      <c r="E792" s="202">
        <v>27</v>
      </c>
      <c r="F792" s="202">
        <v>1</v>
      </c>
      <c r="G792" s="202">
        <v>20</v>
      </c>
      <c r="H792" s="202">
        <v>58</v>
      </c>
      <c r="I792" s="202">
        <v>1</v>
      </c>
      <c r="K792" s="202">
        <v>5</v>
      </c>
      <c r="L792" s="202">
        <v>17</v>
      </c>
      <c r="M792" s="202">
        <v>2</v>
      </c>
      <c r="N792" s="202">
        <v>15</v>
      </c>
      <c r="O792" s="202">
        <v>25</v>
      </c>
      <c r="P792" s="202">
        <v>5</v>
      </c>
      <c r="Q792" s="202">
        <v>1</v>
      </c>
      <c r="R792" s="202">
        <v>29</v>
      </c>
      <c r="S792" s="202">
        <v>1</v>
      </c>
    </row>
    <row r="793" spans="1:19" x14ac:dyDescent="0.35">
      <c r="A793" s="202">
        <v>59</v>
      </c>
      <c r="B793" s="202">
        <v>59</v>
      </c>
      <c r="C793" s="202">
        <v>2</v>
      </c>
      <c r="D793" s="202">
        <v>10</v>
      </c>
      <c r="E793" s="202">
        <v>27</v>
      </c>
      <c r="F793" s="202">
        <v>4</v>
      </c>
      <c r="G793" s="202">
        <v>11</v>
      </c>
      <c r="H793" s="202">
        <v>57</v>
      </c>
      <c r="I793" s="202">
        <v>1</v>
      </c>
      <c r="K793" s="202">
        <v>40</v>
      </c>
      <c r="L793" s="202">
        <v>70</v>
      </c>
      <c r="M793" s="202">
        <v>2</v>
      </c>
      <c r="N793" s="202">
        <v>4</v>
      </c>
      <c r="O793" s="202">
        <v>50</v>
      </c>
      <c r="P793" s="202">
        <v>1</v>
      </c>
      <c r="Q793" s="202">
        <v>11</v>
      </c>
      <c r="R793" s="202">
        <v>37</v>
      </c>
      <c r="S793" s="202">
        <v>2</v>
      </c>
    </row>
    <row r="794" spans="1:19" x14ac:dyDescent="0.35">
      <c r="A794" s="202">
        <v>59</v>
      </c>
      <c r="B794" s="202">
        <v>24</v>
      </c>
      <c r="C794" s="202">
        <v>2</v>
      </c>
      <c r="D794" s="202">
        <v>18</v>
      </c>
      <c r="E794" s="202">
        <v>48</v>
      </c>
      <c r="F794" s="202">
        <v>2</v>
      </c>
      <c r="G794" s="202">
        <v>23</v>
      </c>
      <c r="H794" s="202">
        <v>7</v>
      </c>
      <c r="I794" s="202">
        <v>1</v>
      </c>
      <c r="K794" s="202">
        <v>56</v>
      </c>
      <c r="L794" s="202">
        <v>11</v>
      </c>
      <c r="M794" s="202">
        <v>4</v>
      </c>
      <c r="N794" s="202">
        <v>3</v>
      </c>
      <c r="O794" s="202">
        <v>50</v>
      </c>
      <c r="P794" s="202">
        <v>5</v>
      </c>
      <c r="Q794" s="202">
        <v>11</v>
      </c>
      <c r="R794" s="202">
        <v>37</v>
      </c>
      <c r="S794" s="202">
        <v>1</v>
      </c>
    </row>
    <row r="795" spans="1:19" x14ac:dyDescent="0.35">
      <c r="A795" s="202">
        <v>59</v>
      </c>
      <c r="B795" s="202">
        <v>24</v>
      </c>
      <c r="C795" s="202">
        <v>2</v>
      </c>
      <c r="D795" s="202">
        <v>18</v>
      </c>
      <c r="E795" s="202">
        <v>48</v>
      </c>
      <c r="F795" s="202">
        <v>4</v>
      </c>
      <c r="G795" s="202">
        <v>7</v>
      </c>
      <c r="H795" s="202">
        <v>7</v>
      </c>
      <c r="I795" s="202">
        <v>1</v>
      </c>
      <c r="K795" s="202">
        <v>79</v>
      </c>
      <c r="L795" s="202">
        <v>46</v>
      </c>
      <c r="M795" s="202">
        <v>2</v>
      </c>
      <c r="N795" s="202">
        <v>8</v>
      </c>
      <c r="O795" s="202">
        <v>47</v>
      </c>
      <c r="P795" s="202">
        <v>4</v>
      </c>
      <c r="Q795" s="202">
        <v>1</v>
      </c>
      <c r="R795" s="202">
        <v>9</v>
      </c>
      <c r="S795" s="202">
        <v>1</v>
      </c>
    </row>
    <row r="796" spans="1:19" x14ac:dyDescent="0.35">
      <c r="A796" s="202">
        <v>59</v>
      </c>
      <c r="B796" s="202">
        <v>25</v>
      </c>
      <c r="C796" s="202">
        <v>2</v>
      </c>
      <c r="D796" s="202">
        <v>14</v>
      </c>
      <c r="E796" s="202">
        <v>48</v>
      </c>
      <c r="F796" s="202">
        <v>1</v>
      </c>
      <c r="G796" s="202">
        <v>25</v>
      </c>
      <c r="H796" s="202">
        <v>77</v>
      </c>
      <c r="I796" s="202">
        <v>2</v>
      </c>
      <c r="K796" s="202">
        <v>19</v>
      </c>
      <c r="L796" s="202">
        <v>11</v>
      </c>
      <c r="M796" s="202">
        <v>2</v>
      </c>
      <c r="N796" s="202">
        <v>17</v>
      </c>
      <c r="O796" s="202">
        <v>25</v>
      </c>
      <c r="P796" s="202">
        <v>4</v>
      </c>
      <c r="Q796" s="202">
        <v>24</v>
      </c>
      <c r="R796" s="202">
        <v>60</v>
      </c>
      <c r="S796" s="202">
        <v>2</v>
      </c>
    </row>
    <row r="797" spans="1:19" x14ac:dyDescent="0.35">
      <c r="A797" s="202">
        <v>59</v>
      </c>
      <c r="B797" s="202">
        <v>25</v>
      </c>
      <c r="C797" s="202">
        <v>2</v>
      </c>
      <c r="D797" s="202">
        <v>14</v>
      </c>
      <c r="E797" s="202">
        <v>48</v>
      </c>
      <c r="F797" s="202">
        <v>4</v>
      </c>
      <c r="G797" s="202">
        <v>21</v>
      </c>
      <c r="H797" s="202">
        <v>75</v>
      </c>
      <c r="I797" s="202">
        <v>2</v>
      </c>
      <c r="K797" s="202">
        <v>58</v>
      </c>
      <c r="L797" s="202">
        <v>80</v>
      </c>
      <c r="M797" s="202">
        <v>4</v>
      </c>
      <c r="N797" s="202">
        <v>18</v>
      </c>
      <c r="O797" s="202">
        <v>48</v>
      </c>
      <c r="P797" s="202">
        <v>5</v>
      </c>
      <c r="Q797" s="202">
        <v>20</v>
      </c>
      <c r="R797" s="202">
        <v>30</v>
      </c>
      <c r="S797" s="202">
        <v>1</v>
      </c>
    </row>
    <row r="798" spans="1:19" x14ac:dyDescent="0.35">
      <c r="A798" s="202">
        <v>59</v>
      </c>
      <c r="B798" s="202">
        <v>24</v>
      </c>
      <c r="C798" s="202">
        <v>2</v>
      </c>
      <c r="D798" s="202">
        <v>14</v>
      </c>
      <c r="E798" s="202">
        <v>49</v>
      </c>
      <c r="F798" s="202">
        <v>4</v>
      </c>
      <c r="G798" s="202">
        <v>25</v>
      </c>
      <c r="H798" s="202">
        <v>7</v>
      </c>
      <c r="I798" s="202">
        <v>2</v>
      </c>
      <c r="K798" s="202">
        <v>19</v>
      </c>
      <c r="L798" s="202">
        <v>50</v>
      </c>
      <c r="M798" s="202">
        <v>2</v>
      </c>
      <c r="N798" s="202">
        <v>11</v>
      </c>
      <c r="O798" s="202">
        <v>48</v>
      </c>
      <c r="P798" s="202">
        <v>1</v>
      </c>
      <c r="Q798" s="202">
        <v>23</v>
      </c>
      <c r="R798" s="202">
        <v>5</v>
      </c>
      <c r="S798" s="202">
        <v>2</v>
      </c>
    </row>
    <row r="799" spans="1:19" x14ac:dyDescent="0.35">
      <c r="A799" s="202">
        <v>59</v>
      </c>
      <c r="B799" s="202">
        <v>24</v>
      </c>
      <c r="C799" s="202">
        <v>2</v>
      </c>
      <c r="D799" s="202">
        <v>14</v>
      </c>
      <c r="E799" s="202">
        <v>49</v>
      </c>
      <c r="F799" s="202">
        <v>5</v>
      </c>
      <c r="G799" s="202">
        <v>25</v>
      </c>
      <c r="H799" s="202">
        <v>7</v>
      </c>
      <c r="I799" s="202">
        <v>2</v>
      </c>
      <c r="K799" s="202">
        <v>81</v>
      </c>
      <c r="L799" s="202">
        <v>70</v>
      </c>
      <c r="M799" s="202">
        <v>3</v>
      </c>
      <c r="N799" s="202">
        <v>10</v>
      </c>
      <c r="O799" s="202">
        <v>43</v>
      </c>
      <c r="P799" s="202">
        <v>2</v>
      </c>
      <c r="Q799" s="202">
        <v>10</v>
      </c>
      <c r="R799" s="202">
        <v>90</v>
      </c>
      <c r="S799" s="202">
        <v>1</v>
      </c>
    </row>
    <row r="800" spans="1:19" x14ac:dyDescent="0.35">
      <c r="A800" s="202">
        <v>60</v>
      </c>
      <c r="B800" s="202">
        <v>112</v>
      </c>
      <c r="C800" s="202">
        <v>4</v>
      </c>
      <c r="D800" s="202">
        <v>10</v>
      </c>
      <c r="E800" s="202">
        <v>44</v>
      </c>
      <c r="F800" s="202">
        <v>1</v>
      </c>
      <c r="G800" s="202">
        <v>20</v>
      </c>
      <c r="H800" s="202">
        <v>27</v>
      </c>
      <c r="I800" s="202">
        <v>2</v>
      </c>
      <c r="K800" s="202">
        <v>71</v>
      </c>
      <c r="L800" s="202">
        <v>3</v>
      </c>
      <c r="M800" s="202">
        <v>3</v>
      </c>
      <c r="N800" s="202">
        <v>15</v>
      </c>
      <c r="O800" s="202">
        <v>25</v>
      </c>
      <c r="P800" s="202">
        <v>3</v>
      </c>
      <c r="Q800" s="202">
        <v>23</v>
      </c>
      <c r="R800" s="202">
        <v>39</v>
      </c>
      <c r="S800" s="202">
        <v>1</v>
      </c>
    </row>
    <row r="801" spans="1:19" x14ac:dyDescent="0.35">
      <c r="A801" s="202">
        <v>60</v>
      </c>
      <c r="B801" s="202">
        <v>112</v>
      </c>
      <c r="C801" s="202">
        <v>4</v>
      </c>
      <c r="D801" s="202">
        <v>10</v>
      </c>
      <c r="E801" s="202">
        <v>44</v>
      </c>
      <c r="F801" s="202">
        <v>5</v>
      </c>
      <c r="G801" s="202">
        <v>20</v>
      </c>
      <c r="H801" s="202">
        <v>20</v>
      </c>
      <c r="I801" s="202">
        <v>2</v>
      </c>
      <c r="K801" s="202">
        <v>37</v>
      </c>
      <c r="L801" s="202">
        <v>96</v>
      </c>
      <c r="M801" s="202">
        <v>2</v>
      </c>
      <c r="N801" s="202">
        <v>15</v>
      </c>
      <c r="O801" s="202">
        <v>51</v>
      </c>
      <c r="P801" s="202">
        <v>4</v>
      </c>
      <c r="Q801" s="202">
        <v>10</v>
      </c>
      <c r="R801" s="202">
        <v>7</v>
      </c>
      <c r="S801" s="202">
        <v>2</v>
      </c>
    </row>
    <row r="802" spans="1:19" x14ac:dyDescent="0.35">
      <c r="A802" s="202">
        <v>60</v>
      </c>
      <c r="B802" s="202">
        <v>17</v>
      </c>
      <c r="C802" s="202">
        <v>4</v>
      </c>
      <c r="D802" s="202">
        <v>10</v>
      </c>
      <c r="E802" s="202">
        <v>48</v>
      </c>
      <c r="F802" s="202">
        <v>2</v>
      </c>
      <c r="G802" s="202">
        <v>20</v>
      </c>
      <c r="H802" s="202">
        <v>52</v>
      </c>
      <c r="I802" s="202">
        <v>2</v>
      </c>
      <c r="K802" s="202">
        <v>66</v>
      </c>
      <c r="L802" s="202">
        <v>24</v>
      </c>
      <c r="M802" s="202">
        <v>3</v>
      </c>
      <c r="N802" s="202">
        <v>13</v>
      </c>
      <c r="O802" s="202">
        <v>48</v>
      </c>
      <c r="P802" s="202">
        <v>2</v>
      </c>
      <c r="Q802" s="202">
        <v>1</v>
      </c>
      <c r="R802" s="202">
        <v>4</v>
      </c>
      <c r="S802" s="202">
        <v>2</v>
      </c>
    </row>
    <row r="803" spans="1:19" x14ac:dyDescent="0.35">
      <c r="A803" s="202">
        <v>60</v>
      </c>
      <c r="B803" s="202">
        <v>17</v>
      </c>
      <c r="C803" s="202">
        <v>4</v>
      </c>
      <c r="D803" s="202">
        <v>10</v>
      </c>
      <c r="E803" s="202">
        <v>48</v>
      </c>
      <c r="F803" s="202">
        <v>4</v>
      </c>
      <c r="G803" s="202">
        <v>2</v>
      </c>
      <c r="H803" s="202">
        <v>99</v>
      </c>
      <c r="I803" s="202">
        <v>2</v>
      </c>
      <c r="K803" s="202">
        <v>16</v>
      </c>
      <c r="L803" s="202">
        <v>49</v>
      </c>
      <c r="M803" s="202">
        <v>2</v>
      </c>
      <c r="N803" s="202">
        <v>18</v>
      </c>
      <c r="O803" s="202">
        <v>26</v>
      </c>
      <c r="P803" s="202">
        <v>2</v>
      </c>
      <c r="Q803" s="202">
        <v>25</v>
      </c>
      <c r="R803" s="202">
        <v>37</v>
      </c>
      <c r="S803" s="202">
        <v>2</v>
      </c>
    </row>
    <row r="804" spans="1:19" x14ac:dyDescent="0.35">
      <c r="A804" s="202">
        <v>60</v>
      </c>
      <c r="B804" s="202">
        <v>17</v>
      </c>
      <c r="C804" s="202">
        <v>4</v>
      </c>
      <c r="D804" s="202">
        <v>10</v>
      </c>
      <c r="E804" s="202">
        <v>49</v>
      </c>
      <c r="F804" s="202">
        <v>2</v>
      </c>
      <c r="G804" s="202">
        <v>11</v>
      </c>
      <c r="H804" s="202">
        <v>36</v>
      </c>
      <c r="I804" s="202">
        <v>2</v>
      </c>
      <c r="K804" s="202">
        <v>22</v>
      </c>
      <c r="L804" s="202">
        <v>67</v>
      </c>
      <c r="M804" s="202">
        <v>4</v>
      </c>
      <c r="N804" s="202">
        <v>13</v>
      </c>
      <c r="O804" s="202">
        <v>38</v>
      </c>
      <c r="P804" s="202">
        <v>5</v>
      </c>
      <c r="Q804" s="202">
        <v>11</v>
      </c>
      <c r="R804" s="202">
        <v>24</v>
      </c>
      <c r="S804" s="202">
        <v>2</v>
      </c>
    </row>
    <row r="805" spans="1:19" x14ac:dyDescent="0.35">
      <c r="A805" s="202">
        <v>60</v>
      </c>
      <c r="B805" s="202">
        <v>17</v>
      </c>
      <c r="C805" s="202">
        <v>4</v>
      </c>
      <c r="D805" s="202">
        <v>10</v>
      </c>
      <c r="E805" s="202">
        <v>49</v>
      </c>
      <c r="F805" s="202">
        <v>4</v>
      </c>
      <c r="G805" s="202">
        <v>20</v>
      </c>
      <c r="H805" s="202">
        <v>27</v>
      </c>
      <c r="I805" s="202">
        <v>2</v>
      </c>
      <c r="K805" s="202">
        <v>11</v>
      </c>
      <c r="L805" s="202">
        <v>87</v>
      </c>
      <c r="M805" s="202">
        <v>2</v>
      </c>
      <c r="N805" s="202">
        <v>15</v>
      </c>
      <c r="O805" s="202">
        <v>49</v>
      </c>
      <c r="P805" s="202">
        <v>3</v>
      </c>
      <c r="Q805" s="202">
        <v>22</v>
      </c>
      <c r="R805" s="202">
        <v>31</v>
      </c>
      <c r="S805" s="202">
        <v>1</v>
      </c>
    </row>
    <row r="806" spans="1:19" x14ac:dyDescent="0.35">
      <c r="A806" s="202">
        <v>60</v>
      </c>
      <c r="B806" s="202">
        <v>17</v>
      </c>
      <c r="C806" s="202">
        <v>4</v>
      </c>
      <c r="D806" s="202">
        <v>10</v>
      </c>
      <c r="E806" s="202">
        <v>50</v>
      </c>
      <c r="F806" s="202">
        <v>2</v>
      </c>
      <c r="G806" s="202">
        <v>11</v>
      </c>
      <c r="H806" s="202">
        <v>28</v>
      </c>
      <c r="I806" s="202">
        <v>1</v>
      </c>
      <c r="K806" s="202">
        <v>1</v>
      </c>
      <c r="L806" s="202">
        <v>105</v>
      </c>
      <c r="M806" s="202">
        <v>3</v>
      </c>
      <c r="N806" s="202">
        <v>15</v>
      </c>
      <c r="O806" s="202">
        <v>50</v>
      </c>
      <c r="P806" s="202">
        <v>2</v>
      </c>
      <c r="Q806" s="202">
        <v>24</v>
      </c>
      <c r="R806" s="202">
        <v>7</v>
      </c>
      <c r="S806" s="202">
        <v>2</v>
      </c>
    </row>
    <row r="807" spans="1:19" x14ac:dyDescent="0.35">
      <c r="A807" s="202">
        <v>60</v>
      </c>
      <c r="B807" s="202">
        <v>17</v>
      </c>
      <c r="C807" s="202">
        <v>4</v>
      </c>
      <c r="D807" s="202">
        <v>10</v>
      </c>
      <c r="E807" s="202">
        <v>50</v>
      </c>
      <c r="F807" s="202">
        <v>4</v>
      </c>
      <c r="G807" s="202">
        <v>2</v>
      </c>
      <c r="H807" s="202">
        <v>63</v>
      </c>
      <c r="I807" s="202">
        <v>1</v>
      </c>
      <c r="K807" s="202">
        <v>38</v>
      </c>
      <c r="L807" s="202">
        <v>26</v>
      </c>
      <c r="M807" s="202">
        <v>4</v>
      </c>
      <c r="N807" s="202">
        <v>17</v>
      </c>
      <c r="O807" s="202">
        <v>50</v>
      </c>
      <c r="P807" s="202">
        <v>5</v>
      </c>
      <c r="Q807" s="202">
        <v>7</v>
      </c>
      <c r="R807" s="202">
        <v>3</v>
      </c>
      <c r="S807" s="202">
        <v>1</v>
      </c>
    </row>
    <row r="808" spans="1:19" x14ac:dyDescent="0.35">
      <c r="A808" s="202">
        <v>60</v>
      </c>
      <c r="B808" s="202">
        <v>13</v>
      </c>
      <c r="C808" s="202">
        <v>2</v>
      </c>
      <c r="D808" s="202">
        <v>16</v>
      </c>
      <c r="E808" s="202">
        <v>42</v>
      </c>
      <c r="F808" s="202">
        <v>1</v>
      </c>
      <c r="G808" s="202">
        <v>2</v>
      </c>
      <c r="H808" s="202">
        <v>8</v>
      </c>
      <c r="I808" s="202">
        <v>1</v>
      </c>
      <c r="K808" s="202">
        <v>49</v>
      </c>
      <c r="L808" s="202">
        <v>38</v>
      </c>
      <c r="M808" s="202">
        <v>1</v>
      </c>
      <c r="N808" s="202">
        <v>17</v>
      </c>
      <c r="O808" s="202">
        <v>52</v>
      </c>
      <c r="P808" s="202">
        <v>1</v>
      </c>
      <c r="Q808" s="202">
        <v>23</v>
      </c>
      <c r="R808" s="202">
        <v>48</v>
      </c>
      <c r="S808" s="202">
        <v>1</v>
      </c>
    </row>
    <row r="809" spans="1:19" x14ac:dyDescent="0.35">
      <c r="A809" s="202">
        <v>60</v>
      </c>
      <c r="B809" s="202">
        <v>13</v>
      </c>
      <c r="C809" s="202">
        <v>2</v>
      </c>
      <c r="D809" s="202">
        <v>16</v>
      </c>
      <c r="E809" s="202">
        <v>42</v>
      </c>
      <c r="F809" s="202">
        <v>2</v>
      </c>
      <c r="G809" s="202">
        <v>2</v>
      </c>
      <c r="H809" s="202">
        <v>22</v>
      </c>
      <c r="I809" s="202">
        <v>1</v>
      </c>
      <c r="K809" s="202">
        <v>20</v>
      </c>
      <c r="L809" s="202">
        <v>25</v>
      </c>
      <c r="M809" s="202">
        <v>4</v>
      </c>
      <c r="N809" s="202">
        <v>15</v>
      </c>
      <c r="O809" s="202">
        <v>36</v>
      </c>
      <c r="P809" s="202">
        <v>3</v>
      </c>
      <c r="Q809" s="202">
        <v>2</v>
      </c>
      <c r="R809" s="202">
        <v>89</v>
      </c>
      <c r="S809" s="202">
        <v>2</v>
      </c>
    </row>
    <row r="810" spans="1:19" x14ac:dyDescent="0.35">
      <c r="A810" s="202">
        <v>60</v>
      </c>
      <c r="B810" s="202">
        <v>67</v>
      </c>
      <c r="C810" s="202">
        <v>2</v>
      </c>
      <c r="D810" s="202">
        <v>17</v>
      </c>
      <c r="E810" s="202">
        <v>42</v>
      </c>
      <c r="F810" s="202">
        <v>1</v>
      </c>
      <c r="G810" s="202">
        <v>15</v>
      </c>
      <c r="H810" s="202">
        <v>22</v>
      </c>
      <c r="I810" s="202">
        <v>1</v>
      </c>
      <c r="K810" s="202">
        <v>22</v>
      </c>
      <c r="L810" s="202">
        <v>30</v>
      </c>
      <c r="M810" s="202">
        <v>2</v>
      </c>
      <c r="N810" s="202">
        <v>16</v>
      </c>
      <c r="O810" s="202">
        <v>42</v>
      </c>
      <c r="P810" s="202">
        <v>4</v>
      </c>
      <c r="Q810" s="202">
        <v>2</v>
      </c>
      <c r="R810" s="202">
        <v>38</v>
      </c>
      <c r="S810" s="202">
        <v>2</v>
      </c>
    </row>
    <row r="811" spans="1:19" x14ac:dyDescent="0.35">
      <c r="A811" s="202">
        <v>60</v>
      </c>
      <c r="B811" s="202">
        <v>67</v>
      </c>
      <c r="C811" s="202">
        <v>2</v>
      </c>
      <c r="D811" s="202">
        <v>17</v>
      </c>
      <c r="E811" s="202">
        <v>42</v>
      </c>
      <c r="F811" s="202">
        <v>4</v>
      </c>
      <c r="G811" s="202">
        <v>15</v>
      </c>
      <c r="H811" s="202">
        <v>22</v>
      </c>
      <c r="I811" s="202">
        <v>1</v>
      </c>
      <c r="K811" s="202">
        <v>23</v>
      </c>
      <c r="L811" s="202">
        <v>94</v>
      </c>
      <c r="M811" s="202">
        <v>2</v>
      </c>
      <c r="N811" s="202">
        <v>1</v>
      </c>
      <c r="O811" s="202">
        <v>29</v>
      </c>
      <c r="P811" s="202">
        <v>5</v>
      </c>
      <c r="Q811" s="202">
        <v>2</v>
      </c>
      <c r="R811" s="202">
        <v>12</v>
      </c>
      <c r="S811" s="202">
        <v>1</v>
      </c>
    </row>
    <row r="812" spans="1:19" x14ac:dyDescent="0.35">
      <c r="A812" s="202">
        <v>60</v>
      </c>
      <c r="B812" s="202">
        <v>29</v>
      </c>
      <c r="C812" s="202">
        <v>2</v>
      </c>
      <c r="D812" s="202">
        <v>17</v>
      </c>
      <c r="E812" s="202">
        <v>47</v>
      </c>
      <c r="F812" s="202">
        <v>2</v>
      </c>
      <c r="G812" s="202">
        <v>2</v>
      </c>
      <c r="H812" s="202">
        <v>9</v>
      </c>
      <c r="I812" s="202">
        <v>2</v>
      </c>
      <c r="K812" s="202">
        <v>74</v>
      </c>
      <c r="L812" s="202">
        <v>90</v>
      </c>
      <c r="M812" s="202">
        <v>2</v>
      </c>
      <c r="N812" s="202">
        <v>17</v>
      </c>
      <c r="O812" s="202">
        <v>48</v>
      </c>
      <c r="P812" s="202">
        <v>3</v>
      </c>
      <c r="Q812" s="202">
        <v>8</v>
      </c>
      <c r="R812" s="202">
        <v>42</v>
      </c>
      <c r="S812" s="202">
        <v>2</v>
      </c>
    </row>
    <row r="813" spans="1:19" x14ac:dyDescent="0.35">
      <c r="A813" s="202">
        <v>60</v>
      </c>
      <c r="B813" s="202">
        <v>29</v>
      </c>
      <c r="C813" s="202">
        <v>2</v>
      </c>
      <c r="D813" s="202">
        <v>17</v>
      </c>
      <c r="E813" s="202">
        <v>47</v>
      </c>
      <c r="F813" s="202">
        <v>5</v>
      </c>
      <c r="G813" s="202">
        <v>2</v>
      </c>
      <c r="H813" s="202">
        <v>9</v>
      </c>
      <c r="I813" s="202">
        <v>2</v>
      </c>
      <c r="K813" s="202">
        <v>55</v>
      </c>
      <c r="L813" s="202">
        <v>24</v>
      </c>
      <c r="M813" s="202">
        <v>4</v>
      </c>
      <c r="N813" s="202">
        <v>17</v>
      </c>
      <c r="O813" s="202">
        <v>44</v>
      </c>
      <c r="P813" s="202">
        <v>2</v>
      </c>
      <c r="Q813" s="202">
        <v>18</v>
      </c>
      <c r="R813" s="202">
        <v>37</v>
      </c>
      <c r="S813" s="202">
        <v>2</v>
      </c>
    </row>
    <row r="814" spans="1:19" x14ac:dyDescent="0.35">
      <c r="A814" s="202">
        <v>61</v>
      </c>
      <c r="B814" s="202">
        <v>78</v>
      </c>
      <c r="C814" s="202">
        <v>3</v>
      </c>
      <c r="D814" s="202">
        <v>15</v>
      </c>
      <c r="E814" s="202">
        <v>52</v>
      </c>
      <c r="F814" s="202">
        <v>1</v>
      </c>
      <c r="G814" s="202">
        <v>1</v>
      </c>
      <c r="H814" s="202">
        <v>48</v>
      </c>
      <c r="I814" s="202">
        <v>2</v>
      </c>
      <c r="K814" s="202">
        <v>27</v>
      </c>
      <c r="L814" s="202">
        <v>55</v>
      </c>
      <c r="M814" s="202">
        <v>4</v>
      </c>
      <c r="N814" s="202">
        <v>15</v>
      </c>
      <c r="O814" s="202">
        <v>44</v>
      </c>
      <c r="P814" s="202">
        <v>2</v>
      </c>
      <c r="Q814" s="202">
        <v>20</v>
      </c>
      <c r="R814" s="202">
        <v>1</v>
      </c>
      <c r="S814" s="202">
        <v>2</v>
      </c>
    </row>
    <row r="815" spans="1:19" x14ac:dyDescent="0.35">
      <c r="A815" s="202">
        <v>61</v>
      </c>
      <c r="B815" s="202">
        <v>78</v>
      </c>
      <c r="C815" s="202">
        <v>3</v>
      </c>
      <c r="D815" s="202">
        <v>15</v>
      </c>
      <c r="E815" s="202">
        <v>52</v>
      </c>
      <c r="F815" s="202">
        <v>4</v>
      </c>
      <c r="G815" s="202">
        <v>10</v>
      </c>
      <c r="H815" s="202">
        <v>52</v>
      </c>
      <c r="I815" s="202">
        <v>2</v>
      </c>
      <c r="K815" s="202">
        <v>21</v>
      </c>
      <c r="L815" s="202">
        <v>25</v>
      </c>
      <c r="M815" s="202">
        <v>2</v>
      </c>
      <c r="N815" s="202">
        <v>13</v>
      </c>
      <c r="O815" s="202">
        <v>48</v>
      </c>
      <c r="P815" s="202">
        <v>4</v>
      </c>
      <c r="Q815" s="202">
        <v>23</v>
      </c>
      <c r="R815" s="202">
        <v>5</v>
      </c>
      <c r="S815" s="202">
        <v>2</v>
      </c>
    </row>
    <row r="816" spans="1:19" x14ac:dyDescent="0.35">
      <c r="A816" s="202">
        <v>61</v>
      </c>
      <c r="B816" s="202">
        <v>28</v>
      </c>
      <c r="C816" s="202">
        <v>4</v>
      </c>
      <c r="D816" s="202">
        <v>15</v>
      </c>
      <c r="E816" s="202">
        <v>27</v>
      </c>
      <c r="F816" s="202">
        <v>1</v>
      </c>
      <c r="G816" s="202">
        <v>18</v>
      </c>
      <c r="H816" s="202">
        <v>100</v>
      </c>
      <c r="I816" s="202">
        <v>1</v>
      </c>
      <c r="K816" s="202">
        <v>71</v>
      </c>
      <c r="L816" s="202">
        <v>104</v>
      </c>
      <c r="M816" s="202">
        <v>2</v>
      </c>
      <c r="N816" s="202">
        <v>15</v>
      </c>
      <c r="O816" s="202">
        <v>27</v>
      </c>
      <c r="P816" s="202">
        <v>4</v>
      </c>
      <c r="Q816" s="202">
        <v>19</v>
      </c>
      <c r="R816" s="202">
        <v>71</v>
      </c>
      <c r="S816" s="202">
        <v>1</v>
      </c>
    </row>
    <row r="817" spans="1:19" x14ac:dyDescent="0.35">
      <c r="A817" s="202">
        <v>61</v>
      </c>
      <c r="B817" s="202">
        <v>28</v>
      </c>
      <c r="C817" s="202">
        <v>4</v>
      </c>
      <c r="D817" s="202">
        <v>15</v>
      </c>
      <c r="E817" s="202">
        <v>27</v>
      </c>
      <c r="F817" s="202">
        <v>3</v>
      </c>
      <c r="G817" s="202">
        <v>11</v>
      </c>
      <c r="H817" s="202">
        <v>43</v>
      </c>
      <c r="I817" s="202">
        <v>1</v>
      </c>
      <c r="K817" s="202">
        <v>19</v>
      </c>
      <c r="L817" s="202">
        <v>76</v>
      </c>
      <c r="M817" s="202">
        <v>2</v>
      </c>
      <c r="N817" s="202">
        <v>10</v>
      </c>
      <c r="O817" s="202">
        <v>45</v>
      </c>
      <c r="P817" s="202">
        <v>4</v>
      </c>
      <c r="Q817" s="202">
        <v>7</v>
      </c>
      <c r="R817" s="202">
        <v>46</v>
      </c>
      <c r="S817" s="202">
        <v>1</v>
      </c>
    </row>
    <row r="818" spans="1:19" x14ac:dyDescent="0.35">
      <c r="A818" s="202">
        <v>61</v>
      </c>
      <c r="B818" s="202">
        <v>25</v>
      </c>
      <c r="C818" s="202">
        <v>2</v>
      </c>
      <c r="D818" s="202">
        <v>8</v>
      </c>
      <c r="E818" s="202">
        <v>50</v>
      </c>
      <c r="F818" s="202">
        <v>3</v>
      </c>
      <c r="G818" s="202">
        <v>1</v>
      </c>
      <c r="H818" s="202">
        <v>6</v>
      </c>
      <c r="I818" s="202">
        <v>1</v>
      </c>
      <c r="K818" s="202">
        <v>55</v>
      </c>
      <c r="L818" s="202">
        <v>43</v>
      </c>
      <c r="M818" s="202">
        <v>3</v>
      </c>
      <c r="N818" s="202">
        <v>14</v>
      </c>
      <c r="O818" s="202">
        <v>26</v>
      </c>
      <c r="P818" s="202">
        <v>3</v>
      </c>
      <c r="Q818" s="202">
        <v>24</v>
      </c>
      <c r="R818" s="202">
        <v>18</v>
      </c>
      <c r="S818" s="202">
        <v>2</v>
      </c>
    </row>
    <row r="819" spans="1:19" x14ac:dyDescent="0.35">
      <c r="A819" s="202">
        <v>61</v>
      </c>
      <c r="B819" s="202">
        <v>25</v>
      </c>
      <c r="C819" s="202">
        <v>2</v>
      </c>
      <c r="D819" s="202">
        <v>8</v>
      </c>
      <c r="E819" s="202">
        <v>50</v>
      </c>
      <c r="F819" s="202">
        <v>5</v>
      </c>
      <c r="G819" s="202">
        <v>7</v>
      </c>
      <c r="H819" s="202">
        <v>46</v>
      </c>
      <c r="I819" s="202">
        <v>1</v>
      </c>
      <c r="K819" s="202">
        <v>14</v>
      </c>
      <c r="L819" s="202">
        <v>28</v>
      </c>
      <c r="M819" s="202">
        <v>2</v>
      </c>
      <c r="N819" s="202">
        <v>10</v>
      </c>
      <c r="O819" s="202">
        <v>48</v>
      </c>
      <c r="P819" s="202">
        <v>2</v>
      </c>
      <c r="Q819" s="202">
        <v>23</v>
      </c>
      <c r="R819" s="202">
        <v>36</v>
      </c>
      <c r="S819" s="202">
        <v>1</v>
      </c>
    </row>
    <row r="820" spans="1:19" x14ac:dyDescent="0.35">
      <c r="A820" s="202">
        <v>61</v>
      </c>
      <c r="B820" s="202">
        <v>24</v>
      </c>
      <c r="C820" s="202">
        <v>2</v>
      </c>
      <c r="D820" s="202">
        <v>8</v>
      </c>
      <c r="E820" s="202">
        <v>50</v>
      </c>
      <c r="F820" s="202">
        <v>2</v>
      </c>
      <c r="G820" s="202">
        <v>19</v>
      </c>
      <c r="H820" s="202">
        <v>7</v>
      </c>
      <c r="I820" s="202">
        <v>1</v>
      </c>
      <c r="K820" s="202">
        <v>52</v>
      </c>
      <c r="L820" s="202">
        <v>103</v>
      </c>
      <c r="M820" s="202">
        <v>4</v>
      </c>
      <c r="N820" s="202">
        <v>10</v>
      </c>
      <c r="O820" s="202">
        <v>48</v>
      </c>
      <c r="P820" s="202">
        <v>2</v>
      </c>
      <c r="Q820" s="202">
        <v>23</v>
      </c>
      <c r="R820" s="202">
        <v>2</v>
      </c>
      <c r="S820" s="202">
        <v>1</v>
      </c>
    </row>
    <row r="821" spans="1:19" x14ac:dyDescent="0.35">
      <c r="A821" s="202">
        <v>61</v>
      </c>
      <c r="B821" s="202">
        <v>24</v>
      </c>
      <c r="C821" s="202">
        <v>2</v>
      </c>
      <c r="D821" s="202">
        <v>8</v>
      </c>
      <c r="E821" s="202">
        <v>50</v>
      </c>
      <c r="F821" s="202">
        <v>4</v>
      </c>
      <c r="G821" s="202">
        <v>23</v>
      </c>
      <c r="H821" s="202">
        <v>7</v>
      </c>
      <c r="I821" s="202">
        <v>1</v>
      </c>
      <c r="K821" s="202">
        <v>37</v>
      </c>
      <c r="L821" s="202">
        <v>64</v>
      </c>
      <c r="M821" s="202">
        <v>4</v>
      </c>
      <c r="N821" s="202">
        <v>16</v>
      </c>
      <c r="O821" s="202">
        <v>48</v>
      </c>
      <c r="P821" s="202">
        <v>1</v>
      </c>
      <c r="Q821" s="202">
        <v>18</v>
      </c>
      <c r="R821" s="202">
        <v>33</v>
      </c>
      <c r="S821" s="202">
        <v>1</v>
      </c>
    </row>
    <row r="822" spans="1:19" x14ac:dyDescent="0.35">
      <c r="A822" s="202">
        <v>61</v>
      </c>
      <c r="B822" s="202">
        <v>24</v>
      </c>
      <c r="C822" s="202">
        <v>2</v>
      </c>
      <c r="D822" s="202">
        <v>11</v>
      </c>
      <c r="E822" s="202">
        <v>48</v>
      </c>
      <c r="F822" s="202">
        <v>1</v>
      </c>
      <c r="G822" s="202">
        <v>25</v>
      </c>
      <c r="H822" s="202">
        <v>7</v>
      </c>
      <c r="I822" s="202">
        <v>2</v>
      </c>
      <c r="K822" s="202">
        <v>41</v>
      </c>
      <c r="L822" s="202">
        <v>71</v>
      </c>
      <c r="M822" s="202">
        <v>3</v>
      </c>
      <c r="N822" s="202">
        <v>11</v>
      </c>
      <c r="O822" s="202">
        <v>25</v>
      </c>
      <c r="P822" s="202">
        <v>3</v>
      </c>
      <c r="Q822" s="202">
        <v>22</v>
      </c>
      <c r="R822" s="202">
        <v>10</v>
      </c>
      <c r="S822" s="202">
        <v>1</v>
      </c>
    </row>
    <row r="823" spans="1:19" x14ac:dyDescent="0.35">
      <c r="A823" s="202">
        <v>61</v>
      </c>
      <c r="B823" s="202">
        <v>24</v>
      </c>
      <c r="C823" s="202">
        <v>2</v>
      </c>
      <c r="D823" s="202">
        <v>11</v>
      </c>
      <c r="E823" s="202">
        <v>48</v>
      </c>
      <c r="F823" s="202">
        <v>3</v>
      </c>
      <c r="G823" s="202">
        <v>25</v>
      </c>
      <c r="H823" s="202">
        <v>7</v>
      </c>
      <c r="I823" s="202">
        <v>2</v>
      </c>
      <c r="K823" s="202">
        <v>21</v>
      </c>
      <c r="L823" s="202">
        <v>53</v>
      </c>
      <c r="M823" s="202">
        <v>4</v>
      </c>
      <c r="N823" s="202">
        <v>10</v>
      </c>
      <c r="O823" s="202">
        <v>54</v>
      </c>
      <c r="P823" s="202">
        <v>2</v>
      </c>
      <c r="Q823" s="202">
        <v>20</v>
      </c>
      <c r="R823" s="202">
        <v>6</v>
      </c>
      <c r="S823" s="202">
        <v>2</v>
      </c>
    </row>
    <row r="824" spans="1:19" x14ac:dyDescent="0.35">
      <c r="A824" s="202">
        <v>61</v>
      </c>
      <c r="B824" s="202">
        <v>24</v>
      </c>
      <c r="C824" s="202">
        <v>2</v>
      </c>
      <c r="D824" s="202">
        <v>13</v>
      </c>
      <c r="E824" s="202">
        <v>52</v>
      </c>
      <c r="F824" s="202">
        <v>2</v>
      </c>
      <c r="G824" s="202">
        <v>23</v>
      </c>
      <c r="H824" s="202">
        <v>85</v>
      </c>
      <c r="I824" s="202">
        <v>1</v>
      </c>
      <c r="K824" s="202">
        <v>62</v>
      </c>
      <c r="L824" s="202">
        <v>48</v>
      </c>
      <c r="M824" s="202">
        <v>4</v>
      </c>
      <c r="N824" s="202">
        <v>16</v>
      </c>
      <c r="O824" s="202">
        <v>28</v>
      </c>
      <c r="P824" s="202">
        <v>4</v>
      </c>
      <c r="Q824" s="202">
        <v>22</v>
      </c>
      <c r="R824" s="202">
        <v>31</v>
      </c>
      <c r="S824" s="202">
        <v>2</v>
      </c>
    </row>
    <row r="825" spans="1:19" x14ac:dyDescent="0.35">
      <c r="A825" s="202">
        <v>61</v>
      </c>
      <c r="B825" s="202">
        <v>24</v>
      </c>
      <c r="C825" s="202">
        <v>2</v>
      </c>
      <c r="D825" s="202">
        <v>13</v>
      </c>
      <c r="E825" s="202">
        <v>52</v>
      </c>
      <c r="F825" s="202">
        <v>4</v>
      </c>
      <c r="G825" s="202">
        <v>23</v>
      </c>
      <c r="H825" s="202">
        <v>86</v>
      </c>
      <c r="I825" s="202">
        <v>1</v>
      </c>
      <c r="K825" s="202">
        <v>1</v>
      </c>
      <c r="L825" s="202">
        <v>27</v>
      </c>
      <c r="M825" s="202">
        <v>4</v>
      </c>
      <c r="N825" s="202">
        <v>18</v>
      </c>
      <c r="O825" s="202">
        <v>25</v>
      </c>
      <c r="P825" s="202">
        <v>4</v>
      </c>
      <c r="Q825" s="202">
        <v>8</v>
      </c>
      <c r="R825" s="202">
        <v>64</v>
      </c>
      <c r="S825" s="202">
        <v>2</v>
      </c>
    </row>
    <row r="826" spans="1:19" x14ac:dyDescent="0.35">
      <c r="A826" s="202">
        <v>61</v>
      </c>
      <c r="B826" s="202">
        <v>25</v>
      </c>
      <c r="C826" s="202">
        <v>2</v>
      </c>
      <c r="D826" s="202">
        <v>9</v>
      </c>
      <c r="E826" s="202">
        <v>50</v>
      </c>
      <c r="F826" s="202">
        <v>1</v>
      </c>
      <c r="G826" s="202">
        <v>7</v>
      </c>
      <c r="H826" s="202">
        <v>89</v>
      </c>
      <c r="I826" s="202">
        <v>1</v>
      </c>
      <c r="K826" s="202">
        <v>71</v>
      </c>
      <c r="L826" s="202">
        <v>68</v>
      </c>
      <c r="M826" s="202">
        <v>2</v>
      </c>
      <c r="N826" s="202">
        <v>17</v>
      </c>
      <c r="O826" s="202">
        <v>48</v>
      </c>
      <c r="P826" s="202">
        <v>4</v>
      </c>
      <c r="Q826" s="202">
        <v>11</v>
      </c>
      <c r="R826" s="202">
        <v>7</v>
      </c>
      <c r="S826" s="202">
        <v>2</v>
      </c>
    </row>
    <row r="827" spans="1:19" x14ac:dyDescent="0.35">
      <c r="A827" s="202">
        <v>61</v>
      </c>
      <c r="B827" s="202">
        <v>25</v>
      </c>
      <c r="C827" s="202">
        <v>2</v>
      </c>
      <c r="D827" s="202">
        <v>9</v>
      </c>
      <c r="E827" s="202">
        <v>50</v>
      </c>
      <c r="F827" s="202">
        <v>3</v>
      </c>
      <c r="G827" s="202">
        <v>7</v>
      </c>
      <c r="H827" s="202">
        <v>89</v>
      </c>
      <c r="I827" s="202">
        <v>1</v>
      </c>
      <c r="K827" s="202">
        <v>59</v>
      </c>
      <c r="L827" s="202">
        <v>13</v>
      </c>
      <c r="M827" s="202">
        <v>3</v>
      </c>
      <c r="N827" s="202">
        <v>8</v>
      </c>
      <c r="O827" s="202">
        <v>53</v>
      </c>
      <c r="P827" s="202">
        <v>1</v>
      </c>
      <c r="Q827" s="202">
        <v>23</v>
      </c>
      <c r="R827" s="202">
        <v>3</v>
      </c>
      <c r="S827" s="202">
        <v>1</v>
      </c>
    </row>
    <row r="828" spans="1:19" x14ac:dyDescent="0.35">
      <c r="A828" s="202">
        <v>61</v>
      </c>
      <c r="B828" s="202">
        <v>24</v>
      </c>
      <c r="C828" s="202">
        <v>2</v>
      </c>
      <c r="D828" s="202">
        <v>12</v>
      </c>
      <c r="E828" s="202">
        <v>48</v>
      </c>
      <c r="F828" s="202">
        <v>3</v>
      </c>
      <c r="G828" s="202">
        <v>25</v>
      </c>
      <c r="H828" s="202">
        <v>7</v>
      </c>
      <c r="I828" s="202">
        <v>1</v>
      </c>
      <c r="K828" s="202">
        <v>31</v>
      </c>
      <c r="L828" s="202">
        <v>105</v>
      </c>
      <c r="M828" s="202">
        <v>3</v>
      </c>
      <c r="N828" s="202">
        <v>10</v>
      </c>
      <c r="O828" s="202">
        <v>42</v>
      </c>
      <c r="P828" s="202">
        <v>2</v>
      </c>
      <c r="Q828" s="202">
        <v>23</v>
      </c>
      <c r="R828" s="202">
        <v>28</v>
      </c>
      <c r="S828" s="202">
        <v>2</v>
      </c>
    </row>
    <row r="829" spans="1:19" x14ac:dyDescent="0.35">
      <c r="A829" s="202">
        <v>61</v>
      </c>
      <c r="B829" s="202">
        <v>24</v>
      </c>
      <c r="C829" s="202">
        <v>2</v>
      </c>
      <c r="D829" s="202">
        <v>12</v>
      </c>
      <c r="E829" s="202">
        <v>48</v>
      </c>
      <c r="F829" s="202">
        <v>5</v>
      </c>
      <c r="G829" s="202">
        <v>23</v>
      </c>
      <c r="H829" s="202">
        <v>7</v>
      </c>
      <c r="I829" s="202">
        <v>1</v>
      </c>
      <c r="K829" s="202">
        <v>27</v>
      </c>
      <c r="L829" s="202">
        <v>25</v>
      </c>
      <c r="M829" s="202">
        <v>1</v>
      </c>
      <c r="N829" s="202">
        <v>17</v>
      </c>
      <c r="O829" s="202">
        <v>48</v>
      </c>
      <c r="P829" s="202">
        <v>1</v>
      </c>
      <c r="Q829" s="202">
        <v>23</v>
      </c>
      <c r="R829" s="202">
        <v>34</v>
      </c>
      <c r="S829" s="202">
        <v>2</v>
      </c>
    </row>
    <row r="830" spans="1:19" x14ac:dyDescent="0.35">
      <c r="A830" s="202">
        <v>61</v>
      </c>
      <c r="B830" s="202">
        <v>25</v>
      </c>
      <c r="C830" s="202">
        <v>2</v>
      </c>
      <c r="D830" s="202">
        <v>12</v>
      </c>
      <c r="E830" s="202">
        <v>51</v>
      </c>
      <c r="F830" s="202">
        <v>3</v>
      </c>
      <c r="G830" s="202">
        <v>20</v>
      </c>
      <c r="H830" s="202">
        <v>74</v>
      </c>
      <c r="I830" s="202">
        <v>1</v>
      </c>
      <c r="K830" s="202">
        <v>42</v>
      </c>
      <c r="L830" s="202">
        <v>44</v>
      </c>
      <c r="M830" s="202">
        <v>3</v>
      </c>
      <c r="N830" s="202">
        <v>12</v>
      </c>
      <c r="O830" s="202">
        <v>48</v>
      </c>
      <c r="P830" s="202">
        <v>4</v>
      </c>
      <c r="Q830" s="202">
        <v>9</v>
      </c>
      <c r="R830" s="202">
        <v>7</v>
      </c>
      <c r="S830" s="202">
        <v>1</v>
      </c>
    </row>
    <row r="831" spans="1:19" x14ac:dyDescent="0.35">
      <c r="A831" s="202">
        <v>61</v>
      </c>
      <c r="B831" s="202">
        <v>25</v>
      </c>
      <c r="C831" s="202">
        <v>2</v>
      </c>
      <c r="D831" s="202">
        <v>12</v>
      </c>
      <c r="E831" s="202">
        <v>51</v>
      </c>
      <c r="F831" s="202">
        <v>5</v>
      </c>
      <c r="G831" s="202">
        <v>2</v>
      </c>
      <c r="H831" s="202">
        <v>72</v>
      </c>
      <c r="I831" s="202">
        <v>1</v>
      </c>
      <c r="K831" s="202">
        <v>48</v>
      </c>
      <c r="L831" s="202">
        <v>48</v>
      </c>
      <c r="M831" s="202">
        <v>2</v>
      </c>
      <c r="N831" s="202">
        <v>18</v>
      </c>
      <c r="O831" s="202">
        <v>44</v>
      </c>
      <c r="P831" s="202">
        <v>3</v>
      </c>
      <c r="Q831" s="202">
        <v>24</v>
      </c>
      <c r="R831" s="202">
        <v>7</v>
      </c>
      <c r="S831" s="202">
        <v>2</v>
      </c>
    </row>
    <row r="832" spans="1:19" x14ac:dyDescent="0.35">
      <c r="A832" s="202">
        <v>62</v>
      </c>
      <c r="B832" s="202">
        <v>76</v>
      </c>
      <c r="C832" s="202">
        <v>3</v>
      </c>
      <c r="D832" s="202">
        <v>15</v>
      </c>
      <c r="E832" s="202">
        <v>1</v>
      </c>
      <c r="F832" s="202">
        <v>2</v>
      </c>
      <c r="G832" s="202">
        <v>7</v>
      </c>
      <c r="H832" s="202">
        <v>30</v>
      </c>
      <c r="I832" s="202">
        <v>2</v>
      </c>
      <c r="K832" s="202">
        <v>13</v>
      </c>
      <c r="L832" s="202">
        <v>35</v>
      </c>
      <c r="M832" s="202">
        <v>2</v>
      </c>
      <c r="N832" s="202">
        <v>15</v>
      </c>
      <c r="O832" s="202">
        <v>35</v>
      </c>
      <c r="P832" s="202">
        <v>3</v>
      </c>
      <c r="Q832" s="202">
        <v>20</v>
      </c>
      <c r="R832" s="202">
        <v>36</v>
      </c>
      <c r="S832" s="202">
        <v>2</v>
      </c>
    </row>
    <row r="833" spans="1:19" x14ac:dyDescent="0.35">
      <c r="A833" s="202">
        <v>62</v>
      </c>
      <c r="B833" s="202">
        <v>76</v>
      </c>
      <c r="C833" s="202">
        <v>3</v>
      </c>
      <c r="D833" s="202">
        <v>15</v>
      </c>
      <c r="E833" s="202">
        <v>1</v>
      </c>
      <c r="F833" s="202">
        <v>4</v>
      </c>
      <c r="G833" s="202">
        <v>14</v>
      </c>
      <c r="H833" s="202">
        <v>3</v>
      </c>
      <c r="I833" s="202">
        <v>2</v>
      </c>
      <c r="K833" s="202">
        <v>75</v>
      </c>
      <c r="L833" s="202">
        <v>74</v>
      </c>
      <c r="M833" s="202">
        <v>2</v>
      </c>
      <c r="N833" s="202">
        <v>4</v>
      </c>
      <c r="O833" s="202">
        <v>43</v>
      </c>
      <c r="P833" s="202">
        <v>2</v>
      </c>
      <c r="Q833" s="202">
        <v>10</v>
      </c>
      <c r="R833" s="202">
        <v>20</v>
      </c>
      <c r="S833" s="202">
        <v>2</v>
      </c>
    </row>
    <row r="834" spans="1:19" x14ac:dyDescent="0.35">
      <c r="A834" s="202">
        <v>62</v>
      </c>
      <c r="B834" s="202">
        <v>76</v>
      </c>
      <c r="C834" s="202">
        <v>3</v>
      </c>
      <c r="D834" s="202">
        <v>15</v>
      </c>
      <c r="E834" s="202">
        <v>2</v>
      </c>
      <c r="F834" s="202">
        <v>1</v>
      </c>
      <c r="G834" s="202">
        <v>19</v>
      </c>
      <c r="H834" s="202">
        <v>4</v>
      </c>
      <c r="I834" s="202">
        <v>2</v>
      </c>
      <c r="K834" s="202">
        <v>54</v>
      </c>
      <c r="L834" s="202">
        <v>106</v>
      </c>
      <c r="M834" s="202">
        <v>1</v>
      </c>
      <c r="N834" s="202">
        <v>4</v>
      </c>
      <c r="O834" s="202">
        <v>49</v>
      </c>
      <c r="P834" s="202">
        <v>2</v>
      </c>
      <c r="Q834" s="202">
        <v>20</v>
      </c>
      <c r="R834" s="202">
        <v>48</v>
      </c>
      <c r="S834" s="202">
        <v>1</v>
      </c>
    </row>
    <row r="835" spans="1:19" x14ac:dyDescent="0.35">
      <c r="A835" s="202">
        <v>62</v>
      </c>
      <c r="B835" s="202">
        <v>76</v>
      </c>
      <c r="C835" s="202">
        <v>3</v>
      </c>
      <c r="D835" s="202">
        <v>15</v>
      </c>
      <c r="E835" s="202">
        <v>2</v>
      </c>
      <c r="F835" s="202">
        <v>4</v>
      </c>
      <c r="G835" s="202">
        <v>19</v>
      </c>
      <c r="H835" s="202">
        <v>12</v>
      </c>
      <c r="I835" s="202">
        <v>2</v>
      </c>
      <c r="K835" s="202">
        <v>14</v>
      </c>
      <c r="L835" s="202">
        <v>73</v>
      </c>
      <c r="M835" s="202">
        <v>4</v>
      </c>
      <c r="N835" s="202">
        <v>15</v>
      </c>
      <c r="O835" s="202">
        <v>50</v>
      </c>
      <c r="P835" s="202">
        <v>2</v>
      </c>
      <c r="Q835" s="202">
        <v>2</v>
      </c>
      <c r="R835" s="202">
        <v>41</v>
      </c>
      <c r="S835" s="202">
        <v>1</v>
      </c>
    </row>
    <row r="836" spans="1:19" x14ac:dyDescent="0.35">
      <c r="A836" s="202">
        <v>62</v>
      </c>
      <c r="B836" s="202">
        <v>25</v>
      </c>
      <c r="C836" s="202">
        <v>2</v>
      </c>
      <c r="D836" s="202">
        <v>13</v>
      </c>
      <c r="E836" s="202">
        <v>49</v>
      </c>
      <c r="F836" s="202">
        <v>2</v>
      </c>
      <c r="G836" s="202">
        <v>14</v>
      </c>
      <c r="H836" s="202">
        <v>84</v>
      </c>
      <c r="I836" s="202">
        <v>1</v>
      </c>
      <c r="K836" s="202">
        <v>44</v>
      </c>
      <c r="L836" s="202">
        <v>28</v>
      </c>
      <c r="M836" s="202">
        <v>4</v>
      </c>
      <c r="N836" s="202">
        <v>10</v>
      </c>
      <c r="O836" s="202">
        <v>48</v>
      </c>
      <c r="P836" s="202">
        <v>1</v>
      </c>
      <c r="Q836" s="202">
        <v>10</v>
      </c>
      <c r="R836" s="202">
        <v>48</v>
      </c>
      <c r="S836" s="202">
        <v>2</v>
      </c>
    </row>
    <row r="837" spans="1:19" x14ac:dyDescent="0.35">
      <c r="A837" s="202">
        <v>62</v>
      </c>
      <c r="B837" s="202">
        <v>25</v>
      </c>
      <c r="C837" s="202">
        <v>2</v>
      </c>
      <c r="D837" s="202">
        <v>13</v>
      </c>
      <c r="E837" s="202">
        <v>49</v>
      </c>
      <c r="F837" s="202">
        <v>4</v>
      </c>
      <c r="G837" s="202">
        <v>19</v>
      </c>
      <c r="H837" s="202">
        <v>92</v>
      </c>
      <c r="I837" s="202">
        <v>1</v>
      </c>
      <c r="K837" s="202">
        <v>1</v>
      </c>
      <c r="L837" s="202">
        <v>17</v>
      </c>
      <c r="M837" s="202">
        <v>4</v>
      </c>
      <c r="N837" s="202">
        <v>15</v>
      </c>
      <c r="O837" s="202">
        <v>6</v>
      </c>
      <c r="P837" s="202">
        <v>1</v>
      </c>
      <c r="Q837" s="202">
        <v>20</v>
      </c>
      <c r="R837" s="202">
        <v>3</v>
      </c>
      <c r="S837" s="202">
        <v>2</v>
      </c>
    </row>
    <row r="838" spans="1:19" x14ac:dyDescent="0.35">
      <c r="A838" s="202">
        <v>62</v>
      </c>
      <c r="B838" s="202">
        <v>24</v>
      </c>
      <c r="C838" s="202">
        <v>2</v>
      </c>
      <c r="D838" s="202">
        <v>13</v>
      </c>
      <c r="E838" s="202">
        <v>50</v>
      </c>
      <c r="F838" s="202">
        <v>3</v>
      </c>
      <c r="G838" s="202">
        <v>1</v>
      </c>
      <c r="H838" s="202">
        <v>93</v>
      </c>
      <c r="I838" s="202">
        <v>1</v>
      </c>
      <c r="K838" s="202">
        <v>41</v>
      </c>
      <c r="L838" s="202">
        <v>11</v>
      </c>
      <c r="M838" s="202">
        <v>2</v>
      </c>
      <c r="N838" s="202">
        <v>9</v>
      </c>
      <c r="O838" s="202">
        <v>25</v>
      </c>
      <c r="P838" s="202">
        <v>4</v>
      </c>
      <c r="Q838" s="202">
        <v>20</v>
      </c>
      <c r="R838" s="202">
        <v>60</v>
      </c>
      <c r="S838" s="202">
        <v>2</v>
      </c>
    </row>
    <row r="839" spans="1:19" x14ac:dyDescent="0.35">
      <c r="A839" s="202">
        <v>62</v>
      </c>
      <c r="B839" s="202">
        <v>24</v>
      </c>
      <c r="C839" s="202">
        <v>2</v>
      </c>
      <c r="D839" s="202">
        <v>13</v>
      </c>
      <c r="E839" s="202">
        <v>50</v>
      </c>
      <c r="F839" s="202">
        <v>5</v>
      </c>
      <c r="G839" s="202">
        <v>19</v>
      </c>
      <c r="H839" s="202">
        <v>91</v>
      </c>
      <c r="I839" s="202">
        <v>1</v>
      </c>
      <c r="K839" s="202">
        <v>76</v>
      </c>
      <c r="L839" s="202">
        <v>30</v>
      </c>
      <c r="M839" s="202">
        <v>4</v>
      </c>
      <c r="N839" s="202">
        <v>4</v>
      </c>
      <c r="O839" s="202">
        <v>43</v>
      </c>
      <c r="P839" s="202">
        <v>3</v>
      </c>
      <c r="Q839" s="202">
        <v>2</v>
      </c>
      <c r="R839" s="202">
        <v>7</v>
      </c>
      <c r="S839" s="202">
        <v>2</v>
      </c>
    </row>
    <row r="840" spans="1:19" x14ac:dyDescent="0.35">
      <c r="A840" s="202">
        <v>62</v>
      </c>
      <c r="B840" s="202">
        <v>33</v>
      </c>
      <c r="C840" s="202">
        <v>3</v>
      </c>
      <c r="D840" s="202">
        <v>15</v>
      </c>
      <c r="E840" s="202">
        <v>40</v>
      </c>
      <c r="F840" s="202">
        <v>2</v>
      </c>
      <c r="G840" s="202">
        <v>1</v>
      </c>
      <c r="H840" s="202">
        <v>39</v>
      </c>
      <c r="I840" s="202">
        <v>2</v>
      </c>
      <c r="K840" s="202">
        <v>43</v>
      </c>
      <c r="L840" s="202">
        <v>37</v>
      </c>
      <c r="M840" s="202">
        <v>4</v>
      </c>
      <c r="N840" s="202">
        <v>11</v>
      </c>
      <c r="O840" s="202">
        <v>43</v>
      </c>
      <c r="P840" s="202">
        <v>3</v>
      </c>
      <c r="Q840" s="202">
        <v>11</v>
      </c>
      <c r="R840" s="202">
        <v>3</v>
      </c>
      <c r="S840" s="202">
        <v>2</v>
      </c>
    </row>
    <row r="841" spans="1:19" x14ac:dyDescent="0.35">
      <c r="A841" s="202">
        <v>62</v>
      </c>
      <c r="B841" s="202">
        <v>33</v>
      </c>
      <c r="C841" s="202">
        <v>3</v>
      </c>
      <c r="D841" s="202">
        <v>15</v>
      </c>
      <c r="E841" s="202">
        <v>40</v>
      </c>
      <c r="F841" s="202">
        <v>4</v>
      </c>
      <c r="G841" s="202">
        <v>7</v>
      </c>
      <c r="H841" s="202">
        <v>49</v>
      </c>
      <c r="I841" s="202">
        <v>2</v>
      </c>
      <c r="K841" s="202">
        <v>73</v>
      </c>
      <c r="L841" s="202">
        <v>24</v>
      </c>
      <c r="M841" s="202">
        <v>4</v>
      </c>
      <c r="N841" s="202">
        <v>10</v>
      </c>
      <c r="O841" s="202">
        <v>47</v>
      </c>
      <c r="P841" s="202">
        <v>2</v>
      </c>
      <c r="Q841" s="202">
        <v>11</v>
      </c>
      <c r="R841" s="202">
        <v>29</v>
      </c>
      <c r="S841" s="202">
        <v>2</v>
      </c>
    </row>
    <row r="842" spans="1:19" x14ac:dyDescent="0.35">
      <c r="A842" s="202">
        <v>62</v>
      </c>
      <c r="B842" s="202">
        <v>46</v>
      </c>
      <c r="C842" s="202">
        <v>4</v>
      </c>
      <c r="D842" s="202">
        <v>15</v>
      </c>
      <c r="E842" s="202">
        <v>21</v>
      </c>
      <c r="F842" s="202">
        <v>5</v>
      </c>
      <c r="G842" s="202">
        <v>25</v>
      </c>
      <c r="H842" s="202">
        <v>35</v>
      </c>
      <c r="I842" s="202">
        <v>3</v>
      </c>
      <c r="K842" s="202">
        <v>11</v>
      </c>
      <c r="L842" s="202">
        <v>28</v>
      </c>
      <c r="M842" s="202">
        <v>4</v>
      </c>
      <c r="N842" s="202">
        <v>15</v>
      </c>
      <c r="O842" s="202">
        <v>25</v>
      </c>
      <c r="P842" s="202">
        <v>3</v>
      </c>
      <c r="Q842" s="202">
        <v>2</v>
      </c>
      <c r="R842" s="202">
        <v>1</v>
      </c>
      <c r="S842" s="202">
        <v>2</v>
      </c>
    </row>
    <row r="843" spans="1:19" x14ac:dyDescent="0.35">
      <c r="A843" s="202">
        <v>63</v>
      </c>
      <c r="B843" s="202">
        <v>78</v>
      </c>
      <c r="C843" s="202">
        <v>3</v>
      </c>
      <c r="D843" s="202">
        <v>18</v>
      </c>
      <c r="E843" s="202">
        <v>48</v>
      </c>
      <c r="F843" s="202">
        <v>1</v>
      </c>
      <c r="G843" s="202">
        <v>19</v>
      </c>
      <c r="H843" s="202">
        <v>46</v>
      </c>
      <c r="I843" s="202">
        <v>2</v>
      </c>
      <c r="K843" s="202">
        <v>74</v>
      </c>
      <c r="L843" s="202">
        <v>25</v>
      </c>
      <c r="M843" s="202">
        <v>2</v>
      </c>
      <c r="N843" s="202">
        <v>17</v>
      </c>
      <c r="O843" s="202">
        <v>30</v>
      </c>
      <c r="P843" s="202">
        <v>1</v>
      </c>
      <c r="Q843" s="202">
        <v>8</v>
      </c>
      <c r="R843" s="202">
        <v>35</v>
      </c>
      <c r="S843" s="202">
        <v>2</v>
      </c>
    </row>
    <row r="844" spans="1:19" x14ac:dyDescent="0.35">
      <c r="A844" s="202">
        <v>63</v>
      </c>
      <c r="B844" s="202">
        <v>78</v>
      </c>
      <c r="C844" s="202">
        <v>3</v>
      </c>
      <c r="D844" s="202">
        <v>18</v>
      </c>
      <c r="E844" s="202">
        <v>48</v>
      </c>
      <c r="F844" s="202">
        <v>3</v>
      </c>
      <c r="G844" s="202">
        <v>14</v>
      </c>
      <c r="H844" s="202">
        <v>20</v>
      </c>
      <c r="I844" s="202">
        <v>2</v>
      </c>
      <c r="K844" s="202">
        <v>36</v>
      </c>
      <c r="L844" s="202">
        <v>108</v>
      </c>
      <c r="M844" s="202">
        <v>1</v>
      </c>
      <c r="N844" s="202">
        <v>8</v>
      </c>
      <c r="O844" s="202">
        <v>26</v>
      </c>
      <c r="P844" s="202">
        <v>3</v>
      </c>
      <c r="Q844" s="202">
        <v>10</v>
      </c>
      <c r="R844" s="202">
        <v>3</v>
      </c>
      <c r="S844" s="202">
        <v>2</v>
      </c>
    </row>
    <row r="845" spans="1:19" x14ac:dyDescent="0.35">
      <c r="A845" s="202">
        <v>63</v>
      </c>
      <c r="B845" s="202">
        <v>101</v>
      </c>
      <c r="C845" s="202">
        <v>4</v>
      </c>
      <c r="D845" s="202">
        <v>18</v>
      </c>
      <c r="E845" s="202">
        <v>43</v>
      </c>
      <c r="F845" s="202">
        <v>1</v>
      </c>
      <c r="G845" s="202">
        <v>14</v>
      </c>
      <c r="H845" s="202">
        <v>98</v>
      </c>
      <c r="I845" s="202">
        <v>2</v>
      </c>
      <c r="K845" s="202">
        <v>83</v>
      </c>
      <c r="L845" s="202">
        <v>5</v>
      </c>
      <c r="M845" s="202">
        <v>4</v>
      </c>
      <c r="N845" s="202">
        <v>11</v>
      </c>
      <c r="O845" s="202">
        <v>27</v>
      </c>
      <c r="P845" s="202">
        <v>5</v>
      </c>
      <c r="Q845" s="202">
        <v>18</v>
      </c>
      <c r="R845" s="202">
        <v>18</v>
      </c>
      <c r="S845" s="202">
        <v>1</v>
      </c>
    </row>
    <row r="846" spans="1:19" x14ac:dyDescent="0.35">
      <c r="A846" s="202">
        <v>63</v>
      </c>
      <c r="B846" s="202">
        <v>101</v>
      </c>
      <c r="C846" s="202">
        <v>4</v>
      </c>
      <c r="D846" s="202">
        <v>18</v>
      </c>
      <c r="E846" s="202">
        <v>43</v>
      </c>
      <c r="F846" s="202">
        <v>3</v>
      </c>
      <c r="G846" s="202">
        <v>14</v>
      </c>
      <c r="H846" s="202">
        <v>18</v>
      </c>
      <c r="I846" s="202">
        <v>2</v>
      </c>
      <c r="K846" s="202">
        <v>6</v>
      </c>
      <c r="L846" s="202">
        <v>87</v>
      </c>
      <c r="M846" s="202">
        <v>1</v>
      </c>
      <c r="N846" s="202">
        <v>4</v>
      </c>
      <c r="O846" s="202">
        <v>50</v>
      </c>
      <c r="P846" s="202">
        <v>4</v>
      </c>
      <c r="Q846" s="202">
        <v>20</v>
      </c>
      <c r="R846" s="202">
        <v>34</v>
      </c>
      <c r="S846" s="202">
        <v>1</v>
      </c>
    </row>
    <row r="847" spans="1:19" x14ac:dyDescent="0.35">
      <c r="A847" s="202">
        <v>63</v>
      </c>
      <c r="B847" s="202">
        <v>100</v>
      </c>
      <c r="C847" s="202">
        <v>3</v>
      </c>
      <c r="D847" s="202">
        <v>18</v>
      </c>
      <c r="E847" s="202">
        <v>26</v>
      </c>
      <c r="F847" s="202">
        <v>3</v>
      </c>
      <c r="G847" s="202">
        <v>1</v>
      </c>
      <c r="H847" s="202">
        <v>18</v>
      </c>
      <c r="I847" s="202">
        <v>2</v>
      </c>
      <c r="K847" s="202">
        <v>59</v>
      </c>
      <c r="L847" s="202">
        <v>25</v>
      </c>
      <c r="M847" s="202">
        <v>4</v>
      </c>
      <c r="N847" s="202">
        <v>17</v>
      </c>
      <c r="O847" s="202">
        <v>49</v>
      </c>
      <c r="P847" s="202">
        <v>4</v>
      </c>
      <c r="Q847" s="202">
        <v>11</v>
      </c>
      <c r="R847" s="202">
        <v>35</v>
      </c>
      <c r="S847" s="202">
        <v>2</v>
      </c>
    </row>
    <row r="848" spans="1:19" x14ac:dyDescent="0.35">
      <c r="A848" s="202">
        <v>63</v>
      </c>
      <c r="B848" s="202">
        <v>100</v>
      </c>
      <c r="C848" s="202">
        <v>3</v>
      </c>
      <c r="D848" s="202">
        <v>18</v>
      </c>
      <c r="E848" s="202">
        <v>26</v>
      </c>
      <c r="F848" s="202">
        <v>5</v>
      </c>
      <c r="G848" s="202">
        <v>10</v>
      </c>
      <c r="H848" s="202">
        <v>19</v>
      </c>
      <c r="I848" s="202">
        <v>2</v>
      </c>
      <c r="K848" s="202">
        <v>12</v>
      </c>
      <c r="L848" s="202">
        <v>84</v>
      </c>
      <c r="M848" s="202">
        <v>2</v>
      </c>
      <c r="N848" s="202">
        <v>16</v>
      </c>
      <c r="O848" s="202">
        <v>42</v>
      </c>
      <c r="P848" s="202">
        <v>1</v>
      </c>
      <c r="Q848" s="202">
        <v>19</v>
      </c>
      <c r="R848" s="202">
        <v>20</v>
      </c>
      <c r="S848" s="202">
        <v>2</v>
      </c>
    </row>
    <row r="849" spans="1:19" x14ac:dyDescent="0.35">
      <c r="A849" s="202">
        <v>63</v>
      </c>
      <c r="B849" s="202">
        <v>102</v>
      </c>
      <c r="C849" s="202">
        <v>3</v>
      </c>
      <c r="D849" s="202">
        <v>18</v>
      </c>
      <c r="E849" s="202">
        <v>26</v>
      </c>
      <c r="F849" s="202">
        <v>2</v>
      </c>
      <c r="G849" s="202">
        <v>25</v>
      </c>
      <c r="H849" s="202">
        <v>29</v>
      </c>
      <c r="I849" s="202">
        <v>2</v>
      </c>
      <c r="K849" s="202">
        <v>71</v>
      </c>
      <c r="L849" s="202">
        <v>67</v>
      </c>
      <c r="M849" s="202">
        <v>2</v>
      </c>
      <c r="N849" s="202">
        <v>8</v>
      </c>
      <c r="O849" s="202">
        <v>26</v>
      </c>
      <c r="P849" s="202">
        <v>2</v>
      </c>
      <c r="Q849" s="202">
        <v>7</v>
      </c>
      <c r="R849" s="202">
        <v>74</v>
      </c>
      <c r="S849" s="202">
        <v>2</v>
      </c>
    </row>
    <row r="850" spans="1:19" x14ac:dyDescent="0.35">
      <c r="A850" s="202">
        <v>63</v>
      </c>
      <c r="B850" s="202">
        <v>102</v>
      </c>
      <c r="C850" s="202">
        <v>3</v>
      </c>
      <c r="D850" s="202">
        <v>18</v>
      </c>
      <c r="E850" s="202">
        <v>26</v>
      </c>
      <c r="F850" s="202">
        <v>4</v>
      </c>
      <c r="G850" s="202">
        <v>25</v>
      </c>
      <c r="H850" s="202">
        <v>29</v>
      </c>
      <c r="I850" s="202">
        <v>2</v>
      </c>
      <c r="K850" s="202">
        <v>26</v>
      </c>
      <c r="L850" s="202">
        <v>42</v>
      </c>
      <c r="M850" s="202">
        <v>3</v>
      </c>
      <c r="N850" s="202">
        <v>15</v>
      </c>
      <c r="O850" s="202">
        <v>51</v>
      </c>
      <c r="P850" s="202">
        <v>3</v>
      </c>
      <c r="Q850" s="202">
        <v>11</v>
      </c>
      <c r="R850" s="202">
        <v>8</v>
      </c>
      <c r="S850" s="202">
        <v>2</v>
      </c>
    </row>
    <row r="851" spans="1:19" x14ac:dyDescent="0.35">
      <c r="A851" s="202">
        <v>63</v>
      </c>
      <c r="B851" s="202">
        <v>103</v>
      </c>
      <c r="C851" s="202">
        <v>4</v>
      </c>
      <c r="D851" s="202">
        <v>10</v>
      </c>
      <c r="E851" s="202">
        <v>1</v>
      </c>
      <c r="F851" s="202">
        <v>2</v>
      </c>
      <c r="G851" s="202">
        <v>2</v>
      </c>
      <c r="H851" s="202">
        <v>28</v>
      </c>
      <c r="I851" s="202">
        <v>2</v>
      </c>
      <c r="K851" s="202">
        <v>14</v>
      </c>
      <c r="L851" s="202">
        <v>50</v>
      </c>
      <c r="M851" s="202">
        <v>2</v>
      </c>
      <c r="N851" s="202">
        <v>1</v>
      </c>
      <c r="O851" s="202">
        <v>27</v>
      </c>
      <c r="P851" s="202">
        <v>2</v>
      </c>
      <c r="Q851" s="202">
        <v>11</v>
      </c>
      <c r="R851" s="202">
        <v>8</v>
      </c>
      <c r="S851" s="202">
        <v>2</v>
      </c>
    </row>
    <row r="852" spans="1:19" x14ac:dyDescent="0.35">
      <c r="A852" s="202">
        <v>63</v>
      </c>
      <c r="B852" s="202">
        <v>103</v>
      </c>
      <c r="C852" s="202">
        <v>4</v>
      </c>
      <c r="D852" s="202">
        <v>10</v>
      </c>
      <c r="E852" s="202">
        <v>1</v>
      </c>
      <c r="F852" s="202">
        <v>3</v>
      </c>
      <c r="G852" s="202">
        <v>20</v>
      </c>
      <c r="H852" s="202">
        <v>52</v>
      </c>
      <c r="I852" s="202">
        <v>2</v>
      </c>
      <c r="K852" s="202">
        <v>39</v>
      </c>
      <c r="L852" s="202">
        <v>37</v>
      </c>
      <c r="M852" s="202">
        <v>2</v>
      </c>
      <c r="N852" s="202">
        <v>17</v>
      </c>
      <c r="O852" s="202">
        <v>26</v>
      </c>
      <c r="P852" s="202">
        <v>1</v>
      </c>
      <c r="Q852" s="202">
        <v>20</v>
      </c>
      <c r="R852" s="202">
        <v>28</v>
      </c>
      <c r="S852" s="202">
        <v>2</v>
      </c>
    </row>
    <row r="853" spans="1:19" x14ac:dyDescent="0.35">
      <c r="A853" s="202">
        <v>64</v>
      </c>
      <c r="B853" s="202">
        <v>104</v>
      </c>
      <c r="C853" s="202">
        <v>2</v>
      </c>
      <c r="D853" s="202">
        <v>10</v>
      </c>
      <c r="E853" s="202">
        <v>26</v>
      </c>
      <c r="F853" s="202">
        <v>2</v>
      </c>
      <c r="G853" s="202">
        <v>2</v>
      </c>
      <c r="H853" s="202">
        <v>99</v>
      </c>
      <c r="I853" s="202">
        <v>2</v>
      </c>
      <c r="K853" s="202">
        <v>3</v>
      </c>
      <c r="L853" s="202">
        <v>104</v>
      </c>
      <c r="M853" s="202">
        <v>4</v>
      </c>
      <c r="N853" s="202">
        <v>15</v>
      </c>
      <c r="O853" s="202">
        <v>1</v>
      </c>
      <c r="P853" s="202">
        <v>5</v>
      </c>
      <c r="Q853" s="202">
        <v>20</v>
      </c>
      <c r="R853" s="202">
        <v>93</v>
      </c>
      <c r="S853" s="202">
        <v>2</v>
      </c>
    </row>
    <row r="854" spans="1:19" x14ac:dyDescent="0.35">
      <c r="A854" s="202">
        <v>64</v>
      </c>
      <c r="B854" s="202">
        <v>104</v>
      </c>
      <c r="C854" s="202">
        <v>2</v>
      </c>
      <c r="D854" s="202">
        <v>10</v>
      </c>
      <c r="E854" s="202">
        <v>26</v>
      </c>
      <c r="F854" s="202">
        <v>5</v>
      </c>
      <c r="G854" s="202">
        <v>20</v>
      </c>
      <c r="H854" s="202">
        <v>8</v>
      </c>
      <c r="I854" s="202">
        <v>2</v>
      </c>
      <c r="K854" s="202">
        <v>57</v>
      </c>
      <c r="L854" s="202">
        <v>25</v>
      </c>
      <c r="M854" s="202">
        <v>2</v>
      </c>
      <c r="N854" s="202">
        <v>8</v>
      </c>
      <c r="O854" s="202">
        <v>53</v>
      </c>
      <c r="P854" s="202">
        <v>4</v>
      </c>
      <c r="Q854" s="202">
        <v>22</v>
      </c>
      <c r="R854" s="202">
        <v>33</v>
      </c>
      <c r="S854" s="202">
        <v>1</v>
      </c>
    </row>
    <row r="855" spans="1:19" x14ac:dyDescent="0.35">
      <c r="A855" s="202">
        <v>64</v>
      </c>
      <c r="B855" s="202">
        <v>104</v>
      </c>
      <c r="C855" s="202">
        <v>2</v>
      </c>
      <c r="D855" s="202">
        <v>10</v>
      </c>
      <c r="E855" s="202">
        <v>27</v>
      </c>
      <c r="F855" s="202">
        <v>2</v>
      </c>
      <c r="G855" s="202">
        <v>11</v>
      </c>
      <c r="H855" s="202">
        <v>24</v>
      </c>
      <c r="I855" s="202">
        <v>1</v>
      </c>
      <c r="K855" s="202">
        <v>66</v>
      </c>
      <c r="L855" s="202">
        <v>60</v>
      </c>
      <c r="M855" s="202">
        <v>4</v>
      </c>
      <c r="N855" s="202">
        <v>8</v>
      </c>
      <c r="O855" s="202">
        <v>45</v>
      </c>
      <c r="P855" s="202">
        <v>5</v>
      </c>
      <c r="Q855" s="202">
        <v>18</v>
      </c>
      <c r="R855" s="202">
        <v>10</v>
      </c>
      <c r="S855" s="202">
        <v>3</v>
      </c>
    </row>
    <row r="856" spans="1:19" x14ac:dyDescent="0.35">
      <c r="A856" s="202">
        <v>64</v>
      </c>
      <c r="B856" s="202">
        <v>104</v>
      </c>
      <c r="C856" s="202">
        <v>2</v>
      </c>
      <c r="D856" s="202">
        <v>10</v>
      </c>
      <c r="E856" s="202">
        <v>27</v>
      </c>
      <c r="F856" s="202">
        <v>5</v>
      </c>
      <c r="G856" s="202">
        <v>20</v>
      </c>
      <c r="H856" s="202">
        <v>30</v>
      </c>
      <c r="I856" s="202">
        <v>1</v>
      </c>
      <c r="K856" s="202">
        <v>35</v>
      </c>
      <c r="L856" s="202">
        <v>33</v>
      </c>
      <c r="M856" s="202">
        <v>2</v>
      </c>
      <c r="N856" s="202">
        <v>15</v>
      </c>
      <c r="O856" s="202">
        <v>51</v>
      </c>
      <c r="P856" s="202">
        <v>1</v>
      </c>
      <c r="Q856" s="202">
        <v>11</v>
      </c>
      <c r="R856" s="202">
        <v>31</v>
      </c>
      <c r="S856" s="202">
        <v>2</v>
      </c>
    </row>
    <row r="857" spans="1:19" x14ac:dyDescent="0.35">
      <c r="A857" s="202">
        <v>64</v>
      </c>
      <c r="B857" s="202">
        <v>49</v>
      </c>
      <c r="C857" s="202">
        <v>2</v>
      </c>
      <c r="D857" s="202">
        <v>10</v>
      </c>
      <c r="E857" s="202">
        <v>27</v>
      </c>
      <c r="F857" s="202">
        <v>1</v>
      </c>
      <c r="G857" s="202">
        <v>20</v>
      </c>
      <c r="H857" s="202">
        <v>45</v>
      </c>
      <c r="I857" s="202">
        <v>2</v>
      </c>
      <c r="K857" s="202">
        <v>80</v>
      </c>
      <c r="L857" s="202">
        <v>25</v>
      </c>
      <c r="M857" s="202">
        <v>2</v>
      </c>
      <c r="N857" s="202">
        <v>10</v>
      </c>
      <c r="O857" s="202">
        <v>42</v>
      </c>
      <c r="P857" s="202">
        <v>1</v>
      </c>
      <c r="Q857" s="202">
        <v>2</v>
      </c>
      <c r="R857" s="202">
        <v>20</v>
      </c>
      <c r="S857" s="202">
        <v>2</v>
      </c>
    </row>
    <row r="858" spans="1:19" x14ac:dyDescent="0.35">
      <c r="A858" s="202">
        <v>64</v>
      </c>
      <c r="B858" s="202">
        <v>49</v>
      </c>
      <c r="C858" s="202">
        <v>2</v>
      </c>
      <c r="D858" s="202">
        <v>10</v>
      </c>
      <c r="E858" s="202">
        <v>27</v>
      </c>
      <c r="F858" s="202">
        <v>3</v>
      </c>
      <c r="G858" s="202">
        <v>20</v>
      </c>
      <c r="H858" s="202">
        <v>30</v>
      </c>
      <c r="I858" s="202">
        <v>2</v>
      </c>
      <c r="K858" s="202">
        <v>80</v>
      </c>
      <c r="L858" s="202">
        <v>25</v>
      </c>
      <c r="M858" s="202">
        <v>1</v>
      </c>
      <c r="N858" s="202">
        <v>10</v>
      </c>
      <c r="O858" s="202">
        <v>42</v>
      </c>
      <c r="P858" s="202">
        <v>2</v>
      </c>
      <c r="Q858" s="202">
        <v>2</v>
      </c>
      <c r="R858" s="202">
        <v>7</v>
      </c>
      <c r="S858" s="202">
        <v>2</v>
      </c>
    </row>
    <row r="859" spans="1:19" x14ac:dyDescent="0.35">
      <c r="A859" s="202">
        <v>64</v>
      </c>
      <c r="B859" s="202">
        <v>24</v>
      </c>
      <c r="C859" s="202">
        <v>2</v>
      </c>
      <c r="D859" s="202">
        <v>4</v>
      </c>
      <c r="E859" s="202">
        <v>48</v>
      </c>
      <c r="F859" s="202">
        <v>2</v>
      </c>
      <c r="G859" s="202">
        <v>23</v>
      </c>
      <c r="H859" s="202">
        <v>7</v>
      </c>
      <c r="I859" s="202">
        <v>2</v>
      </c>
      <c r="K859" s="202">
        <v>73</v>
      </c>
      <c r="L859" s="202">
        <v>25</v>
      </c>
      <c r="M859" s="202">
        <v>3</v>
      </c>
      <c r="N859" s="202">
        <v>8</v>
      </c>
      <c r="O859" s="202">
        <v>1</v>
      </c>
      <c r="P859" s="202">
        <v>2</v>
      </c>
      <c r="Q859" s="202">
        <v>7</v>
      </c>
      <c r="R859" s="202">
        <v>28</v>
      </c>
      <c r="S859" s="202">
        <v>1</v>
      </c>
    </row>
    <row r="860" spans="1:19" x14ac:dyDescent="0.35">
      <c r="A860" s="202">
        <v>64</v>
      </c>
      <c r="B860" s="202">
        <v>24</v>
      </c>
      <c r="C860" s="202">
        <v>2</v>
      </c>
      <c r="D860" s="202">
        <v>4</v>
      </c>
      <c r="E860" s="202">
        <v>48</v>
      </c>
      <c r="F860" s="202">
        <v>5</v>
      </c>
      <c r="G860" s="202">
        <v>23</v>
      </c>
      <c r="H860" s="202">
        <v>7</v>
      </c>
      <c r="I860" s="202">
        <v>2</v>
      </c>
      <c r="K860" s="202">
        <v>76</v>
      </c>
      <c r="L860" s="202">
        <v>63</v>
      </c>
      <c r="M860" s="202">
        <v>4</v>
      </c>
      <c r="N860" s="202">
        <v>13</v>
      </c>
      <c r="O860" s="202">
        <v>28</v>
      </c>
      <c r="P860" s="202">
        <v>1</v>
      </c>
      <c r="Q860" s="202">
        <v>8</v>
      </c>
      <c r="R860" s="202">
        <v>56</v>
      </c>
      <c r="S860" s="202">
        <v>2</v>
      </c>
    </row>
    <row r="861" spans="1:19" x14ac:dyDescent="0.35">
      <c r="A861" s="202">
        <v>64</v>
      </c>
      <c r="B861" s="202">
        <v>48</v>
      </c>
      <c r="C861" s="202">
        <v>2</v>
      </c>
      <c r="D861" s="202">
        <v>4</v>
      </c>
      <c r="E861" s="202">
        <v>25</v>
      </c>
      <c r="F861" s="202">
        <v>1</v>
      </c>
      <c r="G861" s="202">
        <v>11</v>
      </c>
      <c r="H861" s="202">
        <v>27</v>
      </c>
      <c r="I861" s="202">
        <v>1</v>
      </c>
      <c r="K861" s="202">
        <v>1</v>
      </c>
      <c r="L861" s="202">
        <v>24</v>
      </c>
      <c r="M861" s="202">
        <v>2</v>
      </c>
      <c r="N861" s="202">
        <v>9</v>
      </c>
      <c r="O861" s="202">
        <v>50</v>
      </c>
      <c r="P861" s="202">
        <v>2</v>
      </c>
      <c r="Q861" s="202">
        <v>24</v>
      </c>
      <c r="R861" s="202">
        <v>10</v>
      </c>
      <c r="S861" s="202">
        <v>1</v>
      </c>
    </row>
    <row r="862" spans="1:19" x14ac:dyDescent="0.35">
      <c r="A862" s="202">
        <v>64</v>
      </c>
      <c r="B862" s="202">
        <v>48</v>
      </c>
      <c r="C862" s="202">
        <v>2</v>
      </c>
      <c r="D862" s="202">
        <v>4</v>
      </c>
      <c r="E862" s="202">
        <v>25</v>
      </c>
      <c r="F862" s="202">
        <v>5</v>
      </c>
      <c r="G862" s="202">
        <v>8</v>
      </c>
      <c r="H862" s="202">
        <v>20</v>
      </c>
      <c r="I862" s="202">
        <v>1</v>
      </c>
      <c r="K862" s="202">
        <v>59</v>
      </c>
      <c r="L862" s="202">
        <v>20</v>
      </c>
      <c r="M862" s="202">
        <v>4</v>
      </c>
      <c r="N862" s="202">
        <v>8</v>
      </c>
      <c r="O862" s="202">
        <v>44</v>
      </c>
      <c r="P862" s="202">
        <v>2</v>
      </c>
      <c r="Q862" s="202">
        <v>20</v>
      </c>
      <c r="R862" s="202">
        <v>30</v>
      </c>
      <c r="S862" s="202">
        <v>2</v>
      </c>
    </row>
    <row r="863" spans="1:19" x14ac:dyDescent="0.35">
      <c r="A863" s="202">
        <v>64</v>
      </c>
      <c r="B863" s="202">
        <v>26</v>
      </c>
      <c r="C863" s="202">
        <v>4</v>
      </c>
      <c r="D863" s="202">
        <v>8</v>
      </c>
      <c r="E863" s="202">
        <v>43</v>
      </c>
      <c r="F863" s="202">
        <v>2</v>
      </c>
      <c r="G863" s="202">
        <v>22</v>
      </c>
      <c r="H863" s="202">
        <v>1</v>
      </c>
      <c r="I863" s="202">
        <v>1</v>
      </c>
      <c r="K863" s="202">
        <v>2</v>
      </c>
      <c r="L863" s="202">
        <v>33</v>
      </c>
      <c r="M863" s="202">
        <v>1</v>
      </c>
      <c r="N863" s="202">
        <v>15</v>
      </c>
      <c r="O863" s="202">
        <v>48</v>
      </c>
      <c r="P863" s="202">
        <v>2</v>
      </c>
      <c r="Q863" s="202">
        <v>11</v>
      </c>
      <c r="R863" s="202">
        <v>44</v>
      </c>
      <c r="S863" s="202">
        <v>1</v>
      </c>
    </row>
    <row r="864" spans="1:19" x14ac:dyDescent="0.35">
      <c r="A864" s="202">
        <v>64</v>
      </c>
      <c r="B864" s="202">
        <v>26</v>
      </c>
      <c r="C864" s="202">
        <v>4</v>
      </c>
      <c r="D864" s="202">
        <v>8</v>
      </c>
      <c r="E864" s="202">
        <v>43</v>
      </c>
      <c r="F864" s="202">
        <v>4</v>
      </c>
      <c r="G864" s="202">
        <v>18</v>
      </c>
      <c r="H864" s="202">
        <v>1</v>
      </c>
      <c r="I864" s="202">
        <v>1</v>
      </c>
      <c r="K864" s="202">
        <v>47</v>
      </c>
      <c r="L864" s="202">
        <v>81</v>
      </c>
      <c r="M864" s="202">
        <v>2</v>
      </c>
      <c r="N864" s="202">
        <v>15</v>
      </c>
      <c r="O864" s="202">
        <v>48</v>
      </c>
      <c r="P864" s="202">
        <v>4</v>
      </c>
      <c r="Q864" s="202">
        <v>23</v>
      </c>
      <c r="R864" s="202">
        <v>37</v>
      </c>
      <c r="S864" s="202">
        <v>2</v>
      </c>
    </row>
    <row r="865" spans="1:19" x14ac:dyDescent="0.35">
      <c r="A865" s="202">
        <v>64</v>
      </c>
      <c r="B865" s="202">
        <v>26</v>
      </c>
      <c r="C865" s="202">
        <v>4</v>
      </c>
      <c r="D865" s="202">
        <v>8</v>
      </c>
      <c r="E865" s="202">
        <v>44</v>
      </c>
      <c r="F865" s="202">
        <v>1</v>
      </c>
      <c r="G865" s="202">
        <v>22</v>
      </c>
      <c r="H865" s="202">
        <v>21</v>
      </c>
      <c r="I865" s="202">
        <v>1</v>
      </c>
      <c r="K865" s="202">
        <v>31</v>
      </c>
      <c r="L865" s="202">
        <v>94</v>
      </c>
      <c r="M865" s="202">
        <v>4</v>
      </c>
      <c r="N865" s="202">
        <v>8</v>
      </c>
      <c r="O865" s="202">
        <v>49</v>
      </c>
      <c r="P865" s="202">
        <v>1</v>
      </c>
      <c r="Q865" s="202">
        <v>2</v>
      </c>
      <c r="R865" s="202">
        <v>28</v>
      </c>
      <c r="S865" s="202">
        <v>2</v>
      </c>
    </row>
    <row r="866" spans="1:19" x14ac:dyDescent="0.35">
      <c r="A866" s="202">
        <v>64</v>
      </c>
      <c r="B866" s="202">
        <v>26</v>
      </c>
      <c r="C866" s="202">
        <v>4</v>
      </c>
      <c r="D866" s="202">
        <v>8</v>
      </c>
      <c r="E866" s="202">
        <v>44</v>
      </c>
      <c r="F866" s="202">
        <v>3</v>
      </c>
      <c r="G866" s="202">
        <v>19</v>
      </c>
      <c r="H866" s="202">
        <v>21</v>
      </c>
      <c r="I866" s="202">
        <v>1</v>
      </c>
      <c r="K866" s="202">
        <v>56</v>
      </c>
      <c r="L866" s="202">
        <v>24</v>
      </c>
      <c r="M866" s="202">
        <v>2</v>
      </c>
      <c r="N866" s="202">
        <v>10</v>
      </c>
      <c r="O866" s="202">
        <v>51</v>
      </c>
      <c r="P866" s="202">
        <v>3</v>
      </c>
      <c r="Q866" s="202">
        <v>7</v>
      </c>
      <c r="R866" s="202">
        <v>37</v>
      </c>
      <c r="S866" s="202">
        <v>1</v>
      </c>
    </row>
    <row r="867" spans="1:19" x14ac:dyDescent="0.35">
      <c r="A867" s="202">
        <v>65</v>
      </c>
      <c r="B867" s="202">
        <v>50</v>
      </c>
      <c r="C867" s="202">
        <v>3</v>
      </c>
      <c r="D867" s="202">
        <v>4</v>
      </c>
      <c r="E867" s="202">
        <v>42</v>
      </c>
      <c r="F867" s="202">
        <v>1</v>
      </c>
      <c r="G867" s="202">
        <v>19</v>
      </c>
      <c r="H867" s="202">
        <v>41</v>
      </c>
      <c r="I867" s="202">
        <v>2</v>
      </c>
      <c r="K867" s="202">
        <v>35</v>
      </c>
      <c r="L867" s="202">
        <v>94</v>
      </c>
      <c r="M867" s="202">
        <v>3</v>
      </c>
      <c r="N867" s="202">
        <v>12</v>
      </c>
      <c r="O867" s="202">
        <v>43</v>
      </c>
      <c r="P867" s="202">
        <v>2</v>
      </c>
      <c r="Q867" s="202">
        <v>19</v>
      </c>
      <c r="R867" s="202">
        <v>29</v>
      </c>
      <c r="S867" s="202">
        <v>1</v>
      </c>
    </row>
    <row r="868" spans="1:19" x14ac:dyDescent="0.35">
      <c r="A868" s="202">
        <v>65</v>
      </c>
      <c r="B868" s="202">
        <v>50</v>
      </c>
      <c r="C868" s="202">
        <v>3</v>
      </c>
      <c r="D868" s="202">
        <v>4</v>
      </c>
      <c r="E868" s="202">
        <v>42</v>
      </c>
      <c r="F868" s="202">
        <v>3</v>
      </c>
      <c r="G868" s="202">
        <v>19</v>
      </c>
      <c r="H868" s="202">
        <v>24</v>
      </c>
      <c r="I868" s="202">
        <v>2</v>
      </c>
      <c r="K868" s="202">
        <v>31</v>
      </c>
      <c r="L868" s="202">
        <v>27</v>
      </c>
      <c r="M868" s="202">
        <v>3</v>
      </c>
      <c r="N868" s="202">
        <v>17</v>
      </c>
      <c r="O868" s="202">
        <v>42</v>
      </c>
      <c r="P868" s="202">
        <v>5</v>
      </c>
      <c r="Q868" s="202">
        <v>3</v>
      </c>
      <c r="R868" s="202">
        <v>7</v>
      </c>
      <c r="S868" s="202">
        <v>2</v>
      </c>
    </row>
    <row r="869" spans="1:19" x14ac:dyDescent="0.35">
      <c r="A869" s="202">
        <v>65</v>
      </c>
      <c r="B869" s="202">
        <v>50</v>
      </c>
      <c r="C869" s="202">
        <v>3</v>
      </c>
      <c r="D869" s="202">
        <v>15</v>
      </c>
      <c r="E869" s="202">
        <v>42</v>
      </c>
      <c r="F869" s="202">
        <v>2</v>
      </c>
      <c r="G869" s="202">
        <v>19</v>
      </c>
      <c r="H869" s="202">
        <v>21</v>
      </c>
      <c r="I869" s="202">
        <v>2</v>
      </c>
      <c r="K869" s="202">
        <v>30</v>
      </c>
      <c r="L869" s="202">
        <v>46</v>
      </c>
      <c r="M869" s="202">
        <v>3</v>
      </c>
      <c r="N869" s="202">
        <v>17</v>
      </c>
      <c r="O869" s="202">
        <v>43</v>
      </c>
      <c r="P869" s="202">
        <v>3</v>
      </c>
      <c r="Q869" s="202">
        <v>11</v>
      </c>
      <c r="R869" s="202">
        <v>52</v>
      </c>
      <c r="S869" s="202">
        <v>2</v>
      </c>
    </row>
    <row r="870" spans="1:19" x14ac:dyDescent="0.35">
      <c r="A870" s="202">
        <v>65</v>
      </c>
      <c r="B870" s="202">
        <v>50</v>
      </c>
      <c r="C870" s="202">
        <v>3</v>
      </c>
      <c r="D870" s="202">
        <v>15</v>
      </c>
      <c r="E870" s="202">
        <v>42</v>
      </c>
      <c r="F870" s="202">
        <v>5</v>
      </c>
      <c r="G870" s="202">
        <v>10</v>
      </c>
      <c r="H870" s="202">
        <v>5</v>
      </c>
      <c r="I870" s="202">
        <v>2</v>
      </c>
      <c r="K870" s="202">
        <v>24</v>
      </c>
      <c r="L870" s="202">
        <v>47</v>
      </c>
      <c r="M870" s="202">
        <v>4</v>
      </c>
      <c r="N870" s="202">
        <v>8</v>
      </c>
      <c r="O870" s="202">
        <v>42</v>
      </c>
      <c r="P870" s="202">
        <v>5</v>
      </c>
      <c r="Q870" s="202">
        <v>20</v>
      </c>
      <c r="R870" s="202">
        <v>7</v>
      </c>
      <c r="S870" s="202">
        <v>1</v>
      </c>
    </row>
    <row r="871" spans="1:19" x14ac:dyDescent="0.35">
      <c r="A871" s="202">
        <v>65</v>
      </c>
      <c r="B871" s="202">
        <v>50</v>
      </c>
      <c r="C871" s="202">
        <v>3</v>
      </c>
      <c r="D871" s="202">
        <v>15</v>
      </c>
      <c r="E871" s="202">
        <v>43</v>
      </c>
      <c r="F871" s="202">
        <v>1</v>
      </c>
      <c r="G871" s="202">
        <v>10</v>
      </c>
      <c r="H871" s="202">
        <v>35</v>
      </c>
      <c r="I871" s="202">
        <v>2</v>
      </c>
      <c r="K871" s="202">
        <v>48</v>
      </c>
      <c r="L871" s="202">
        <v>75</v>
      </c>
      <c r="M871" s="202">
        <v>2</v>
      </c>
      <c r="N871" s="202">
        <v>12</v>
      </c>
      <c r="O871" s="202">
        <v>1</v>
      </c>
      <c r="P871" s="202">
        <v>1</v>
      </c>
      <c r="Q871" s="202">
        <v>10</v>
      </c>
      <c r="R871" s="202">
        <v>4</v>
      </c>
      <c r="S871" s="202">
        <v>2</v>
      </c>
    </row>
    <row r="872" spans="1:19" x14ac:dyDescent="0.35">
      <c r="A872" s="202">
        <v>65</v>
      </c>
      <c r="B872" s="202">
        <v>50</v>
      </c>
      <c r="C872" s="202">
        <v>3</v>
      </c>
      <c r="D872" s="202">
        <v>15</v>
      </c>
      <c r="E872" s="202">
        <v>43</v>
      </c>
      <c r="F872" s="202">
        <v>4</v>
      </c>
      <c r="G872" s="202">
        <v>23</v>
      </c>
      <c r="H872" s="202">
        <v>41</v>
      </c>
      <c r="I872" s="202">
        <v>2</v>
      </c>
      <c r="K872" s="202">
        <v>57</v>
      </c>
      <c r="L872" s="202">
        <v>17</v>
      </c>
      <c r="M872" s="202">
        <v>2</v>
      </c>
      <c r="N872" s="202">
        <v>17</v>
      </c>
      <c r="O872" s="202">
        <v>50</v>
      </c>
      <c r="P872" s="202">
        <v>1</v>
      </c>
      <c r="Q872" s="202">
        <v>25</v>
      </c>
      <c r="R872" s="202">
        <v>3</v>
      </c>
      <c r="S872" s="202">
        <v>1</v>
      </c>
    </row>
    <row r="873" spans="1:19" x14ac:dyDescent="0.35">
      <c r="A873" s="202">
        <v>65</v>
      </c>
      <c r="B873" s="202">
        <v>53</v>
      </c>
      <c r="C873" s="202">
        <v>4</v>
      </c>
      <c r="D873" s="202">
        <v>15</v>
      </c>
      <c r="E873" s="202">
        <v>45</v>
      </c>
      <c r="F873" s="202">
        <v>1</v>
      </c>
      <c r="G873" s="202">
        <v>2</v>
      </c>
      <c r="H873" s="202">
        <v>12</v>
      </c>
      <c r="I873" s="202">
        <v>1</v>
      </c>
      <c r="K873" s="202">
        <v>49</v>
      </c>
      <c r="L873" s="202">
        <v>46</v>
      </c>
      <c r="M873" s="202">
        <v>4</v>
      </c>
      <c r="N873" s="202">
        <v>10</v>
      </c>
      <c r="O873" s="202">
        <v>27</v>
      </c>
      <c r="P873" s="202">
        <v>4</v>
      </c>
      <c r="Q873" s="202">
        <v>2</v>
      </c>
      <c r="R873" s="202">
        <v>19</v>
      </c>
      <c r="S873" s="202">
        <v>1</v>
      </c>
    </row>
    <row r="874" spans="1:19" x14ac:dyDescent="0.35">
      <c r="A874" s="202">
        <v>65</v>
      </c>
      <c r="B874" s="202">
        <v>53</v>
      </c>
      <c r="C874" s="202">
        <v>4</v>
      </c>
      <c r="D874" s="202">
        <v>15</v>
      </c>
      <c r="E874" s="202">
        <v>45</v>
      </c>
      <c r="F874" s="202">
        <v>4</v>
      </c>
      <c r="G874" s="202">
        <v>18</v>
      </c>
      <c r="H874" s="202">
        <v>5</v>
      </c>
      <c r="I874" s="202">
        <v>1</v>
      </c>
      <c r="K874" s="202">
        <v>84</v>
      </c>
      <c r="L874" s="202">
        <v>25</v>
      </c>
      <c r="M874" s="202">
        <v>2</v>
      </c>
      <c r="N874" s="202">
        <v>4</v>
      </c>
      <c r="O874" s="202">
        <v>45</v>
      </c>
      <c r="P874" s="202">
        <v>4</v>
      </c>
      <c r="Q874" s="202">
        <v>22</v>
      </c>
      <c r="R874" s="202">
        <v>29</v>
      </c>
      <c r="S874" s="202">
        <v>1</v>
      </c>
    </row>
    <row r="875" spans="1:19" x14ac:dyDescent="0.35">
      <c r="A875" s="202">
        <v>65</v>
      </c>
      <c r="B875" s="202">
        <v>33</v>
      </c>
      <c r="C875" s="202">
        <v>1</v>
      </c>
      <c r="D875" s="202">
        <v>16</v>
      </c>
      <c r="E875" s="202">
        <v>48</v>
      </c>
      <c r="F875" s="202">
        <v>1</v>
      </c>
      <c r="G875" s="202">
        <v>24</v>
      </c>
      <c r="H875" s="202">
        <v>5</v>
      </c>
      <c r="I875" s="202">
        <v>1</v>
      </c>
      <c r="K875" s="202">
        <v>63</v>
      </c>
      <c r="L875" s="202">
        <v>49</v>
      </c>
      <c r="M875" s="202">
        <v>4</v>
      </c>
      <c r="N875" s="202">
        <v>15</v>
      </c>
      <c r="O875" s="202">
        <v>43</v>
      </c>
      <c r="P875" s="202">
        <v>2</v>
      </c>
      <c r="Q875" s="202">
        <v>1</v>
      </c>
      <c r="R875" s="202">
        <v>27</v>
      </c>
      <c r="S875" s="202">
        <v>2</v>
      </c>
    </row>
    <row r="876" spans="1:19" x14ac:dyDescent="0.35">
      <c r="A876" s="202">
        <v>65</v>
      </c>
      <c r="B876" s="202">
        <v>33</v>
      </c>
      <c r="C876" s="202">
        <v>1</v>
      </c>
      <c r="D876" s="202">
        <v>16</v>
      </c>
      <c r="E876" s="202">
        <v>48</v>
      </c>
      <c r="F876" s="202">
        <v>3</v>
      </c>
      <c r="G876" s="202">
        <v>20</v>
      </c>
      <c r="H876" s="202">
        <v>5</v>
      </c>
      <c r="I876" s="202">
        <v>1</v>
      </c>
      <c r="K876" s="202">
        <v>1</v>
      </c>
      <c r="L876" s="202">
        <v>5</v>
      </c>
      <c r="M876" s="202">
        <v>2</v>
      </c>
      <c r="N876" s="202">
        <v>15</v>
      </c>
      <c r="O876" s="202">
        <v>48</v>
      </c>
      <c r="P876" s="202">
        <v>1</v>
      </c>
      <c r="Q876" s="202">
        <v>2</v>
      </c>
      <c r="R876" s="202">
        <v>8</v>
      </c>
      <c r="S876" s="202">
        <v>1</v>
      </c>
    </row>
    <row r="877" spans="1:19" x14ac:dyDescent="0.35">
      <c r="A877" s="202">
        <v>65</v>
      </c>
      <c r="B877" s="202">
        <v>75</v>
      </c>
      <c r="C877" s="202">
        <v>2</v>
      </c>
      <c r="D877" s="202">
        <v>16</v>
      </c>
      <c r="E877" s="202">
        <v>48</v>
      </c>
      <c r="F877" s="202">
        <v>1</v>
      </c>
      <c r="G877" s="202">
        <v>8</v>
      </c>
      <c r="H877" s="202">
        <v>36</v>
      </c>
      <c r="I877" s="202">
        <v>1</v>
      </c>
      <c r="K877" s="202">
        <v>57</v>
      </c>
      <c r="L877" s="202">
        <v>24</v>
      </c>
      <c r="M877" s="202">
        <v>1</v>
      </c>
      <c r="N877" s="202">
        <v>16</v>
      </c>
      <c r="O877" s="202">
        <v>50</v>
      </c>
      <c r="P877" s="202">
        <v>4</v>
      </c>
      <c r="Q877" s="202">
        <v>18</v>
      </c>
      <c r="R877" s="202">
        <v>10</v>
      </c>
      <c r="S877" s="202">
        <v>1</v>
      </c>
    </row>
    <row r="878" spans="1:19" x14ac:dyDescent="0.35">
      <c r="A878" s="202">
        <v>65</v>
      </c>
      <c r="B878" s="202">
        <v>75</v>
      </c>
      <c r="C878" s="202">
        <v>2</v>
      </c>
      <c r="D878" s="202">
        <v>16</v>
      </c>
      <c r="E878" s="202">
        <v>48</v>
      </c>
      <c r="F878" s="202">
        <v>2</v>
      </c>
      <c r="G878" s="202">
        <v>8</v>
      </c>
      <c r="H878" s="202">
        <v>36</v>
      </c>
      <c r="I878" s="202">
        <v>1</v>
      </c>
      <c r="K878" s="202">
        <v>77</v>
      </c>
      <c r="L878" s="202">
        <v>25</v>
      </c>
      <c r="M878" s="202">
        <v>2</v>
      </c>
      <c r="N878" s="202">
        <v>18</v>
      </c>
      <c r="O878" s="202">
        <v>50</v>
      </c>
      <c r="P878" s="202">
        <v>2</v>
      </c>
      <c r="Q878" s="202">
        <v>1</v>
      </c>
      <c r="R878" s="202">
        <v>20</v>
      </c>
      <c r="S878" s="202">
        <v>2</v>
      </c>
    </row>
    <row r="879" spans="1:19" x14ac:dyDescent="0.35">
      <c r="A879" s="202">
        <v>65</v>
      </c>
      <c r="B879" s="202">
        <v>79</v>
      </c>
      <c r="C879" s="202">
        <v>2</v>
      </c>
      <c r="D879" s="202">
        <v>17</v>
      </c>
      <c r="E879" s="202">
        <v>42</v>
      </c>
      <c r="F879" s="202">
        <v>2</v>
      </c>
      <c r="G879" s="202">
        <v>11</v>
      </c>
      <c r="H879" s="202">
        <v>22</v>
      </c>
      <c r="I879" s="202">
        <v>2</v>
      </c>
      <c r="K879" s="202">
        <v>28</v>
      </c>
      <c r="L879" s="202">
        <v>78</v>
      </c>
      <c r="M879" s="202">
        <v>3</v>
      </c>
      <c r="N879" s="202">
        <v>15</v>
      </c>
      <c r="O879" s="202">
        <v>45</v>
      </c>
      <c r="P879" s="202">
        <v>2</v>
      </c>
      <c r="Q879" s="202">
        <v>2</v>
      </c>
      <c r="R879" s="202">
        <v>10</v>
      </c>
      <c r="S879" s="202">
        <v>2</v>
      </c>
    </row>
    <row r="880" spans="1:19" x14ac:dyDescent="0.35">
      <c r="A880" s="202">
        <v>65</v>
      </c>
      <c r="B880" s="202">
        <v>79</v>
      </c>
      <c r="C880" s="202">
        <v>2</v>
      </c>
      <c r="D880" s="202">
        <v>17</v>
      </c>
      <c r="E880" s="202">
        <v>42</v>
      </c>
      <c r="F880" s="202">
        <v>4</v>
      </c>
      <c r="G880" s="202">
        <v>11</v>
      </c>
      <c r="H880" s="202">
        <v>22</v>
      </c>
      <c r="I880" s="202">
        <v>2</v>
      </c>
      <c r="K880" s="202">
        <v>61</v>
      </c>
      <c r="L880" s="202">
        <v>53</v>
      </c>
      <c r="M880" s="202">
        <v>1</v>
      </c>
      <c r="N880" s="202">
        <v>17</v>
      </c>
      <c r="O880" s="202">
        <v>1</v>
      </c>
      <c r="P880" s="202">
        <v>3</v>
      </c>
      <c r="Q880" s="202">
        <v>11</v>
      </c>
      <c r="R880" s="202">
        <v>3</v>
      </c>
      <c r="S880" s="202">
        <v>2</v>
      </c>
    </row>
    <row r="881" spans="1:19" x14ac:dyDescent="0.35">
      <c r="A881" s="202">
        <v>65</v>
      </c>
      <c r="B881" s="202">
        <v>16</v>
      </c>
      <c r="C881" s="202">
        <v>3</v>
      </c>
      <c r="D881" s="202">
        <v>17</v>
      </c>
      <c r="E881" s="202">
        <v>43</v>
      </c>
      <c r="F881" s="202">
        <v>1</v>
      </c>
      <c r="G881" s="202">
        <v>3</v>
      </c>
      <c r="H881" s="202">
        <v>34</v>
      </c>
      <c r="I881" s="202">
        <v>1</v>
      </c>
      <c r="K881" s="202">
        <v>77</v>
      </c>
      <c r="L881" s="202">
        <v>83</v>
      </c>
      <c r="M881" s="202">
        <v>3</v>
      </c>
      <c r="N881" s="202">
        <v>18</v>
      </c>
      <c r="O881" s="202">
        <v>53</v>
      </c>
      <c r="P881" s="202">
        <v>1</v>
      </c>
      <c r="Q881" s="202">
        <v>11</v>
      </c>
      <c r="R881" s="202">
        <v>5</v>
      </c>
      <c r="S881" s="202">
        <v>1</v>
      </c>
    </row>
    <row r="882" spans="1:19" x14ac:dyDescent="0.35">
      <c r="A882" s="202">
        <v>65</v>
      </c>
      <c r="B882" s="202">
        <v>16</v>
      </c>
      <c r="C882" s="202">
        <v>3</v>
      </c>
      <c r="D882" s="202">
        <v>17</v>
      </c>
      <c r="E882" s="202">
        <v>43</v>
      </c>
      <c r="F882" s="202">
        <v>4</v>
      </c>
      <c r="G882" s="202">
        <v>3</v>
      </c>
      <c r="H882" s="202">
        <v>34</v>
      </c>
      <c r="I882" s="202">
        <v>1</v>
      </c>
      <c r="K882" s="202">
        <v>60</v>
      </c>
      <c r="L882" s="202">
        <v>33</v>
      </c>
      <c r="M882" s="202">
        <v>2</v>
      </c>
      <c r="N882" s="202">
        <v>8</v>
      </c>
      <c r="O882" s="202">
        <v>53</v>
      </c>
      <c r="P882" s="202">
        <v>4</v>
      </c>
      <c r="Q882" s="202">
        <v>2</v>
      </c>
      <c r="R882" s="202">
        <v>52</v>
      </c>
      <c r="S882" s="202">
        <v>2</v>
      </c>
    </row>
    <row r="883" spans="1:19" x14ac:dyDescent="0.35">
      <c r="A883" s="202">
        <v>65</v>
      </c>
      <c r="B883" s="202">
        <v>29</v>
      </c>
      <c r="C883" s="202">
        <v>2</v>
      </c>
      <c r="D883" s="202">
        <v>17</v>
      </c>
      <c r="E883" s="202">
        <v>47</v>
      </c>
      <c r="F883" s="202">
        <v>2</v>
      </c>
      <c r="G883" s="202">
        <v>2</v>
      </c>
      <c r="H883" s="202">
        <v>9</v>
      </c>
      <c r="I883" s="202">
        <v>2</v>
      </c>
      <c r="K883" s="202">
        <v>23</v>
      </c>
      <c r="L883" s="202">
        <v>11</v>
      </c>
      <c r="M883" s="202">
        <v>2</v>
      </c>
      <c r="N883" s="202">
        <v>15</v>
      </c>
      <c r="O883" s="202">
        <v>48</v>
      </c>
      <c r="P883" s="202">
        <v>3</v>
      </c>
      <c r="Q883" s="202">
        <v>22</v>
      </c>
      <c r="R883" s="202">
        <v>38</v>
      </c>
      <c r="S883" s="202">
        <v>1</v>
      </c>
    </row>
    <row r="884" spans="1:19" x14ac:dyDescent="0.35">
      <c r="A884" s="202">
        <v>65</v>
      </c>
      <c r="B884" s="202">
        <v>29</v>
      </c>
      <c r="C884" s="202">
        <v>2</v>
      </c>
      <c r="D884" s="202">
        <v>17</v>
      </c>
      <c r="E884" s="202">
        <v>47</v>
      </c>
      <c r="F884" s="202">
        <v>5</v>
      </c>
      <c r="G884" s="202">
        <v>2</v>
      </c>
      <c r="H884" s="202">
        <v>9</v>
      </c>
      <c r="I884" s="202">
        <v>2</v>
      </c>
      <c r="K884" s="202">
        <v>61</v>
      </c>
      <c r="L884" s="202">
        <v>20</v>
      </c>
      <c r="M884" s="202">
        <v>1</v>
      </c>
      <c r="N884" s="202">
        <v>13</v>
      </c>
      <c r="O884" s="202">
        <v>27</v>
      </c>
      <c r="P884" s="202">
        <v>5</v>
      </c>
      <c r="Q884" s="202">
        <v>20</v>
      </c>
      <c r="R884" s="202">
        <v>22</v>
      </c>
      <c r="S884" s="202">
        <v>2</v>
      </c>
    </row>
    <row r="885" spans="1:19" x14ac:dyDescent="0.35">
      <c r="A885" s="202">
        <v>66</v>
      </c>
      <c r="B885" s="202">
        <v>20</v>
      </c>
      <c r="C885" s="202">
        <v>3</v>
      </c>
      <c r="D885" s="202">
        <v>8</v>
      </c>
      <c r="E885" s="202">
        <v>48</v>
      </c>
      <c r="F885" s="202">
        <v>3</v>
      </c>
      <c r="G885" s="202">
        <v>23</v>
      </c>
      <c r="H885" s="202">
        <v>4</v>
      </c>
      <c r="I885" s="202">
        <v>1</v>
      </c>
      <c r="K885" s="202">
        <v>22</v>
      </c>
      <c r="L885" s="202">
        <v>50</v>
      </c>
      <c r="M885" s="202">
        <v>4</v>
      </c>
      <c r="N885" s="202">
        <v>8</v>
      </c>
      <c r="O885" s="202">
        <v>48</v>
      </c>
      <c r="P885" s="202">
        <v>3</v>
      </c>
      <c r="Q885" s="202">
        <v>10</v>
      </c>
      <c r="R885" s="202">
        <v>29</v>
      </c>
      <c r="S885" s="202">
        <v>2</v>
      </c>
    </row>
    <row r="886" spans="1:19" x14ac:dyDescent="0.35">
      <c r="A886" s="202">
        <v>66</v>
      </c>
      <c r="B886" s="202">
        <v>20</v>
      </c>
      <c r="C886" s="202">
        <v>3</v>
      </c>
      <c r="D886" s="202">
        <v>8</v>
      </c>
      <c r="E886" s="202">
        <v>48</v>
      </c>
      <c r="F886" s="202">
        <v>5</v>
      </c>
      <c r="G886" s="202">
        <v>1</v>
      </c>
      <c r="H886" s="202">
        <v>4</v>
      </c>
      <c r="I886" s="202">
        <v>1</v>
      </c>
      <c r="K886" s="202">
        <v>7</v>
      </c>
      <c r="L886" s="202">
        <v>3</v>
      </c>
      <c r="M886" s="202">
        <v>4</v>
      </c>
      <c r="N886" s="202">
        <v>8</v>
      </c>
      <c r="O886" s="202">
        <v>42</v>
      </c>
      <c r="P886" s="202">
        <v>1</v>
      </c>
      <c r="Q886" s="202">
        <v>23</v>
      </c>
      <c r="R886" s="202">
        <v>29</v>
      </c>
      <c r="S886" s="202">
        <v>1</v>
      </c>
    </row>
    <row r="887" spans="1:19" x14ac:dyDescent="0.35">
      <c r="A887" s="202">
        <v>66</v>
      </c>
      <c r="B887" s="202">
        <v>20</v>
      </c>
      <c r="C887" s="202">
        <v>3</v>
      </c>
      <c r="D887" s="202">
        <v>8</v>
      </c>
      <c r="E887" s="202">
        <v>49</v>
      </c>
      <c r="F887" s="202">
        <v>3</v>
      </c>
      <c r="G887" s="202">
        <v>19</v>
      </c>
      <c r="H887" s="202">
        <v>20</v>
      </c>
      <c r="I887" s="202">
        <v>1</v>
      </c>
      <c r="K887" s="202">
        <v>67</v>
      </c>
      <c r="L887" s="202">
        <v>50</v>
      </c>
      <c r="M887" s="202">
        <v>2</v>
      </c>
      <c r="N887" s="202">
        <v>18</v>
      </c>
      <c r="O887" s="202">
        <v>28</v>
      </c>
      <c r="P887" s="202">
        <v>2</v>
      </c>
      <c r="Q887" s="202">
        <v>20</v>
      </c>
      <c r="R887" s="202">
        <v>9</v>
      </c>
      <c r="S887" s="202">
        <v>1</v>
      </c>
    </row>
    <row r="888" spans="1:19" x14ac:dyDescent="0.35">
      <c r="A888" s="202">
        <v>66</v>
      </c>
      <c r="B888" s="202">
        <v>20</v>
      </c>
      <c r="C888" s="202">
        <v>3</v>
      </c>
      <c r="D888" s="202">
        <v>8</v>
      </c>
      <c r="E888" s="202">
        <v>49</v>
      </c>
      <c r="F888" s="202">
        <v>5</v>
      </c>
      <c r="G888" s="202">
        <v>10</v>
      </c>
      <c r="H888" s="202">
        <v>1</v>
      </c>
      <c r="I888" s="202">
        <v>1</v>
      </c>
      <c r="K888" s="202">
        <v>32</v>
      </c>
      <c r="L888" s="202">
        <v>94</v>
      </c>
      <c r="M888" s="202">
        <v>4</v>
      </c>
      <c r="N888" s="202">
        <v>10</v>
      </c>
      <c r="O888" s="202">
        <v>29</v>
      </c>
      <c r="P888" s="202">
        <v>1</v>
      </c>
      <c r="Q888" s="202">
        <v>19</v>
      </c>
      <c r="R888" s="202">
        <v>79</v>
      </c>
      <c r="S888" s="202">
        <v>2</v>
      </c>
    </row>
    <row r="889" spans="1:19" x14ac:dyDescent="0.35">
      <c r="A889" s="202">
        <v>66</v>
      </c>
      <c r="B889" s="202">
        <v>20</v>
      </c>
      <c r="C889" s="202">
        <v>3</v>
      </c>
      <c r="D889" s="202">
        <v>8</v>
      </c>
      <c r="E889" s="202">
        <v>50</v>
      </c>
      <c r="F889" s="202">
        <v>1</v>
      </c>
      <c r="G889" s="202">
        <v>10</v>
      </c>
      <c r="H889" s="202">
        <v>66</v>
      </c>
      <c r="I889" s="202">
        <v>1</v>
      </c>
      <c r="K889" s="202">
        <v>67</v>
      </c>
      <c r="L889" s="202">
        <v>69</v>
      </c>
      <c r="M889" s="202">
        <v>2</v>
      </c>
      <c r="N889" s="202">
        <v>10</v>
      </c>
      <c r="O889" s="202">
        <v>26</v>
      </c>
      <c r="P889" s="202">
        <v>1</v>
      </c>
      <c r="Q889" s="202">
        <v>2</v>
      </c>
      <c r="R889" s="202">
        <v>27</v>
      </c>
      <c r="S889" s="202">
        <v>2</v>
      </c>
    </row>
    <row r="890" spans="1:19" x14ac:dyDescent="0.35">
      <c r="A890" s="202">
        <v>66</v>
      </c>
      <c r="B890" s="202">
        <v>20</v>
      </c>
      <c r="C890" s="202">
        <v>3</v>
      </c>
      <c r="D890" s="202">
        <v>8</v>
      </c>
      <c r="E890" s="202">
        <v>50</v>
      </c>
      <c r="F890" s="202">
        <v>4</v>
      </c>
      <c r="G890" s="202">
        <v>17</v>
      </c>
      <c r="H890" s="202">
        <v>66</v>
      </c>
      <c r="I890" s="202">
        <v>1</v>
      </c>
      <c r="K890" s="202">
        <v>30</v>
      </c>
      <c r="L890" s="202">
        <v>1</v>
      </c>
      <c r="M890" s="202">
        <v>3</v>
      </c>
      <c r="N890" s="202">
        <v>10</v>
      </c>
      <c r="O890" s="202">
        <v>30</v>
      </c>
      <c r="P890" s="202">
        <v>3</v>
      </c>
      <c r="Q890" s="202">
        <v>1</v>
      </c>
      <c r="R890" s="202">
        <v>10</v>
      </c>
      <c r="S890" s="202">
        <v>1</v>
      </c>
    </row>
    <row r="891" spans="1:19" x14ac:dyDescent="0.35">
      <c r="A891" s="202">
        <v>66</v>
      </c>
      <c r="B891" s="202">
        <v>20</v>
      </c>
      <c r="C891" s="202">
        <v>3</v>
      </c>
      <c r="D891" s="202">
        <v>8</v>
      </c>
      <c r="E891" s="202">
        <v>51</v>
      </c>
      <c r="F891" s="202">
        <v>1</v>
      </c>
      <c r="G891" s="202">
        <v>23</v>
      </c>
      <c r="H891" s="202">
        <v>10</v>
      </c>
      <c r="I891" s="202">
        <v>1</v>
      </c>
      <c r="K891" s="202">
        <v>13</v>
      </c>
      <c r="L891" s="202">
        <v>78</v>
      </c>
      <c r="M891" s="202">
        <v>1</v>
      </c>
      <c r="N891" s="202">
        <v>10</v>
      </c>
      <c r="O891" s="202">
        <v>43</v>
      </c>
      <c r="P891" s="202">
        <v>1</v>
      </c>
      <c r="Q891" s="202">
        <v>2</v>
      </c>
      <c r="R891" s="202">
        <v>23</v>
      </c>
      <c r="S891" s="202">
        <v>1</v>
      </c>
    </row>
    <row r="892" spans="1:19" x14ac:dyDescent="0.35">
      <c r="A892" s="202">
        <v>66</v>
      </c>
      <c r="B892" s="202">
        <v>20</v>
      </c>
      <c r="C892" s="202">
        <v>3</v>
      </c>
      <c r="D892" s="202">
        <v>8</v>
      </c>
      <c r="E892" s="202">
        <v>51</v>
      </c>
      <c r="F892" s="202">
        <v>4</v>
      </c>
      <c r="G892" s="202">
        <v>23</v>
      </c>
      <c r="H892" s="202">
        <v>10</v>
      </c>
      <c r="I892" s="202">
        <v>1</v>
      </c>
      <c r="K892" s="202">
        <v>77</v>
      </c>
      <c r="L892" s="202">
        <v>24</v>
      </c>
      <c r="M892" s="202">
        <v>4</v>
      </c>
      <c r="N892" s="202">
        <v>10</v>
      </c>
      <c r="O892" s="202">
        <v>25</v>
      </c>
      <c r="P892" s="202">
        <v>5</v>
      </c>
      <c r="Q892" s="202">
        <v>2</v>
      </c>
      <c r="R892" s="202">
        <v>29</v>
      </c>
      <c r="S892" s="202">
        <v>1</v>
      </c>
    </row>
    <row r="893" spans="1:19" x14ac:dyDescent="0.35">
      <c r="A893" s="202">
        <v>66</v>
      </c>
      <c r="B893" s="202">
        <v>105</v>
      </c>
      <c r="C893" s="202">
        <v>4</v>
      </c>
      <c r="D893" s="202">
        <v>8</v>
      </c>
      <c r="E893" s="202">
        <v>48</v>
      </c>
      <c r="F893" s="202">
        <v>2</v>
      </c>
      <c r="G893" s="202">
        <v>11</v>
      </c>
      <c r="H893" s="202">
        <v>19</v>
      </c>
      <c r="I893" s="202">
        <v>2</v>
      </c>
      <c r="K893" s="202">
        <v>84</v>
      </c>
      <c r="L893" s="202">
        <v>48</v>
      </c>
      <c r="M893" s="202">
        <v>4</v>
      </c>
      <c r="N893" s="202">
        <v>18</v>
      </c>
      <c r="O893" s="202">
        <v>48</v>
      </c>
      <c r="P893" s="202">
        <v>1</v>
      </c>
      <c r="Q893" s="202">
        <v>11</v>
      </c>
      <c r="R893" s="202">
        <v>5</v>
      </c>
      <c r="S893" s="202">
        <v>1</v>
      </c>
    </row>
    <row r="894" spans="1:19" x14ac:dyDescent="0.35">
      <c r="A894" s="202">
        <v>66</v>
      </c>
      <c r="B894" s="202">
        <v>105</v>
      </c>
      <c r="C894" s="202">
        <v>4</v>
      </c>
      <c r="D894" s="202">
        <v>8</v>
      </c>
      <c r="E894" s="202">
        <v>48</v>
      </c>
      <c r="F894" s="202">
        <v>4</v>
      </c>
      <c r="G894" s="202">
        <v>20</v>
      </c>
      <c r="H894" s="202">
        <v>19</v>
      </c>
      <c r="I894" s="202">
        <v>2</v>
      </c>
      <c r="K894" s="202">
        <v>36</v>
      </c>
      <c r="L894" s="202">
        <v>37</v>
      </c>
      <c r="M894" s="202">
        <v>4</v>
      </c>
      <c r="N894" s="202">
        <v>16</v>
      </c>
      <c r="O894" s="202">
        <v>51</v>
      </c>
      <c r="P894" s="202">
        <v>5</v>
      </c>
      <c r="Q894" s="202">
        <v>24</v>
      </c>
      <c r="R894" s="202">
        <v>11</v>
      </c>
      <c r="S894" s="202">
        <v>1</v>
      </c>
    </row>
    <row r="895" spans="1:19" x14ac:dyDescent="0.35">
      <c r="A895" s="202">
        <v>66</v>
      </c>
      <c r="B895" s="202">
        <v>105</v>
      </c>
      <c r="C895" s="202">
        <v>4</v>
      </c>
      <c r="D895" s="202">
        <v>8</v>
      </c>
      <c r="E895" s="202">
        <v>49</v>
      </c>
      <c r="F895" s="202">
        <v>2</v>
      </c>
      <c r="G895" s="202">
        <v>20</v>
      </c>
      <c r="H895" s="202">
        <v>18</v>
      </c>
      <c r="I895" s="202">
        <v>2</v>
      </c>
      <c r="K895" s="202">
        <v>72</v>
      </c>
      <c r="L895" s="202">
        <v>25</v>
      </c>
      <c r="M895" s="202">
        <v>2</v>
      </c>
      <c r="N895" s="202">
        <v>18</v>
      </c>
      <c r="O895" s="202">
        <v>28</v>
      </c>
      <c r="P895" s="202">
        <v>4</v>
      </c>
      <c r="Q895" s="202">
        <v>2</v>
      </c>
      <c r="R895" s="202">
        <v>7</v>
      </c>
      <c r="S895" s="202">
        <v>2</v>
      </c>
    </row>
    <row r="896" spans="1:19" x14ac:dyDescent="0.35">
      <c r="A896" s="202">
        <v>66</v>
      </c>
      <c r="B896" s="202">
        <v>105</v>
      </c>
      <c r="C896" s="202">
        <v>4</v>
      </c>
      <c r="D896" s="202">
        <v>8</v>
      </c>
      <c r="E896" s="202">
        <v>49</v>
      </c>
      <c r="F896" s="202">
        <v>5</v>
      </c>
      <c r="G896" s="202">
        <v>2</v>
      </c>
      <c r="H896" s="202">
        <v>18</v>
      </c>
      <c r="I896" s="202">
        <v>2</v>
      </c>
      <c r="K896" s="202">
        <v>15</v>
      </c>
      <c r="L896" s="202">
        <v>24</v>
      </c>
      <c r="M896" s="202">
        <v>4</v>
      </c>
      <c r="N896" s="202">
        <v>8</v>
      </c>
      <c r="O896" s="202">
        <v>45</v>
      </c>
      <c r="P896" s="202">
        <v>2</v>
      </c>
      <c r="Q896" s="202">
        <v>9</v>
      </c>
      <c r="R896" s="202">
        <v>1</v>
      </c>
      <c r="S896" s="202">
        <v>2</v>
      </c>
    </row>
    <row r="897" spans="1:19" x14ac:dyDescent="0.35">
      <c r="A897" s="202">
        <v>66</v>
      </c>
      <c r="B897" s="202">
        <v>105</v>
      </c>
      <c r="C897" s="202">
        <v>4</v>
      </c>
      <c r="D897" s="202">
        <v>8</v>
      </c>
      <c r="E897" s="202">
        <v>50</v>
      </c>
      <c r="F897" s="202">
        <v>2</v>
      </c>
      <c r="G897" s="202">
        <v>2</v>
      </c>
      <c r="H897" s="202">
        <v>29</v>
      </c>
      <c r="I897" s="202">
        <v>2</v>
      </c>
      <c r="K897" s="202">
        <v>24</v>
      </c>
      <c r="L897" s="202">
        <v>33</v>
      </c>
      <c r="M897" s="202">
        <v>2</v>
      </c>
      <c r="N897" s="202">
        <v>13</v>
      </c>
      <c r="O897" s="202">
        <v>1</v>
      </c>
      <c r="P897" s="202">
        <v>3</v>
      </c>
      <c r="Q897" s="202">
        <v>7</v>
      </c>
      <c r="R897" s="202">
        <v>22</v>
      </c>
      <c r="S897" s="202">
        <v>1</v>
      </c>
    </row>
    <row r="898" spans="1:19" x14ac:dyDescent="0.35">
      <c r="A898" s="202">
        <v>66</v>
      </c>
      <c r="B898" s="202">
        <v>105</v>
      </c>
      <c r="C898" s="202">
        <v>4</v>
      </c>
      <c r="D898" s="202">
        <v>8</v>
      </c>
      <c r="E898" s="202">
        <v>50</v>
      </c>
      <c r="F898" s="202">
        <v>5</v>
      </c>
      <c r="G898" s="202">
        <v>20</v>
      </c>
      <c r="H898" s="202">
        <v>29</v>
      </c>
      <c r="I898" s="202">
        <v>2</v>
      </c>
      <c r="K898" s="202">
        <v>81</v>
      </c>
      <c r="L898" s="202">
        <v>24</v>
      </c>
      <c r="M898" s="202">
        <v>4</v>
      </c>
      <c r="N898" s="202">
        <v>12</v>
      </c>
      <c r="O898" s="202">
        <v>27</v>
      </c>
      <c r="P898" s="202">
        <v>5</v>
      </c>
      <c r="Q898" s="202">
        <v>1</v>
      </c>
      <c r="R898" s="202">
        <v>9</v>
      </c>
      <c r="S898" s="202">
        <v>1</v>
      </c>
    </row>
    <row r="899" spans="1:19" x14ac:dyDescent="0.35">
      <c r="A899" s="202">
        <v>66</v>
      </c>
      <c r="B899" s="202">
        <v>105</v>
      </c>
      <c r="C899" s="202">
        <v>4</v>
      </c>
      <c r="D899" s="202">
        <v>8</v>
      </c>
      <c r="E899" s="202">
        <v>51</v>
      </c>
      <c r="F899" s="202">
        <v>1</v>
      </c>
      <c r="G899" s="202">
        <v>11</v>
      </c>
      <c r="H899" s="202">
        <v>29</v>
      </c>
      <c r="I899" s="202">
        <v>2</v>
      </c>
      <c r="K899" s="202">
        <v>81</v>
      </c>
      <c r="L899" s="202">
        <v>80</v>
      </c>
      <c r="M899" s="202">
        <v>2</v>
      </c>
      <c r="N899" s="202">
        <v>10</v>
      </c>
      <c r="O899" s="202">
        <v>3</v>
      </c>
      <c r="P899" s="202">
        <v>1</v>
      </c>
      <c r="Q899" s="202">
        <v>20</v>
      </c>
      <c r="R899" s="202">
        <v>24</v>
      </c>
      <c r="S899" s="202">
        <v>2</v>
      </c>
    </row>
    <row r="900" spans="1:19" x14ac:dyDescent="0.35">
      <c r="A900" s="202">
        <v>66</v>
      </c>
      <c r="B900" s="202">
        <v>105</v>
      </c>
      <c r="C900" s="202">
        <v>4</v>
      </c>
      <c r="D900" s="202">
        <v>8</v>
      </c>
      <c r="E900" s="202">
        <v>51</v>
      </c>
      <c r="F900" s="202">
        <v>3</v>
      </c>
      <c r="G900" s="202">
        <v>20</v>
      </c>
      <c r="H900" s="202">
        <v>29</v>
      </c>
      <c r="I900" s="202">
        <v>2</v>
      </c>
      <c r="K900" s="202">
        <v>7</v>
      </c>
      <c r="L900" s="202">
        <v>27</v>
      </c>
      <c r="M900" s="202">
        <v>2</v>
      </c>
      <c r="N900" s="202">
        <v>11</v>
      </c>
      <c r="O900" s="202">
        <v>48</v>
      </c>
      <c r="P900" s="202">
        <v>1</v>
      </c>
      <c r="Q900" s="202">
        <v>7</v>
      </c>
      <c r="R900" s="202">
        <v>19</v>
      </c>
      <c r="S900" s="202">
        <v>2</v>
      </c>
    </row>
    <row r="901" spans="1:19" x14ac:dyDescent="0.35">
      <c r="A901" s="202">
        <v>66</v>
      </c>
      <c r="B901" s="202">
        <v>22</v>
      </c>
      <c r="C901" s="202">
        <v>4</v>
      </c>
      <c r="D901" s="202">
        <v>8</v>
      </c>
      <c r="E901" s="202">
        <v>3</v>
      </c>
      <c r="F901" s="202">
        <v>2</v>
      </c>
      <c r="G901" s="202">
        <v>24</v>
      </c>
      <c r="H901" s="202">
        <v>2</v>
      </c>
      <c r="I901" s="202">
        <v>3</v>
      </c>
      <c r="K901" s="202">
        <v>8</v>
      </c>
      <c r="L901" s="202">
        <v>42</v>
      </c>
      <c r="M901" s="202">
        <v>4</v>
      </c>
      <c r="N901" s="202">
        <v>18</v>
      </c>
      <c r="O901" s="202">
        <v>2</v>
      </c>
      <c r="P901" s="202">
        <v>3</v>
      </c>
      <c r="Q901" s="202">
        <v>20</v>
      </c>
      <c r="R901" s="202">
        <v>22</v>
      </c>
      <c r="S901" s="202">
        <v>2</v>
      </c>
    </row>
    <row r="902" spans="1:19" x14ac:dyDescent="0.35">
      <c r="A902" s="202">
        <v>67</v>
      </c>
      <c r="B902" s="202">
        <v>84</v>
      </c>
      <c r="C902" s="202">
        <v>3</v>
      </c>
      <c r="D902" s="202">
        <v>18</v>
      </c>
      <c r="E902" s="202">
        <v>42</v>
      </c>
      <c r="F902" s="202">
        <v>1</v>
      </c>
      <c r="G902" s="202">
        <v>19</v>
      </c>
      <c r="H902" s="202">
        <v>19</v>
      </c>
      <c r="I902" s="202">
        <v>1</v>
      </c>
      <c r="K902" s="202">
        <v>61</v>
      </c>
      <c r="L902" s="202">
        <v>11</v>
      </c>
      <c r="M902" s="202">
        <v>2</v>
      </c>
      <c r="N902" s="202">
        <v>8</v>
      </c>
      <c r="O902" s="202">
        <v>25</v>
      </c>
      <c r="P902" s="202">
        <v>2</v>
      </c>
      <c r="Q902" s="202">
        <v>11</v>
      </c>
      <c r="R902" s="202">
        <v>36</v>
      </c>
      <c r="S902" s="202">
        <v>1</v>
      </c>
    </row>
    <row r="903" spans="1:19" x14ac:dyDescent="0.35">
      <c r="A903" s="202">
        <v>67</v>
      </c>
      <c r="B903" s="202">
        <v>84</v>
      </c>
      <c r="C903" s="202">
        <v>3</v>
      </c>
      <c r="D903" s="202">
        <v>18</v>
      </c>
      <c r="E903" s="202">
        <v>42</v>
      </c>
      <c r="F903" s="202">
        <v>5</v>
      </c>
      <c r="G903" s="202">
        <v>10</v>
      </c>
      <c r="H903" s="202">
        <v>18</v>
      </c>
      <c r="I903" s="202">
        <v>1</v>
      </c>
      <c r="K903" s="202">
        <v>5</v>
      </c>
      <c r="L903" s="202">
        <v>53</v>
      </c>
      <c r="M903" s="202">
        <v>2</v>
      </c>
      <c r="N903" s="202">
        <v>8</v>
      </c>
      <c r="O903" s="202">
        <v>25</v>
      </c>
      <c r="P903" s="202">
        <v>1</v>
      </c>
      <c r="Q903" s="202">
        <v>23</v>
      </c>
      <c r="R903" s="202">
        <v>7</v>
      </c>
      <c r="S903" s="202">
        <v>2</v>
      </c>
    </row>
    <row r="904" spans="1:19" x14ac:dyDescent="0.35">
      <c r="A904" s="202">
        <v>67</v>
      </c>
      <c r="B904" s="202">
        <v>102</v>
      </c>
      <c r="C904" s="202">
        <v>3</v>
      </c>
      <c r="D904" s="202">
        <v>18</v>
      </c>
      <c r="E904" s="202">
        <v>25</v>
      </c>
      <c r="F904" s="202">
        <v>2</v>
      </c>
      <c r="G904" s="202">
        <v>23</v>
      </c>
      <c r="H904" s="202">
        <v>29</v>
      </c>
      <c r="I904" s="202">
        <v>1</v>
      </c>
      <c r="K904" s="202">
        <v>22</v>
      </c>
      <c r="L904" s="202">
        <v>25</v>
      </c>
      <c r="M904" s="202">
        <v>2</v>
      </c>
      <c r="N904" s="202">
        <v>10</v>
      </c>
      <c r="O904" s="202">
        <v>45</v>
      </c>
      <c r="P904" s="202">
        <v>2</v>
      </c>
      <c r="Q904" s="202">
        <v>11</v>
      </c>
      <c r="R904" s="202">
        <v>10</v>
      </c>
      <c r="S904" s="202">
        <v>2</v>
      </c>
    </row>
    <row r="905" spans="1:19" x14ac:dyDescent="0.35">
      <c r="A905" s="202">
        <v>67</v>
      </c>
      <c r="B905" s="202">
        <v>102</v>
      </c>
      <c r="C905" s="202">
        <v>3</v>
      </c>
      <c r="D905" s="202">
        <v>18</v>
      </c>
      <c r="E905" s="202">
        <v>25</v>
      </c>
      <c r="F905" s="202">
        <v>3</v>
      </c>
      <c r="G905" s="202">
        <v>10</v>
      </c>
      <c r="H905" s="202">
        <v>29</v>
      </c>
      <c r="I905" s="202">
        <v>1</v>
      </c>
      <c r="K905" s="202">
        <v>41</v>
      </c>
      <c r="L905" s="202">
        <v>33</v>
      </c>
      <c r="M905" s="202">
        <v>4</v>
      </c>
      <c r="N905" s="202">
        <v>17</v>
      </c>
      <c r="O905" s="202">
        <v>49</v>
      </c>
      <c r="P905" s="202">
        <v>2</v>
      </c>
      <c r="Q905" s="202">
        <v>3</v>
      </c>
      <c r="R905" s="202">
        <v>87</v>
      </c>
      <c r="S905" s="202">
        <v>2</v>
      </c>
    </row>
    <row r="906" spans="1:19" x14ac:dyDescent="0.35">
      <c r="A906" s="202">
        <v>67</v>
      </c>
      <c r="B906" s="202">
        <v>99</v>
      </c>
      <c r="C906" s="202">
        <v>4</v>
      </c>
      <c r="D906" s="202">
        <v>18</v>
      </c>
      <c r="E906" s="202">
        <v>26</v>
      </c>
      <c r="F906" s="202">
        <v>1</v>
      </c>
      <c r="G906" s="202">
        <v>2</v>
      </c>
      <c r="H906" s="202">
        <v>29</v>
      </c>
      <c r="I906" s="202">
        <v>1</v>
      </c>
      <c r="K906" s="202">
        <v>83</v>
      </c>
      <c r="L906" s="202">
        <v>48</v>
      </c>
      <c r="M906" s="202">
        <v>3</v>
      </c>
      <c r="N906" s="202">
        <v>15</v>
      </c>
      <c r="O906" s="202">
        <v>26</v>
      </c>
      <c r="P906" s="202">
        <v>2</v>
      </c>
      <c r="Q906" s="202">
        <v>20</v>
      </c>
      <c r="R906" s="202">
        <v>17</v>
      </c>
      <c r="S906" s="202">
        <v>2</v>
      </c>
    </row>
    <row r="907" spans="1:19" x14ac:dyDescent="0.35">
      <c r="A907" s="202">
        <v>67</v>
      </c>
      <c r="B907" s="202">
        <v>99</v>
      </c>
      <c r="C907" s="202">
        <v>4</v>
      </c>
      <c r="D907" s="202">
        <v>18</v>
      </c>
      <c r="E907" s="202">
        <v>26</v>
      </c>
      <c r="F907" s="202">
        <v>3</v>
      </c>
      <c r="G907" s="202">
        <v>2</v>
      </c>
      <c r="H907" s="202">
        <v>29</v>
      </c>
      <c r="I907" s="202">
        <v>1</v>
      </c>
      <c r="K907" s="202">
        <v>52</v>
      </c>
      <c r="L907" s="202">
        <v>29</v>
      </c>
      <c r="M907" s="202">
        <v>2</v>
      </c>
      <c r="N907" s="202">
        <v>18</v>
      </c>
      <c r="O907" s="202">
        <v>51</v>
      </c>
      <c r="P907" s="202">
        <v>1</v>
      </c>
      <c r="Q907" s="202">
        <v>21</v>
      </c>
      <c r="R907" s="202">
        <v>55</v>
      </c>
      <c r="S907" s="202">
        <v>2</v>
      </c>
    </row>
    <row r="908" spans="1:19" x14ac:dyDescent="0.35">
      <c r="A908" s="202">
        <v>67</v>
      </c>
      <c r="B908" s="202">
        <v>82</v>
      </c>
      <c r="C908" s="202">
        <v>4</v>
      </c>
      <c r="D908" s="202">
        <v>18</v>
      </c>
      <c r="E908" s="202">
        <v>26</v>
      </c>
      <c r="F908" s="202">
        <v>1</v>
      </c>
      <c r="G908" s="202">
        <v>2</v>
      </c>
      <c r="H908" s="202">
        <v>46</v>
      </c>
      <c r="I908" s="202">
        <v>2</v>
      </c>
      <c r="K908" s="202">
        <v>20</v>
      </c>
      <c r="L908" s="202">
        <v>24</v>
      </c>
      <c r="M908" s="202">
        <v>2</v>
      </c>
      <c r="N908" s="202">
        <v>10</v>
      </c>
      <c r="O908" s="202">
        <v>44</v>
      </c>
      <c r="P908" s="202">
        <v>2</v>
      </c>
      <c r="Q908" s="202">
        <v>8</v>
      </c>
      <c r="R908" s="202">
        <v>9</v>
      </c>
      <c r="S908" s="202">
        <v>2</v>
      </c>
    </row>
    <row r="909" spans="1:19" x14ac:dyDescent="0.35">
      <c r="A909" s="202">
        <v>67</v>
      </c>
      <c r="B909" s="202">
        <v>82</v>
      </c>
      <c r="C909" s="202">
        <v>4</v>
      </c>
      <c r="D909" s="202">
        <v>18</v>
      </c>
      <c r="E909" s="202">
        <v>26</v>
      </c>
      <c r="F909" s="202">
        <v>3</v>
      </c>
      <c r="G909" s="202">
        <v>2</v>
      </c>
      <c r="H909" s="202">
        <v>46</v>
      </c>
      <c r="I909" s="202">
        <v>2</v>
      </c>
      <c r="K909" s="202">
        <v>25</v>
      </c>
      <c r="L909" s="202">
        <v>25</v>
      </c>
      <c r="M909" s="202">
        <v>2</v>
      </c>
      <c r="N909" s="202">
        <v>18</v>
      </c>
      <c r="O909" s="202">
        <v>25</v>
      </c>
      <c r="P909" s="202">
        <v>3</v>
      </c>
      <c r="Q909" s="202">
        <v>18</v>
      </c>
      <c r="R909" s="202">
        <v>27</v>
      </c>
      <c r="S909" s="202">
        <v>1</v>
      </c>
    </row>
    <row r="910" spans="1:19" x14ac:dyDescent="0.35">
      <c r="A910" s="202">
        <v>67</v>
      </c>
      <c r="B910" s="202">
        <v>107</v>
      </c>
      <c r="C910" s="202">
        <v>3</v>
      </c>
      <c r="D910" s="202">
        <v>18</v>
      </c>
      <c r="E910" s="202">
        <v>25</v>
      </c>
      <c r="F910" s="202">
        <v>3</v>
      </c>
      <c r="G910" s="202">
        <v>14</v>
      </c>
      <c r="H910" s="202">
        <v>33</v>
      </c>
      <c r="I910" s="202">
        <v>2</v>
      </c>
      <c r="K910" s="202">
        <v>37</v>
      </c>
      <c r="L910" s="202">
        <v>46</v>
      </c>
      <c r="M910" s="202">
        <v>4</v>
      </c>
      <c r="N910" s="202">
        <v>15</v>
      </c>
      <c r="O910" s="202">
        <v>35</v>
      </c>
      <c r="P910" s="202">
        <v>2</v>
      </c>
      <c r="Q910" s="202">
        <v>11</v>
      </c>
      <c r="R910" s="202">
        <v>3</v>
      </c>
      <c r="S910" s="202">
        <v>1</v>
      </c>
    </row>
    <row r="911" spans="1:19" x14ac:dyDescent="0.35">
      <c r="A911" s="202">
        <v>67</v>
      </c>
      <c r="B911" s="202">
        <v>107</v>
      </c>
      <c r="C911" s="202">
        <v>3</v>
      </c>
      <c r="D911" s="202">
        <v>18</v>
      </c>
      <c r="E911" s="202">
        <v>25</v>
      </c>
      <c r="F911" s="202">
        <v>5</v>
      </c>
      <c r="G911" s="202">
        <v>19</v>
      </c>
      <c r="H911" s="202">
        <v>33</v>
      </c>
      <c r="I911" s="202">
        <v>2</v>
      </c>
      <c r="K911" s="202">
        <v>41</v>
      </c>
      <c r="L911" s="202">
        <v>17</v>
      </c>
      <c r="M911" s="202">
        <v>4</v>
      </c>
      <c r="N911" s="202">
        <v>10</v>
      </c>
      <c r="O911" s="202">
        <v>50</v>
      </c>
      <c r="P911" s="202">
        <v>1</v>
      </c>
      <c r="Q911" s="202">
        <v>2</v>
      </c>
      <c r="R911" s="202">
        <v>2</v>
      </c>
      <c r="S911" s="202">
        <v>2</v>
      </c>
    </row>
    <row r="912" spans="1:19" x14ac:dyDescent="0.35">
      <c r="A912" s="202">
        <v>68</v>
      </c>
      <c r="B912" s="202">
        <v>78</v>
      </c>
      <c r="C912" s="202">
        <v>3</v>
      </c>
      <c r="D912" s="202">
        <v>8</v>
      </c>
      <c r="E912" s="202">
        <v>48</v>
      </c>
      <c r="F912" s="202">
        <v>3</v>
      </c>
      <c r="G912" s="202">
        <v>23</v>
      </c>
      <c r="H912" s="202">
        <v>10</v>
      </c>
      <c r="I912" s="202">
        <v>1</v>
      </c>
      <c r="K912" s="202">
        <v>71</v>
      </c>
      <c r="L912" s="202">
        <v>17</v>
      </c>
      <c r="M912" s="202">
        <v>2</v>
      </c>
      <c r="N912" s="202">
        <v>18</v>
      </c>
      <c r="O912" s="202">
        <v>27</v>
      </c>
      <c r="P912" s="202">
        <v>1</v>
      </c>
      <c r="Q912" s="202">
        <v>1</v>
      </c>
      <c r="R912" s="202">
        <v>5</v>
      </c>
      <c r="S912" s="202">
        <v>2</v>
      </c>
    </row>
    <row r="913" spans="1:19" x14ac:dyDescent="0.35">
      <c r="A913" s="202">
        <v>68</v>
      </c>
      <c r="B913" s="202">
        <v>78</v>
      </c>
      <c r="C913" s="202">
        <v>3</v>
      </c>
      <c r="D913" s="202">
        <v>8</v>
      </c>
      <c r="E913" s="202">
        <v>48</v>
      </c>
      <c r="F913" s="202">
        <v>5</v>
      </c>
      <c r="G913" s="202">
        <v>10</v>
      </c>
      <c r="H913" s="202">
        <v>10</v>
      </c>
      <c r="I913" s="202">
        <v>1</v>
      </c>
      <c r="K913" s="202">
        <v>44</v>
      </c>
      <c r="L913" s="202">
        <v>77</v>
      </c>
      <c r="M913" s="202">
        <v>2</v>
      </c>
      <c r="N913" s="202">
        <v>7</v>
      </c>
      <c r="O913" s="202">
        <v>2</v>
      </c>
      <c r="P913" s="202">
        <v>4</v>
      </c>
      <c r="Q913" s="202">
        <v>1</v>
      </c>
      <c r="R913" s="202">
        <v>54</v>
      </c>
      <c r="S913" s="202">
        <v>1</v>
      </c>
    </row>
    <row r="914" spans="1:19" x14ac:dyDescent="0.35">
      <c r="A914" s="202">
        <v>68</v>
      </c>
      <c r="B914" s="202">
        <v>78</v>
      </c>
      <c r="C914" s="202">
        <v>3</v>
      </c>
      <c r="D914" s="202">
        <v>8</v>
      </c>
      <c r="E914" s="202">
        <v>49</v>
      </c>
      <c r="F914" s="202">
        <v>2</v>
      </c>
      <c r="G914" s="202">
        <v>17</v>
      </c>
      <c r="H914" s="202">
        <v>2</v>
      </c>
      <c r="I914" s="202">
        <v>1</v>
      </c>
      <c r="K914" s="202">
        <v>63</v>
      </c>
      <c r="L914" s="202">
        <v>11</v>
      </c>
      <c r="M914" s="202">
        <v>2</v>
      </c>
      <c r="N914" s="202">
        <v>15</v>
      </c>
      <c r="O914" s="202">
        <v>43</v>
      </c>
      <c r="P914" s="202">
        <v>5</v>
      </c>
      <c r="Q914" s="202">
        <v>1</v>
      </c>
      <c r="R914" s="202">
        <v>24</v>
      </c>
      <c r="S914" s="202">
        <v>2</v>
      </c>
    </row>
    <row r="915" spans="1:19" x14ac:dyDescent="0.35">
      <c r="A915" s="202">
        <v>68</v>
      </c>
      <c r="B915" s="202">
        <v>78</v>
      </c>
      <c r="C915" s="202">
        <v>3</v>
      </c>
      <c r="D915" s="202">
        <v>8</v>
      </c>
      <c r="E915" s="202">
        <v>49</v>
      </c>
      <c r="F915" s="202">
        <v>4</v>
      </c>
      <c r="G915" s="202">
        <v>23</v>
      </c>
      <c r="H915" s="202">
        <v>2</v>
      </c>
      <c r="I915" s="202">
        <v>1</v>
      </c>
      <c r="K915" s="202">
        <v>4</v>
      </c>
      <c r="L915" s="202">
        <v>46</v>
      </c>
      <c r="M915" s="202">
        <v>4</v>
      </c>
      <c r="N915" s="202">
        <v>18</v>
      </c>
      <c r="O915" s="202">
        <v>42</v>
      </c>
      <c r="P915" s="202">
        <v>5</v>
      </c>
      <c r="Q915" s="202">
        <v>18</v>
      </c>
      <c r="R915" s="202">
        <v>29</v>
      </c>
      <c r="S915" s="202">
        <v>2</v>
      </c>
    </row>
    <row r="916" spans="1:19" x14ac:dyDescent="0.35">
      <c r="A916" s="202">
        <v>68</v>
      </c>
      <c r="B916" s="202">
        <v>78</v>
      </c>
      <c r="C916" s="202">
        <v>3</v>
      </c>
      <c r="D916" s="202">
        <v>8</v>
      </c>
      <c r="E916" s="202">
        <v>50</v>
      </c>
      <c r="F916" s="202">
        <v>1</v>
      </c>
      <c r="G916" s="202">
        <v>10</v>
      </c>
      <c r="H916" s="202">
        <v>37</v>
      </c>
      <c r="I916" s="202">
        <v>1</v>
      </c>
      <c r="K916" s="202">
        <v>82</v>
      </c>
      <c r="L916" s="202">
        <v>84</v>
      </c>
      <c r="M916" s="202">
        <v>3</v>
      </c>
      <c r="N916" s="202">
        <v>15</v>
      </c>
      <c r="O916" s="202">
        <v>2</v>
      </c>
      <c r="P916" s="202">
        <v>4</v>
      </c>
      <c r="Q916" s="202">
        <v>2</v>
      </c>
      <c r="R916" s="202">
        <v>27</v>
      </c>
      <c r="S916" s="202">
        <v>3</v>
      </c>
    </row>
    <row r="917" spans="1:19" x14ac:dyDescent="0.35">
      <c r="A917" s="202">
        <v>68</v>
      </c>
      <c r="B917" s="202">
        <v>78</v>
      </c>
      <c r="C917" s="202">
        <v>3</v>
      </c>
      <c r="D917" s="202">
        <v>8</v>
      </c>
      <c r="E917" s="202">
        <v>50</v>
      </c>
      <c r="F917" s="202">
        <v>3</v>
      </c>
      <c r="G917" s="202">
        <v>23</v>
      </c>
      <c r="H917" s="202">
        <v>47</v>
      </c>
      <c r="I917" s="202">
        <v>1</v>
      </c>
      <c r="K917" s="202">
        <v>58</v>
      </c>
      <c r="L917" s="202">
        <v>38</v>
      </c>
      <c r="M917" s="202">
        <v>2</v>
      </c>
      <c r="N917" s="202">
        <v>11</v>
      </c>
      <c r="O917" s="202">
        <v>25</v>
      </c>
      <c r="P917" s="202">
        <v>3</v>
      </c>
      <c r="Q917" s="202">
        <v>2</v>
      </c>
      <c r="R917" s="202">
        <v>8</v>
      </c>
      <c r="S917" s="202">
        <v>2</v>
      </c>
    </row>
    <row r="918" spans="1:19" x14ac:dyDescent="0.35">
      <c r="A918" s="202">
        <v>68</v>
      </c>
      <c r="B918" s="202">
        <v>78</v>
      </c>
      <c r="C918" s="202">
        <v>3</v>
      </c>
      <c r="D918" s="202">
        <v>8</v>
      </c>
      <c r="E918" s="202">
        <v>51</v>
      </c>
      <c r="F918" s="202">
        <v>2</v>
      </c>
      <c r="G918" s="202">
        <v>23</v>
      </c>
      <c r="H918" s="202">
        <v>46</v>
      </c>
      <c r="I918" s="202">
        <v>1</v>
      </c>
      <c r="K918" s="202">
        <v>67</v>
      </c>
      <c r="L918" s="202">
        <v>78</v>
      </c>
      <c r="M918" s="202">
        <v>4</v>
      </c>
      <c r="N918" s="202">
        <v>8</v>
      </c>
      <c r="O918" s="202">
        <v>49</v>
      </c>
      <c r="P918" s="202">
        <v>3</v>
      </c>
      <c r="Q918" s="202">
        <v>1</v>
      </c>
      <c r="R918" s="202">
        <v>4</v>
      </c>
      <c r="S918" s="202">
        <v>1</v>
      </c>
    </row>
    <row r="919" spans="1:19" x14ac:dyDescent="0.35">
      <c r="A919" s="202">
        <v>68</v>
      </c>
      <c r="B919" s="202">
        <v>78</v>
      </c>
      <c r="C919" s="202">
        <v>3</v>
      </c>
      <c r="D919" s="202">
        <v>8</v>
      </c>
      <c r="E919" s="202">
        <v>51</v>
      </c>
      <c r="F919" s="202">
        <v>4</v>
      </c>
      <c r="G919" s="202">
        <v>19</v>
      </c>
      <c r="H919" s="202">
        <v>8</v>
      </c>
      <c r="I919" s="202">
        <v>1</v>
      </c>
      <c r="K919" s="202">
        <v>1</v>
      </c>
      <c r="L919" s="202">
        <v>30</v>
      </c>
      <c r="M919" s="202">
        <v>4</v>
      </c>
      <c r="N919" s="202">
        <v>15</v>
      </c>
      <c r="O919" s="202">
        <v>49</v>
      </c>
      <c r="P919" s="202">
        <v>2</v>
      </c>
      <c r="Q919" s="202">
        <v>20</v>
      </c>
      <c r="R919" s="202">
        <v>12</v>
      </c>
      <c r="S919" s="202">
        <v>2</v>
      </c>
    </row>
    <row r="920" spans="1:19" x14ac:dyDescent="0.35">
      <c r="A920" s="202">
        <v>68</v>
      </c>
      <c r="B920" s="202">
        <v>1</v>
      </c>
      <c r="C920" s="202">
        <v>4</v>
      </c>
      <c r="D920" s="202">
        <v>8</v>
      </c>
      <c r="E920" s="202">
        <v>26</v>
      </c>
      <c r="F920" s="202">
        <v>1</v>
      </c>
      <c r="G920" s="202">
        <v>2</v>
      </c>
      <c r="H920" s="202">
        <v>17</v>
      </c>
      <c r="I920" s="202">
        <v>2</v>
      </c>
      <c r="K920" s="202">
        <v>13</v>
      </c>
      <c r="L920" s="202">
        <v>49</v>
      </c>
      <c r="M920" s="202">
        <v>2</v>
      </c>
      <c r="N920" s="202">
        <v>15</v>
      </c>
      <c r="O920" s="202">
        <v>25</v>
      </c>
      <c r="P920" s="202">
        <v>5</v>
      </c>
      <c r="Q920" s="202">
        <v>24</v>
      </c>
      <c r="R920" s="202">
        <v>22</v>
      </c>
      <c r="S920" s="202">
        <v>2</v>
      </c>
    </row>
    <row r="921" spans="1:19" x14ac:dyDescent="0.35">
      <c r="A921" s="202">
        <v>68</v>
      </c>
      <c r="B921" s="202">
        <v>1</v>
      </c>
      <c r="C921" s="202">
        <v>4</v>
      </c>
      <c r="D921" s="202">
        <v>8</v>
      </c>
      <c r="E921" s="202">
        <v>26</v>
      </c>
      <c r="F921" s="202">
        <v>3</v>
      </c>
      <c r="G921" s="202">
        <v>2</v>
      </c>
      <c r="H921" s="202">
        <v>17</v>
      </c>
      <c r="I921" s="202">
        <v>2</v>
      </c>
      <c r="K921" s="202">
        <v>16</v>
      </c>
      <c r="L921" s="202">
        <v>2</v>
      </c>
      <c r="M921" s="202">
        <v>2</v>
      </c>
      <c r="N921" s="202">
        <v>15</v>
      </c>
      <c r="O921" s="202">
        <v>45</v>
      </c>
      <c r="P921" s="202">
        <v>3</v>
      </c>
      <c r="Q921" s="202">
        <v>20</v>
      </c>
      <c r="R921" s="202">
        <v>24</v>
      </c>
      <c r="S921" s="202">
        <v>1</v>
      </c>
    </row>
    <row r="922" spans="1:19" x14ac:dyDescent="0.35">
      <c r="A922" s="202">
        <v>68</v>
      </c>
      <c r="B922" s="202">
        <v>80</v>
      </c>
      <c r="C922" s="202">
        <v>4</v>
      </c>
      <c r="D922" s="202">
        <v>8</v>
      </c>
      <c r="E922" s="202">
        <v>44</v>
      </c>
      <c r="F922" s="202">
        <v>3</v>
      </c>
      <c r="G922" s="202">
        <v>2</v>
      </c>
      <c r="H922" s="202">
        <v>17</v>
      </c>
      <c r="I922" s="202">
        <v>1</v>
      </c>
      <c r="K922" s="202">
        <v>54</v>
      </c>
      <c r="L922" s="202">
        <v>32</v>
      </c>
      <c r="M922" s="202">
        <v>4</v>
      </c>
      <c r="N922" s="202">
        <v>10</v>
      </c>
      <c r="O922" s="202">
        <v>49</v>
      </c>
      <c r="P922" s="202">
        <v>4</v>
      </c>
      <c r="Q922" s="202">
        <v>20</v>
      </c>
      <c r="R922" s="202">
        <v>8</v>
      </c>
      <c r="S922" s="202">
        <v>1</v>
      </c>
    </row>
    <row r="923" spans="1:19" x14ac:dyDescent="0.35">
      <c r="A923" s="202">
        <v>68</v>
      </c>
      <c r="B923" s="202">
        <v>80</v>
      </c>
      <c r="C923" s="202">
        <v>4</v>
      </c>
      <c r="D923" s="202">
        <v>8</v>
      </c>
      <c r="E923" s="202">
        <v>44</v>
      </c>
      <c r="F923" s="202">
        <v>5</v>
      </c>
      <c r="G923" s="202">
        <v>2</v>
      </c>
      <c r="H923" s="202">
        <v>17</v>
      </c>
      <c r="I923" s="202">
        <v>1</v>
      </c>
      <c r="K923" s="202">
        <v>81</v>
      </c>
      <c r="L923" s="202">
        <v>31</v>
      </c>
      <c r="M923" s="202">
        <v>2</v>
      </c>
      <c r="N923" s="202">
        <v>10</v>
      </c>
      <c r="O923" s="202">
        <v>48</v>
      </c>
      <c r="P923" s="202">
        <v>1</v>
      </c>
      <c r="Q923" s="202">
        <v>5</v>
      </c>
      <c r="R923" s="202">
        <v>20</v>
      </c>
      <c r="S923" s="202">
        <v>2</v>
      </c>
    </row>
    <row r="924" spans="1:19" x14ac:dyDescent="0.35">
      <c r="A924" s="202">
        <v>68</v>
      </c>
      <c r="B924" s="202">
        <v>80</v>
      </c>
      <c r="C924" s="202">
        <v>4</v>
      </c>
      <c r="D924" s="202">
        <v>8</v>
      </c>
      <c r="E924" s="202">
        <v>45</v>
      </c>
      <c r="F924" s="202">
        <v>3</v>
      </c>
      <c r="G924" s="202">
        <v>11</v>
      </c>
      <c r="H924" s="202">
        <v>4</v>
      </c>
      <c r="I924" s="202">
        <v>1</v>
      </c>
      <c r="K924" s="202">
        <v>17</v>
      </c>
      <c r="L924" s="202">
        <v>24</v>
      </c>
      <c r="M924" s="202">
        <v>2</v>
      </c>
      <c r="N924" s="202">
        <v>4</v>
      </c>
      <c r="O924" s="202">
        <v>53</v>
      </c>
      <c r="P924" s="202">
        <v>4</v>
      </c>
      <c r="Q924" s="202">
        <v>14</v>
      </c>
      <c r="R924" s="202">
        <v>29</v>
      </c>
      <c r="S924" s="202">
        <v>1</v>
      </c>
    </row>
    <row r="925" spans="1:19" x14ac:dyDescent="0.35">
      <c r="A925" s="202">
        <v>68</v>
      </c>
      <c r="B925" s="202">
        <v>80</v>
      </c>
      <c r="C925" s="202">
        <v>4</v>
      </c>
      <c r="D925" s="202">
        <v>8</v>
      </c>
      <c r="E925" s="202">
        <v>45</v>
      </c>
      <c r="F925" s="202">
        <v>5</v>
      </c>
      <c r="G925" s="202">
        <v>20</v>
      </c>
      <c r="H925" s="202">
        <v>4</v>
      </c>
      <c r="I925" s="202">
        <v>1</v>
      </c>
      <c r="K925" s="202">
        <v>62</v>
      </c>
      <c r="L925" s="202">
        <v>30</v>
      </c>
      <c r="M925" s="202">
        <v>4</v>
      </c>
      <c r="N925" s="202">
        <v>17</v>
      </c>
      <c r="O925" s="202">
        <v>5</v>
      </c>
      <c r="P925" s="202">
        <v>1</v>
      </c>
      <c r="Q925" s="202">
        <v>10</v>
      </c>
      <c r="R925" s="202">
        <v>29</v>
      </c>
      <c r="S925" s="202">
        <v>2</v>
      </c>
    </row>
    <row r="926" spans="1:19" x14ac:dyDescent="0.35">
      <c r="A926" s="202">
        <v>69</v>
      </c>
      <c r="B926" s="202">
        <v>11</v>
      </c>
      <c r="C926" s="202">
        <v>4</v>
      </c>
      <c r="D926" s="202">
        <v>15</v>
      </c>
      <c r="E926" s="202">
        <v>53</v>
      </c>
      <c r="F926" s="202">
        <v>2</v>
      </c>
      <c r="G926" s="202">
        <v>19</v>
      </c>
      <c r="H926" s="202">
        <v>5</v>
      </c>
      <c r="I926" s="202">
        <v>2</v>
      </c>
      <c r="K926" s="202">
        <v>27</v>
      </c>
      <c r="L926" s="202">
        <v>20</v>
      </c>
      <c r="M926" s="202">
        <v>4</v>
      </c>
      <c r="N926" s="202">
        <v>15</v>
      </c>
      <c r="O926" s="202">
        <v>46</v>
      </c>
      <c r="P926" s="202">
        <v>5</v>
      </c>
      <c r="Q926" s="202">
        <v>14</v>
      </c>
      <c r="R926" s="202">
        <v>46</v>
      </c>
      <c r="S926" s="202">
        <v>2</v>
      </c>
    </row>
    <row r="927" spans="1:19" x14ac:dyDescent="0.35">
      <c r="A927" s="202">
        <v>69</v>
      </c>
      <c r="B927" s="202">
        <v>11</v>
      </c>
      <c r="C927" s="202">
        <v>4</v>
      </c>
      <c r="D927" s="202">
        <v>15</v>
      </c>
      <c r="E927" s="202">
        <v>53</v>
      </c>
      <c r="F927" s="202">
        <v>4</v>
      </c>
      <c r="G927" s="202">
        <v>19</v>
      </c>
      <c r="H927" s="202">
        <v>41</v>
      </c>
      <c r="I927" s="202">
        <v>2</v>
      </c>
      <c r="K927" s="202">
        <v>62</v>
      </c>
      <c r="L927" s="202">
        <v>7</v>
      </c>
      <c r="M927" s="202">
        <v>2</v>
      </c>
      <c r="N927" s="202">
        <v>4</v>
      </c>
      <c r="O927" s="202">
        <v>48</v>
      </c>
      <c r="P927" s="202">
        <v>1</v>
      </c>
      <c r="Q927" s="202">
        <v>1</v>
      </c>
      <c r="R927" s="202">
        <v>88</v>
      </c>
      <c r="S927" s="202">
        <v>2</v>
      </c>
    </row>
    <row r="928" spans="1:19" x14ac:dyDescent="0.35">
      <c r="A928" s="202">
        <v>69</v>
      </c>
      <c r="B928" s="202">
        <v>78</v>
      </c>
      <c r="C928" s="202">
        <v>3</v>
      </c>
      <c r="D928" s="202">
        <v>15</v>
      </c>
      <c r="E928" s="202">
        <v>50</v>
      </c>
      <c r="F928" s="202">
        <v>2</v>
      </c>
      <c r="G928" s="202">
        <v>10</v>
      </c>
      <c r="H928" s="202">
        <v>52</v>
      </c>
      <c r="I928" s="202">
        <v>2</v>
      </c>
      <c r="K928" s="202">
        <v>81</v>
      </c>
      <c r="L928" s="202">
        <v>64</v>
      </c>
      <c r="M928" s="202">
        <v>4</v>
      </c>
      <c r="N928" s="202">
        <v>12</v>
      </c>
      <c r="O928" s="202">
        <v>48</v>
      </c>
      <c r="P928" s="202">
        <v>4</v>
      </c>
      <c r="Q928" s="202">
        <v>1</v>
      </c>
      <c r="R928" s="202">
        <v>90</v>
      </c>
      <c r="S928" s="202">
        <v>1</v>
      </c>
    </row>
    <row r="929" spans="1:19" x14ac:dyDescent="0.35">
      <c r="A929" s="202">
        <v>69</v>
      </c>
      <c r="B929" s="202">
        <v>78</v>
      </c>
      <c r="C929" s="202">
        <v>3</v>
      </c>
      <c r="D929" s="202">
        <v>15</v>
      </c>
      <c r="E929" s="202">
        <v>50</v>
      </c>
      <c r="F929" s="202">
        <v>4</v>
      </c>
      <c r="G929" s="202">
        <v>7</v>
      </c>
      <c r="H929" s="202">
        <v>37</v>
      </c>
      <c r="I929" s="202">
        <v>2</v>
      </c>
      <c r="K929" s="202">
        <v>26</v>
      </c>
      <c r="L929" s="202">
        <v>89</v>
      </c>
      <c r="M929" s="202">
        <v>2</v>
      </c>
      <c r="N929" s="202">
        <v>18</v>
      </c>
      <c r="O929" s="202">
        <v>25</v>
      </c>
      <c r="P929" s="202">
        <v>1</v>
      </c>
      <c r="Q929" s="202">
        <v>8</v>
      </c>
      <c r="R929" s="202">
        <v>19</v>
      </c>
      <c r="S929" s="202">
        <v>2</v>
      </c>
    </row>
    <row r="930" spans="1:19" x14ac:dyDescent="0.35">
      <c r="A930" s="202">
        <v>69</v>
      </c>
      <c r="B930" s="202">
        <v>25</v>
      </c>
      <c r="C930" s="202">
        <v>2</v>
      </c>
      <c r="D930" s="202">
        <v>13</v>
      </c>
      <c r="E930" s="202">
        <v>48</v>
      </c>
      <c r="F930" s="202">
        <v>2</v>
      </c>
      <c r="G930" s="202">
        <v>23</v>
      </c>
      <c r="H930" s="202">
        <v>87</v>
      </c>
      <c r="I930" s="202">
        <v>1</v>
      </c>
      <c r="K930" s="202">
        <v>20</v>
      </c>
      <c r="L930" s="202">
        <v>59</v>
      </c>
      <c r="M930" s="202">
        <v>1</v>
      </c>
      <c r="N930" s="202">
        <v>16</v>
      </c>
      <c r="O930" s="202">
        <v>45</v>
      </c>
      <c r="P930" s="202">
        <v>1</v>
      </c>
      <c r="Q930" s="202">
        <v>1</v>
      </c>
      <c r="R930" s="202">
        <v>34</v>
      </c>
      <c r="S930" s="202">
        <v>1</v>
      </c>
    </row>
    <row r="931" spans="1:19" x14ac:dyDescent="0.35">
      <c r="A931" s="202">
        <v>69</v>
      </c>
      <c r="B931" s="202">
        <v>25</v>
      </c>
      <c r="C931" s="202">
        <v>2</v>
      </c>
      <c r="D931" s="202">
        <v>13</v>
      </c>
      <c r="E931" s="202">
        <v>48</v>
      </c>
      <c r="F931" s="202">
        <v>4</v>
      </c>
      <c r="G931" s="202">
        <v>14</v>
      </c>
      <c r="H931" s="202">
        <v>93</v>
      </c>
      <c r="I931" s="202">
        <v>1</v>
      </c>
      <c r="K931" s="202">
        <v>60</v>
      </c>
      <c r="L931" s="202">
        <v>17</v>
      </c>
      <c r="M931" s="202">
        <v>2</v>
      </c>
      <c r="N931" s="202">
        <v>15</v>
      </c>
      <c r="O931" s="202">
        <v>50</v>
      </c>
      <c r="P931" s="202">
        <v>5</v>
      </c>
      <c r="Q931" s="202">
        <v>1</v>
      </c>
      <c r="R931" s="202">
        <v>28</v>
      </c>
      <c r="S931" s="202">
        <v>1</v>
      </c>
    </row>
    <row r="932" spans="1:19" x14ac:dyDescent="0.35">
      <c r="A932" s="202">
        <v>69</v>
      </c>
      <c r="B932" s="202">
        <v>24</v>
      </c>
      <c r="C932" s="202">
        <v>2</v>
      </c>
      <c r="D932" s="202">
        <v>13</v>
      </c>
      <c r="E932" s="202">
        <v>51</v>
      </c>
      <c r="F932" s="202">
        <v>2</v>
      </c>
      <c r="G932" s="202">
        <v>7</v>
      </c>
      <c r="H932" s="202">
        <v>90</v>
      </c>
      <c r="I932" s="202">
        <v>1</v>
      </c>
      <c r="K932" s="202">
        <v>40</v>
      </c>
      <c r="L932" s="202">
        <v>77</v>
      </c>
      <c r="M932" s="202">
        <v>2</v>
      </c>
      <c r="N932" s="202">
        <v>9</v>
      </c>
      <c r="O932" s="202">
        <v>52</v>
      </c>
      <c r="P932" s="202">
        <v>1</v>
      </c>
      <c r="Q932" s="202">
        <v>2</v>
      </c>
      <c r="R932" s="202">
        <v>48</v>
      </c>
      <c r="S932" s="202">
        <v>3</v>
      </c>
    </row>
    <row r="933" spans="1:19" x14ac:dyDescent="0.35">
      <c r="A933" s="202">
        <v>69</v>
      </c>
      <c r="B933" s="202">
        <v>24</v>
      </c>
      <c r="C933" s="202">
        <v>2</v>
      </c>
      <c r="D933" s="202">
        <v>13</v>
      </c>
      <c r="E933" s="202">
        <v>51</v>
      </c>
      <c r="F933" s="202">
        <v>4</v>
      </c>
      <c r="G933" s="202">
        <v>7</v>
      </c>
      <c r="H933" s="202">
        <v>94</v>
      </c>
      <c r="I933" s="202">
        <v>1</v>
      </c>
      <c r="K933" s="202">
        <v>56</v>
      </c>
      <c r="L933" s="202">
        <v>11</v>
      </c>
      <c r="M933" s="202">
        <v>2</v>
      </c>
      <c r="N933" s="202">
        <v>8</v>
      </c>
      <c r="O933" s="202">
        <v>49</v>
      </c>
      <c r="P933" s="202">
        <v>5</v>
      </c>
      <c r="Q933" s="202">
        <v>20</v>
      </c>
      <c r="R933" s="202">
        <v>36</v>
      </c>
      <c r="S933" s="202">
        <v>1</v>
      </c>
    </row>
    <row r="934" spans="1:19" x14ac:dyDescent="0.35">
      <c r="A934" s="202">
        <v>69</v>
      </c>
      <c r="B934" s="202">
        <v>25</v>
      </c>
      <c r="C934" s="202">
        <v>2</v>
      </c>
      <c r="D934" s="202">
        <v>12</v>
      </c>
      <c r="E934" s="202">
        <v>49</v>
      </c>
      <c r="F934" s="202">
        <v>3</v>
      </c>
      <c r="G934" s="202">
        <v>20</v>
      </c>
      <c r="H934" s="202">
        <v>72</v>
      </c>
      <c r="I934" s="202">
        <v>1</v>
      </c>
      <c r="K934" s="202">
        <v>4</v>
      </c>
      <c r="L934" s="202">
        <v>87</v>
      </c>
      <c r="M934" s="202">
        <v>2</v>
      </c>
      <c r="N934" s="202">
        <v>17</v>
      </c>
      <c r="O934" s="202">
        <v>1</v>
      </c>
      <c r="P934" s="202">
        <v>4</v>
      </c>
      <c r="Q934" s="202">
        <v>19</v>
      </c>
      <c r="R934" s="202">
        <v>40</v>
      </c>
      <c r="S934" s="202">
        <v>1</v>
      </c>
    </row>
    <row r="935" spans="1:19" x14ac:dyDescent="0.35">
      <c r="A935" s="202">
        <v>69</v>
      </c>
      <c r="B935" s="202">
        <v>25</v>
      </c>
      <c r="C935" s="202">
        <v>2</v>
      </c>
      <c r="D935" s="202">
        <v>12</v>
      </c>
      <c r="E935" s="202">
        <v>49</v>
      </c>
      <c r="F935" s="202">
        <v>5</v>
      </c>
      <c r="G935" s="202">
        <v>2</v>
      </c>
      <c r="H935" s="202">
        <v>70</v>
      </c>
      <c r="I935" s="202">
        <v>1</v>
      </c>
      <c r="K935" s="202">
        <v>22</v>
      </c>
      <c r="L935" s="202">
        <v>25</v>
      </c>
      <c r="M935" s="202">
        <v>2</v>
      </c>
      <c r="N935" s="202">
        <v>8</v>
      </c>
      <c r="O935" s="202">
        <v>26</v>
      </c>
      <c r="P935" s="202">
        <v>2</v>
      </c>
      <c r="Q935" s="202">
        <v>2</v>
      </c>
      <c r="R935" s="202">
        <v>24</v>
      </c>
      <c r="S935" s="202">
        <v>2</v>
      </c>
    </row>
    <row r="936" spans="1:19" x14ac:dyDescent="0.35">
      <c r="A936" s="202">
        <v>69</v>
      </c>
      <c r="B936" s="202">
        <v>24</v>
      </c>
      <c r="C936" s="202">
        <v>2</v>
      </c>
      <c r="D936" s="202">
        <v>12</v>
      </c>
      <c r="E936" s="202">
        <v>50</v>
      </c>
      <c r="F936" s="202">
        <v>4</v>
      </c>
      <c r="G936" s="202">
        <v>23</v>
      </c>
      <c r="H936" s="202">
        <v>7</v>
      </c>
      <c r="I936" s="202">
        <v>1</v>
      </c>
      <c r="K936" s="202">
        <v>47</v>
      </c>
      <c r="L936" s="202">
        <v>93</v>
      </c>
      <c r="M936" s="202">
        <v>3</v>
      </c>
      <c r="N936" s="202">
        <v>18</v>
      </c>
      <c r="O936" s="202">
        <v>51</v>
      </c>
      <c r="P936" s="202">
        <v>1</v>
      </c>
      <c r="Q936" s="202">
        <v>23</v>
      </c>
      <c r="R936" s="202">
        <v>24</v>
      </c>
      <c r="S936" s="202">
        <v>2</v>
      </c>
    </row>
    <row r="937" spans="1:19" x14ac:dyDescent="0.35">
      <c r="A937" s="202">
        <v>69</v>
      </c>
      <c r="B937" s="202">
        <v>24</v>
      </c>
      <c r="C937" s="202">
        <v>2</v>
      </c>
      <c r="D937" s="202">
        <v>12</v>
      </c>
      <c r="E937" s="202">
        <v>50</v>
      </c>
      <c r="F937" s="202">
        <v>5</v>
      </c>
      <c r="G937" s="202">
        <v>23</v>
      </c>
      <c r="H937" s="202">
        <v>7</v>
      </c>
      <c r="I937" s="202">
        <v>1</v>
      </c>
      <c r="K937" s="202">
        <v>54</v>
      </c>
      <c r="L937" s="202">
        <v>53</v>
      </c>
      <c r="M937" s="202">
        <v>4</v>
      </c>
      <c r="N937" s="202">
        <v>16</v>
      </c>
      <c r="O937" s="202">
        <v>40</v>
      </c>
      <c r="P937" s="202">
        <v>3</v>
      </c>
      <c r="Q937" s="202">
        <v>11</v>
      </c>
      <c r="R937" s="202">
        <v>8</v>
      </c>
      <c r="S937" s="202">
        <v>1</v>
      </c>
    </row>
    <row r="938" spans="1:19" x14ac:dyDescent="0.35">
      <c r="A938" s="202">
        <v>69</v>
      </c>
      <c r="B938" s="202">
        <v>22</v>
      </c>
      <c r="C938" s="202">
        <v>4</v>
      </c>
      <c r="D938" s="202">
        <v>15</v>
      </c>
      <c r="E938" s="202">
        <v>6</v>
      </c>
      <c r="F938" s="202">
        <v>2</v>
      </c>
      <c r="G938" s="202">
        <v>24</v>
      </c>
      <c r="H938" s="202">
        <v>49</v>
      </c>
      <c r="I938" s="202">
        <v>3</v>
      </c>
      <c r="K938" s="202">
        <v>22</v>
      </c>
      <c r="L938" s="202">
        <v>25</v>
      </c>
      <c r="M938" s="202">
        <v>2</v>
      </c>
      <c r="N938" s="202">
        <v>17</v>
      </c>
      <c r="O938" s="202">
        <v>48</v>
      </c>
      <c r="P938" s="202">
        <v>1</v>
      </c>
      <c r="Q938" s="202">
        <v>11</v>
      </c>
      <c r="R938" s="202">
        <v>7</v>
      </c>
      <c r="S938" s="202">
        <v>1</v>
      </c>
    </row>
    <row r="939" spans="1:19" x14ac:dyDescent="0.35">
      <c r="A939" s="202">
        <v>70</v>
      </c>
      <c r="B939" s="202">
        <v>28</v>
      </c>
      <c r="C939" s="202">
        <v>4</v>
      </c>
      <c r="D939" s="202">
        <v>15</v>
      </c>
      <c r="E939" s="202">
        <v>29</v>
      </c>
      <c r="F939" s="202">
        <v>3</v>
      </c>
      <c r="G939" s="202">
        <v>20</v>
      </c>
      <c r="H939" s="202">
        <v>19</v>
      </c>
      <c r="I939" s="202">
        <v>2</v>
      </c>
      <c r="K939" s="202">
        <v>5</v>
      </c>
      <c r="L939" s="202">
        <v>51</v>
      </c>
      <c r="M939" s="202">
        <v>4</v>
      </c>
      <c r="N939" s="202">
        <v>4</v>
      </c>
      <c r="O939" s="202">
        <v>45</v>
      </c>
      <c r="P939" s="202">
        <v>4</v>
      </c>
      <c r="Q939" s="202">
        <v>2</v>
      </c>
      <c r="R939" s="202">
        <v>54</v>
      </c>
      <c r="S939" s="202">
        <v>1</v>
      </c>
    </row>
    <row r="940" spans="1:19" x14ac:dyDescent="0.35">
      <c r="A940" s="202">
        <v>70</v>
      </c>
      <c r="B940" s="202">
        <v>28</v>
      </c>
      <c r="C940" s="202">
        <v>4</v>
      </c>
      <c r="D940" s="202">
        <v>15</v>
      </c>
      <c r="E940" s="202">
        <v>29</v>
      </c>
      <c r="F940" s="202">
        <v>5</v>
      </c>
      <c r="G940" s="202">
        <v>20</v>
      </c>
      <c r="H940" s="202">
        <v>11</v>
      </c>
      <c r="I940" s="202">
        <v>2</v>
      </c>
      <c r="K940" s="202">
        <v>1</v>
      </c>
      <c r="L940" s="202">
        <v>48</v>
      </c>
      <c r="M940" s="202">
        <v>3</v>
      </c>
      <c r="N940" s="202">
        <v>17</v>
      </c>
      <c r="O940" s="202">
        <v>27</v>
      </c>
      <c r="P940" s="202">
        <v>2</v>
      </c>
      <c r="Q940" s="202">
        <v>18</v>
      </c>
      <c r="R940" s="202">
        <v>7</v>
      </c>
      <c r="S940" s="202">
        <v>1</v>
      </c>
    </row>
    <row r="941" spans="1:19" x14ac:dyDescent="0.35">
      <c r="A941" s="202">
        <v>70</v>
      </c>
      <c r="B941" s="202">
        <v>74</v>
      </c>
      <c r="C941" s="202">
        <v>3</v>
      </c>
      <c r="D941" s="202">
        <v>15</v>
      </c>
      <c r="E941" s="202">
        <v>5</v>
      </c>
      <c r="F941" s="202">
        <v>1</v>
      </c>
      <c r="G941" s="202">
        <v>14</v>
      </c>
      <c r="H941" s="202">
        <v>5</v>
      </c>
      <c r="I941" s="202">
        <v>2</v>
      </c>
      <c r="K941" s="202">
        <v>50</v>
      </c>
      <c r="L941" s="202">
        <v>16</v>
      </c>
      <c r="M941" s="202">
        <v>2</v>
      </c>
      <c r="N941" s="202">
        <v>15</v>
      </c>
      <c r="O941" s="202">
        <v>49</v>
      </c>
      <c r="P941" s="202">
        <v>4</v>
      </c>
      <c r="Q941" s="202">
        <v>11</v>
      </c>
      <c r="R941" s="202">
        <v>7</v>
      </c>
      <c r="S941" s="202">
        <v>2</v>
      </c>
    </row>
    <row r="942" spans="1:19" x14ac:dyDescent="0.35">
      <c r="A942" s="202">
        <v>70</v>
      </c>
      <c r="B942" s="202">
        <v>74</v>
      </c>
      <c r="C942" s="202">
        <v>3</v>
      </c>
      <c r="D942" s="202">
        <v>15</v>
      </c>
      <c r="E942" s="202">
        <v>5</v>
      </c>
      <c r="F942" s="202">
        <v>5</v>
      </c>
      <c r="G942" s="202">
        <v>1</v>
      </c>
      <c r="H942" s="202">
        <v>48</v>
      </c>
      <c r="I942" s="202">
        <v>2</v>
      </c>
      <c r="K942" s="202">
        <v>4</v>
      </c>
      <c r="L942" s="202">
        <v>26</v>
      </c>
      <c r="M942" s="202">
        <v>2</v>
      </c>
      <c r="N942" s="202">
        <v>8</v>
      </c>
      <c r="O942" s="202">
        <v>47</v>
      </c>
      <c r="P942" s="202">
        <v>3</v>
      </c>
      <c r="Q942" s="202">
        <v>2</v>
      </c>
      <c r="R942" s="202">
        <v>24</v>
      </c>
      <c r="S942" s="202">
        <v>1</v>
      </c>
    </row>
    <row r="943" spans="1:19" x14ac:dyDescent="0.35">
      <c r="A943" s="202">
        <v>70</v>
      </c>
      <c r="B943" s="202">
        <v>24</v>
      </c>
      <c r="C943" s="202">
        <v>2</v>
      </c>
      <c r="D943" s="202">
        <v>13</v>
      </c>
      <c r="E943" s="202">
        <v>48</v>
      </c>
      <c r="F943" s="202">
        <v>3</v>
      </c>
      <c r="G943" s="202">
        <v>23</v>
      </c>
      <c r="H943" s="202">
        <v>87</v>
      </c>
      <c r="I943" s="202">
        <v>1</v>
      </c>
      <c r="K943" s="202">
        <v>34</v>
      </c>
      <c r="L943" s="202">
        <v>21</v>
      </c>
      <c r="M943" s="202">
        <v>2</v>
      </c>
      <c r="N943" s="202">
        <v>10</v>
      </c>
      <c r="O943" s="202">
        <v>44</v>
      </c>
      <c r="P943" s="202">
        <v>5</v>
      </c>
      <c r="Q943" s="202">
        <v>24</v>
      </c>
      <c r="R943" s="202">
        <v>5</v>
      </c>
      <c r="S943" s="202">
        <v>1</v>
      </c>
    </row>
    <row r="944" spans="1:19" x14ac:dyDescent="0.35">
      <c r="A944" s="202">
        <v>70</v>
      </c>
      <c r="B944" s="202">
        <v>24</v>
      </c>
      <c r="C944" s="202">
        <v>2</v>
      </c>
      <c r="D944" s="202">
        <v>13</v>
      </c>
      <c r="E944" s="202">
        <v>48</v>
      </c>
      <c r="F944" s="202">
        <v>5</v>
      </c>
      <c r="G944" s="202">
        <v>14</v>
      </c>
      <c r="H944" s="202">
        <v>93</v>
      </c>
      <c r="I944" s="202">
        <v>1</v>
      </c>
      <c r="K944" s="202">
        <v>61</v>
      </c>
      <c r="L944" s="202">
        <v>30</v>
      </c>
      <c r="M944" s="202">
        <v>4</v>
      </c>
      <c r="N944" s="202">
        <v>13</v>
      </c>
      <c r="O944" s="202">
        <v>25</v>
      </c>
      <c r="P944" s="202">
        <v>2</v>
      </c>
      <c r="Q944" s="202">
        <v>17</v>
      </c>
      <c r="R944" s="202">
        <v>37</v>
      </c>
      <c r="S944" s="202">
        <v>2</v>
      </c>
    </row>
    <row r="945" spans="1:19" x14ac:dyDescent="0.35">
      <c r="A945" s="202">
        <v>70</v>
      </c>
      <c r="B945" s="202">
        <v>25</v>
      </c>
      <c r="C945" s="202">
        <v>2</v>
      </c>
      <c r="D945" s="202">
        <v>13</v>
      </c>
      <c r="E945" s="202">
        <v>51</v>
      </c>
      <c r="F945" s="202">
        <v>1</v>
      </c>
      <c r="G945" s="202">
        <v>19</v>
      </c>
      <c r="H945" s="202">
        <v>90</v>
      </c>
      <c r="I945" s="202">
        <v>1</v>
      </c>
      <c r="K945" s="202">
        <v>13</v>
      </c>
      <c r="L945" s="202">
        <v>100</v>
      </c>
      <c r="M945" s="202">
        <v>3</v>
      </c>
      <c r="N945" s="202">
        <v>10</v>
      </c>
      <c r="O945" s="202">
        <v>1</v>
      </c>
      <c r="P945" s="202">
        <v>4</v>
      </c>
      <c r="Q945" s="202">
        <v>25</v>
      </c>
      <c r="R945" s="202">
        <v>21</v>
      </c>
      <c r="S945" s="202">
        <v>2</v>
      </c>
    </row>
    <row r="946" spans="1:19" x14ac:dyDescent="0.35">
      <c r="A946" s="202">
        <v>70</v>
      </c>
      <c r="B946" s="202">
        <v>25</v>
      </c>
      <c r="C946" s="202">
        <v>2</v>
      </c>
      <c r="D946" s="202">
        <v>13</v>
      </c>
      <c r="E946" s="202">
        <v>51</v>
      </c>
      <c r="F946" s="202">
        <v>3</v>
      </c>
      <c r="G946" s="202">
        <v>7</v>
      </c>
      <c r="H946" s="202">
        <v>94</v>
      </c>
      <c r="I946" s="202">
        <v>1</v>
      </c>
      <c r="K946" s="202">
        <v>35</v>
      </c>
      <c r="L946" s="202">
        <v>24</v>
      </c>
      <c r="M946" s="202">
        <v>4</v>
      </c>
      <c r="N946" s="202">
        <v>8</v>
      </c>
      <c r="O946" s="202">
        <v>51</v>
      </c>
      <c r="P946" s="202">
        <v>1</v>
      </c>
      <c r="Q946" s="202">
        <v>24</v>
      </c>
      <c r="R946" s="202">
        <v>18</v>
      </c>
      <c r="S946" s="202">
        <v>1</v>
      </c>
    </row>
    <row r="947" spans="1:19" x14ac:dyDescent="0.35">
      <c r="A947" s="202">
        <v>70</v>
      </c>
      <c r="B947" s="202">
        <v>24</v>
      </c>
      <c r="C947" s="202">
        <v>2</v>
      </c>
      <c r="D947" s="202">
        <v>12</v>
      </c>
      <c r="E947" s="202">
        <v>49</v>
      </c>
      <c r="F947" s="202">
        <v>4</v>
      </c>
      <c r="G947" s="202">
        <v>23</v>
      </c>
      <c r="H947" s="202">
        <v>7</v>
      </c>
      <c r="I947" s="202">
        <v>1</v>
      </c>
      <c r="K947" s="202">
        <v>36</v>
      </c>
      <c r="L947" s="202">
        <v>76</v>
      </c>
      <c r="M947" s="202">
        <v>4</v>
      </c>
      <c r="N947" s="202">
        <v>8</v>
      </c>
      <c r="O947" s="202">
        <v>27</v>
      </c>
      <c r="P947" s="202">
        <v>3</v>
      </c>
      <c r="Q947" s="202">
        <v>20</v>
      </c>
      <c r="R947" s="202">
        <v>99</v>
      </c>
      <c r="S947" s="202">
        <v>1</v>
      </c>
    </row>
    <row r="948" spans="1:19" x14ac:dyDescent="0.35">
      <c r="A948" s="202">
        <v>70</v>
      </c>
      <c r="B948" s="202">
        <v>24</v>
      </c>
      <c r="C948" s="202">
        <v>2</v>
      </c>
      <c r="D948" s="202">
        <v>12</v>
      </c>
      <c r="E948" s="202">
        <v>49</v>
      </c>
      <c r="F948" s="202">
        <v>5</v>
      </c>
      <c r="G948" s="202">
        <v>23</v>
      </c>
      <c r="H948" s="202">
        <v>7</v>
      </c>
      <c r="I948" s="202">
        <v>1</v>
      </c>
      <c r="K948" s="202">
        <v>66</v>
      </c>
      <c r="L948" s="202">
        <v>104</v>
      </c>
      <c r="M948" s="202">
        <v>2</v>
      </c>
      <c r="N948" s="202">
        <v>10</v>
      </c>
      <c r="O948" s="202">
        <v>25</v>
      </c>
      <c r="P948" s="202">
        <v>2</v>
      </c>
      <c r="Q948" s="202">
        <v>2</v>
      </c>
      <c r="R948" s="202">
        <v>18</v>
      </c>
      <c r="S948" s="202">
        <v>3</v>
      </c>
    </row>
    <row r="949" spans="1:19" x14ac:dyDescent="0.35">
      <c r="A949" s="202">
        <v>70</v>
      </c>
      <c r="B949" s="202">
        <v>25</v>
      </c>
      <c r="C949" s="202">
        <v>2</v>
      </c>
      <c r="D949" s="202">
        <v>12</v>
      </c>
      <c r="E949" s="202">
        <v>50</v>
      </c>
      <c r="F949" s="202">
        <v>3</v>
      </c>
      <c r="G949" s="202">
        <v>20</v>
      </c>
      <c r="H949" s="202">
        <v>73</v>
      </c>
      <c r="I949" s="202">
        <v>1</v>
      </c>
      <c r="K949" s="202">
        <v>48</v>
      </c>
      <c r="L949" s="202">
        <v>48</v>
      </c>
      <c r="M949" s="202">
        <v>4</v>
      </c>
      <c r="N949" s="202">
        <v>15</v>
      </c>
      <c r="O949" s="202">
        <v>43</v>
      </c>
      <c r="P949" s="202">
        <v>2</v>
      </c>
      <c r="Q949" s="202">
        <v>10</v>
      </c>
      <c r="R949" s="202">
        <v>8</v>
      </c>
      <c r="S949" s="202">
        <v>1</v>
      </c>
    </row>
    <row r="950" spans="1:19" x14ac:dyDescent="0.35">
      <c r="A950" s="202">
        <v>70</v>
      </c>
      <c r="B950" s="202">
        <v>25</v>
      </c>
      <c r="C950" s="202">
        <v>2</v>
      </c>
      <c r="D950" s="202">
        <v>12</v>
      </c>
      <c r="E950" s="202">
        <v>50</v>
      </c>
      <c r="F950" s="202">
        <v>5</v>
      </c>
      <c r="G950" s="202">
        <v>2</v>
      </c>
      <c r="H950" s="202">
        <v>71</v>
      </c>
      <c r="I950" s="202">
        <v>1</v>
      </c>
      <c r="K950" s="202">
        <v>72</v>
      </c>
      <c r="L950" s="202">
        <v>25</v>
      </c>
      <c r="M950" s="202">
        <v>3</v>
      </c>
      <c r="N950" s="202">
        <v>8</v>
      </c>
      <c r="O950" s="202">
        <v>26</v>
      </c>
      <c r="P950" s="202">
        <v>4</v>
      </c>
      <c r="Q950" s="202">
        <v>3</v>
      </c>
      <c r="R950" s="202">
        <v>7</v>
      </c>
      <c r="S950" s="202">
        <v>2</v>
      </c>
    </row>
    <row r="951" spans="1:19" x14ac:dyDescent="0.35">
      <c r="A951" s="202">
        <v>70</v>
      </c>
      <c r="B951" s="202">
        <v>46</v>
      </c>
      <c r="C951" s="202">
        <v>4</v>
      </c>
      <c r="D951" s="202">
        <v>15</v>
      </c>
      <c r="E951" s="202">
        <v>22</v>
      </c>
      <c r="F951" s="202">
        <v>5</v>
      </c>
      <c r="G951" s="202">
        <v>25</v>
      </c>
      <c r="H951" s="202">
        <v>67</v>
      </c>
      <c r="I951" s="202">
        <v>3</v>
      </c>
      <c r="K951" s="202">
        <v>44</v>
      </c>
      <c r="L951" s="202">
        <v>33</v>
      </c>
      <c r="M951" s="202">
        <v>4</v>
      </c>
      <c r="N951" s="202">
        <v>15</v>
      </c>
      <c r="O951" s="202">
        <v>50</v>
      </c>
      <c r="P951" s="202">
        <v>1</v>
      </c>
      <c r="Q951" s="202">
        <v>20</v>
      </c>
      <c r="R951" s="202">
        <v>12</v>
      </c>
      <c r="S951" s="202">
        <v>1</v>
      </c>
    </row>
    <row r="952" spans="1:19" x14ac:dyDescent="0.35">
      <c r="A952" s="202">
        <v>71</v>
      </c>
      <c r="B952" s="202">
        <v>20</v>
      </c>
      <c r="C952" s="202">
        <v>3</v>
      </c>
      <c r="D952" s="202">
        <v>18</v>
      </c>
      <c r="E952" s="202">
        <v>48</v>
      </c>
      <c r="F952" s="202">
        <v>1</v>
      </c>
      <c r="G952" s="202">
        <v>14</v>
      </c>
      <c r="H952" s="202">
        <v>33</v>
      </c>
      <c r="I952" s="202">
        <v>1</v>
      </c>
      <c r="K952" s="202">
        <v>83</v>
      </c>
      <c r="L952" s="202">
        <v>20</v>
      </c>
      <c r="M952" s="202">
        <v>4</v>
      </c>
      <c r="N952" s="202">
        <v>3</v>
      </c>
      <c r="O952" s="202">
        <v>49</v>
      </c>
      <c r="P952" s="202">
        <v>4</v>
      </c>
      <c r="Q952" s="202">
        <v>2</v>
      </c>
      <c r="R952" s="202">
        <v>28</v>
      </c>
      <c r="S952" s="202">
        <v>2</v>
      </c>
    </row>
    <row r="953" spans="1:19" x14ac:dyDescent="0.35">
      <c r="A953" s="202">
        <v>71</v>
      </c>
      <c r="B953" s="202">
        <v>20</v>
      </c>
      <c r="C953" s="202">
        <v>3</v>
      </c>
      <c r="D953" s="202">
        <v>18</v>
      </c>
      <c r="E953" s="202">
        <v>48</v>
      </c>
      <c r="F953" s="202">
        <v>5</v>
      </c>
      <c r="G953" s="202">
        <v>1</v>
      </c>
      <c r="H953" s="202">
        <v>20</v>
      </c>
      <c r="I953" s="202">
        <v>1</v>
      </c>
      <c r="K953" s="202">
        <v>2</v>
      </c>
      <c r="L953" s="202">
        <v>25</v>
      </c>
      <c r="M953" s="202">
        <v>3</v>
      </c>
      <c r="N953" s="202">
        <v>17</v>
      </c>
      <c r="O953" s="202">
        <v>1</v>
      </c>
      <c r="P953" s="202">
        <v>4</v>
      </c>
      <c r="Q953" s="202">
        <v>2</v>
      </c>
      <c r="R953" s="202">
        <v>9</v>
      </c>
      <c r="S953" s="202">
        <v>1</v>
      </c>
    </row>
    <row r="954" spans="1:19" x14ac:dyDescent="0.35">
      <c r="A954" s="202">
        <v>71</v>
      </c>
      <c r="B954" s="202">
        <v>108</v>
      </c>
      <c r="C954" s="202">
        <v>3</v>
      </c>
      <c r="D954" s="202">
        <v>18</v>
      </c>
      <c r="E954" s="202">
        <v>25</v>
      </c>
      <c r="F954" s="202">
        <v>2</v>
      </c>
      <c r="G954" s="202">
        <v>7</v>
      </c>
      <c r="H954" s="202">
        <v>20</v>
      </c>
      <c r="I954" s="202">
        <v>2</v>
      </c>
      <c r="K954" s="202">
        <v>57</v>
      </c>
      <c r="L954" s="202">
        <v>38</v>
      </c>
      <c r="M954" s="202">
        <v>2</v>
      </c>
      <c r="N954" s="202">
        <v>18</v>
      </c>
      <c r="O954" s="202">
        <v>47</v>
      </c>
      <c r="P954" s="202">
        <v>1</v>
      </c>
      <c r="Q954" s="202">
        <v>20</v>
      </c>
      <c r="R954" s="202">
        <v>36</v>
      </c>
      <c r="S954" s="202">
        <v>2</v>
      </c>
    </row>
    <row r="955" spans="1:19" x14ac:dyDescent="0.35">
      <c r="A955" s="202">
        <v>71</v>
      </c>
      <c r="B955" s="202">
        <v>108</v>
      </c>
      <c r="C955" s="202">
        <v>3</v>
      </c>
      <c r="D955" s="202">
        <v>18</v>
      </c>
      <c r="E955" s="202">
        <v>25</v>
      </c>
      <c r="F955" s="202">
        <v>3</v>
      </c>
      <c r="G955" s="202">
        <v>19</v>
      </c>
      <c r="H955" s="202">
        <v>20</v>
      </c>
      <c r="I955" s="202">
        <v>2</v>
      </c>
      <c r="K955" s="202">
        <v>37</v>
      </c>
      <c r="L955" s="202">
        <v>79</v>
      </c>
      <c r="M955" s="202">
        <v>1</v>
      </c>
      <c r="N955" s="202">
        <v>15</v>
      </c>
      <c r="O955" s="202">
        <v>53</v>
      </c>
      <c r="P955" s="202">
        <v>5</v>
      </c>
      <c r="Q955" s="202">
        <v>10</v>
      </c>
      <c r="R955" s="202">
        <v>9</v>
      </c>
      <c r="S955" s="202">
        <v>1</v>
      </c>
    </row>
    <row r="956" spans="1:19" x14ac:dyDescent="0.35">
      <c r="A956" s="202">
        <v>71</v>
      </c>
      <c r="B956" s="202">
        <v>109</v>
      </c>
      <c r="C956" s="202">
        <v>3</v>
      </c>
      <c r="D956" s="202">
        <v>18</v>
      </c>
      <c r="E956" s="202">
        <v>25</v>
      </c>
      <c r="F956" s="202">
        <v>1</v>
      </c>
      <c r="G956" s="202">
        <v>1</v>
      </c>
      <c r="H956" s="202">
        <v>20</v>
      </c>
      <c r="I956" s="202">
        <v>2</v>
      </c>
      <c r="K956" s="202">
        <v>59</v>
      </c>
      <c r="L956" s="202">
        <v>25</v>
      </c>
      <c r="M956" s="202">
        <v>2</v>
      </c>
      <c r="N956" s="202">
        <v>8</v>
      </c>
      <c r="O956" s="202">
        <v>2</v>
      </c>
      <c r="P956" s="202">
        <v>1</v>
      </c>
      <c r="Q956" s="202">
        <v>24</v>
      </c>
      <c r="R956" s="202">
        <v>4</v>
      </c>
      <c r="S956" s="202">
        <v>1</v>
      </c>
    </row>
    <row r="957" spans="1:19" x14ac:dyDescent="0.35">
      <c r="A957" s="202">
        <v>71</v>
      </c>
      <c r="B957" s="202">
        <v>109</v>
      </c>
      <c r="C957" s="202">
        <v>3</v>
      </c>
      <c r="D957" s="202">
        <v>18</v>
      </c>
      <c r="E957" s="202">
        <v>25</v>
      </c>
      <c r="F957" s="202">
        <v>4</v>
      </c>
      <c r="G957" s="202">
        <v>14</v>
      </c>
      <c r="H957" s="202">
        <v>46</v>
      </c>
      <c r="I957" s="202">
        <v>2</v>
      </c>
      <c r="K957" s="202">
        <v>84</v>
      </c>
      <c r="L957" s="202">
        <v>32</v>
      </c>
      <c r="M957" s="202">
        <v>3</v>
      </c>
      <c r="N957" s="202">
        <v>15</v>
      </c>
      <c r="O957" s="202">
        <v>24</v>
      </c>
      <c r="P957" s="202">
        <v>1</v>
      </c>
      <c r="Q957" s="202">
        <v>20</v>
      </c>
      <c r="R957" s="202">
        <v>66</v>
      </c>
      <c r="S957" s="202">
        <v>1</v>
      </c>
    </row>
    <row r="958" spans="1:19" x14ac:dyDescent="0.35">
      <c r="A958" s="202">
        <v>71</v>
      </c>
      <c r="B958" s="202">
        <v>100</v>
      </c>
      <c r="C958" s="202">
        <v>3</v>
      </c>
      <c r="D958" s="202">
        <v>18</v>
      </c>
      <c r="E958" s="202">
        <v>25</v>
      </c>
      <c r="F958" s="202">
        <v>2</v>
      </c>
      <c r="G958" s="202">
        <v>10</v>
      </c>
      <c r="H958" s="202">
        <v>19</v>
      </c>
      <c r="I958" s="202">
        <v>1</v>
      </c>
      <c r="K958" s="202">
        <v>1</v>
      </c>
      <c r="L958" s="202">
        <v>112</v>
      </c>
      <c r="M958" s="202">
        <v>3</v>
      </c>
      <c r="N958" s="202">
        <v>15</v>
      </c>
      <c r="O958" s="202">
        <v>49</v>
      </c>
      <c r="P958" s="202">
        <v>2</v>
      </c>
      <c r="Q958" s="202">
        <v>1</v>
      </c>
      <c r="R958" s="202">
        <v>45</v>
      </c>
      <c r="S958" s="202">
        <v>2</v>
      </c>
    </row>
    <row r="959" spans="1:19" x14ac:dyDescent="0.35">
      <c r="A959" s="202">
        <v>71</v>
      </c>
      <c r="B959" s="202">
        <v>100</v>
      </c>
      <c r="C959" s="202">
        <v>3</v>
      </c>
      <c r="D959" s="202">
        <v>18</v>
      </c>
      <c r="E959" s="202">
        <v>25</v>
      </c>
      <c r="F959" s="202">
        <v>4</v>
      </c>
      <c r="G959" s="202">
        <v>10</v>
      </c>
      <c r="H959" s="202">
        <v>19</v>
      </c>
      <c r="I959" s="202">
        <v>1</v>
      </c>
      <c r="K959" s="202">
        <v>19</v>
      </c>
      <c r="L959" s="202">
        <v>31</v>
      </c>
      <c r="M959" s="202">
        <v>4</v>
      </c>
      <c r="N959" s="202">
        <v>15</v>
      </c>
      <c r="O959" s="202">
        <v>47</v>
      </c>
      <c r="P959" s="202">
        <v>3</v>
      </c>
      <c r="Q959" s="202">
        <v>23</v>
      </c>
      <c r="R959" s="202">
        <v>51</v>
      </c>
      <c r="S959" s="202">
        <v>2</v>
      </c>
    </row>
    <row r="960" spans="1:19" x14ac:dyDescent="0.35">
      <c r="A960" s="202">
        <v>71</v>
      </c>
      <c r="B960" s="202">
        <v>110</v>
      </c>
      <c r="C960" s="202">
        <v>4</v>
      </c>
      <c r="D960" s="202">
        <v>10</v>
      </c>
      <c r="E960" s="202">
        <v>25</v>
      </c>
      <c r="F960" s="202">
        <v>1</v>
      </c>
      <c r="G960" s="202">
        <v>20</v>
      </c>
      <c r="H960" s="202">
        <v>30</v>
      </c>
      <c r="I960" s="202">
        <v>1</v>
      </c>
      <c r="K960" s="202">
        <v>60</v>
      </c>
      <c r="L960" s="202">
        <v>26</v>
      </c>
      <c r="M960" s="202">
        <v>2</v>
      </c>
      <c r="N960" s="202">
        <v>10</v>
      </c>
      <c r="O960" s="202">
        <v>43</v>
      </c>
      <c r="P960" s="202">
        <v>5</v>
      </c>
      <c r="Q960" s="202">
        <v>2</v>
      </c>
      <c r="R960" s="202">
        <v>8</v>
      </c>
      <c r="S960" s="202">
        <v>1</v>
      </c>
    </row>
    <row r="961" spans="1:19" x14ac:dyDescent="0.35">
      <c r="A961" s="202">
        <v>71</v>
      </c>
      <c r="B961" s="202">
        <v>110</v>
      </c>
      <c r="C961" s="202">
        <v>4</v>
      </c>
      <c r="D961" s="202">
        <v>10</v>
      </c>
      <c r="E961" s="202">
        <v>25</v>
      </c>
      <c r="F961" s="202">
        <v>3</v>
      </c>
      <c r="G961" s="202">
        <v>20</v>
      </c>
      <c r="H961" s="202">
        <v>36</v>
      </c>
      <c r="I961" s="202">
        <v>1</v>
      </c>
      <c r="K961" s="202">
        <v>30</v>
      </c>
      <c r="L961" s="202">
        <v>11</v>
      </c>
      <c r="M961" s="202">
        <v>2</v>
      </c>
      <c r="N961" s="202">
        <v>8</v>
      </c>
      <c r="O961" s="202">
        <v>50</v>
      </c>
      <c r="P961" s="202">
        <v>5</v>
      </c>
      <c r="Q961" s="202">
        <v>11</v>
      </c>
      <c r="R961" s="202">
        <v>34</v>
      </c>
      <c r="S961" s="202">
        <v>1</v>
      </c>
    </row>
    <row r="962" spans="1:19" x14ac:dyDescent="0.35">
      <c r="A962" s="202">
        <v>71</v>
      </c>
      <c r="B962" s="202">
        <v>110</v>
      </c>
      <c r="C962" s="202">
        <v>4</v>
      </c>
      <c r="D962" s="202">
        <v>10</v>
      </c>
      <c r="E962" s="202">
        <v>26</v>
      </c>
      <c r="F962" s="202">
        <v>1</v>
      </c>
      <c r="G962" s="202">
        <v>2</v>
      </c>
      <c r="H962" s="202">
        <v>30</v>
      </c>
      <c r="I962" s="202">
        <v>1</v>
      </c>
      <c r="K962" s="202">
        <v>40</v>
      </c>
      <c r="L962" s="202">
        <v>33</v>
      </c>
      <c r="M962" s="202">
        <v>4</v>
      </c>
      <c r="N962" s="202">
        <v>18</v>
      </c>
      <c r="O962" s="202">
        <v>44</v>
      </c>
      <c r="P962" s="202">
        <v>5</v>
      </c>
      <c r="Q962" s="202">
        <v>2</v>
      </c>
      <c r="R962" s="202">
        <v>8</v>
      </c>
      <c r="S962" s="202">
        <v>2</v>
      </c>
    </row>
    <row r="963" spans="1:19" x14ac:dyDescent="0.35">
      <c r="A963" s="202">
        <v>71</v>
      </c>
      <c r="B963" s="202">
        <v>110</v>
      </c>
      <c r="C963" s="202">
        <v>4</v>
      </c>
      <c r="D963" s="202">
        <v>10</v>
      </c>
      <c r="E963" s="202">
        <v>26</v>
      </c>
      <c r="F963" s="202">
        <v>4</v>
      </c>
      <c r="G963" s="202">
        <v>20</v>
      </c>
      <c r="H963" s="202">
        <v>30</v>
      </c>
      <c r="I963" s="202">
        <v>1</v>
      </c>
      <c r="K963" s="202">
        <v>14</v>
      </c>
      <c r="L963" s="202">
        <v>25</v>
      </c>
      <c r="M963" s="202">
        <v>4</v>
      </c>
      <c r="N963" s="202">
        <v>12</v>
      </c>
      <c r="O963" s="202">
        <v>2</v>
      </c>
      <c r="P963" s="202">
        <v>3</v>
      </c>
      <c r="Q963" s="202">
        <v>11</v>
      </c>
      <c r="R963" s="202">
        <v>99</v>
      </c>
      <c r="S963" s="202">
        <v>2</v>
      </c>
    </row>
    <row r="964" spans="1:19" x14ac:dyDescent="0.35">
      <c r="A964" s="202">
        <v>71</v>
      </c>
      <c r="B964" s="202">
        <v>110</v>
      </c>
      <c r="C964" s="202">
        <v>4</v>
      </c>
      <c r="D964" s="202">
        <v>10</v>
      </c>
      <c r="E964" s="202">
        <v>27</v>
      </c>
      <c r="F964" s="202">
        <v>2</v>
      </c>
      <c r="G964" s="202">
        <v>8</v>
      </c>
      <c r="H964" s="202">
        <v>11</v>
      </c>
      <c r="I964" s="202">
        <v>2</v>
      </c>
      <c r="K964" s="202">
        <v>38</v>
      </c>
      <c r="L964" s="202">
        <v>90</v>
      </c>
      <c r="M964" s="202">
        <v>3</v>
      </c>
      <c r="N964" s="202">
        <v>10</v>
      </c>
      <c r="O964" s="202">
        <v>51</v>
      </c>
      <c r="P964" s="202">
        <v>4</v>
      </c>
      <c r="Q964" s="202">
        <v>2</v>
      </c>
      <c r="R964" s="202">
        <v>1</v>
      </c>
      <c r="S964" s="202">
        <v>1</v>
      </c>
    </row>
    <row r="965" spans="1:19" x14ac:dyDescent="0.35">
      <c r="A965" s="202">
        <v>71</v>
      </c>
      <c r="B965" s="202">
        <v>110</v>
      </c>
      <c r="C965" s="202">
        <v>4</v>
      </c>
      <c r="D965" s="202">
        <v>10</v>
      </c>
      <c r="E965" s="202">
        <v>27</v>
      </c>
      <c r="F965" s="202">
        <v>4</v>
      </c>
      <c r="G965" s="202">
        <v>20</v>
      </c>
      <c r="H965" s="202">
        <v>20</v>
      </c>
      <c r="I965" s="202">
        <v>2</v>
      </c>
      <c r="K965" s="202">
        <v>70</v>
      </c>
      <c r="L965" s="202">
        <v>78</v>
      </c>
      <c r="M965" s="202">
        <v>2</v>
      </c>
      <c r="N965" s="202">
        <v>8</v>
      </c>
      <c r="O965" s="202">
        <v>49</v>
      </c>
      <c r="P965" s="202">
        <v>5</v>
      </c>
      <c r="Q965" s="202">
        <v>20</v>
      </c>
      <c r="R965" s="202">
        <v>8</v>
      </c>
      <c r="S965" s="202">
        <v>1</v>
      </c>
    </row>
    <row r="966" spans="1:19" x14ac:dyDescent="0.35">
      <c r="A966" s="202">
        <v>71</v>
      </c>
      <c r="B966" s="202">
        <v>22</v>
      </c>
      <c r="C966" s="202">
        <v>4</v>
      </c>
      <c r="D966" s="202">
        <v>10</v>
      </c>
      <c r="E966" s="202">
        <v>5</v>
      </c>
      <c r="F966" s="202">
        <v>4</v>
      </c>
      <c r="G966" s="202">
        <v>24</v>
      </c>
      <c r="H966" s="202">
        <v>44</v>
      </c>
      <c r="I966" s="202">
        <v>3</v>
      </c>
      <c r="K966" s="202">
        <v>18</v>
      </c>
      <c r="L966" s="202">
        <v>24</v>
      </c>
      <c r="M966" s="202">
        <v>4</v>
      </c>
      <c r="N966" s="202">
        <v>15</v>
      </c>
      <c r="O966" s="202">
        <v>50</v>
      </c>
      <c r="P966" s="202">
        <v>5</v>
      </c>
      <c r="Q966" s="202">
        <v>7</v>
      </c>
      <c r="R966" s="202">
        <v>74</v>
      </c>
      <c r="S966" s="202">
        <v>2</v>
      </c>
    </row>
    <row r="967" spans="1:19" x14ac:dyDescent="0.35">
      <c r="A967" s="202">
        <v>72</v>
      </c>
      <c r="B967" s="202">
        <v>60</v>
      </c>
      <c r="C967" s="202">
        <v>4</v>
      </c>
      <c r="D967" s="202">
        <v>18</v>
      </c>
      <c r="E967" s="202">
        <v>48</v>
      </c>
      <c r="F967" s="202">
        <v>2</v>
      </c>
      <c r="G967" s="202">
        <v>18</v>
      </c>
      <c r="H967" s="202">
        <v>6</v>
      </c>
      <c r="I967" s="202">
        <v>1</v>
      </c>
      <c r="K967" s="202">
        <v>84</v>
      </c>
      <c r="L967" s="202">
        <v>46</v>
      </c>
      <c r="M967" s="202">
        <v>2</v>
      </c>
      <c r="N967" s="202">
        <v>8</v>
      </c>
      <c r="O967" s="202">
        <v>51</v>
      </c>
      <c r="P967" s="202">
        <v>1</v>
      </c>
      <c r="Q967" s="202">
        <v>11</v>
      </c>
      <c r="R967" s="202">
        <v>8</v>
      </c>
      <c r="S967" s="202">
        <v>1</v>
      </c>
    </row>
    <row r="968" spans="1:19" x14ac:dyDescent="0.35">
      <c r="A968" s="202">
        <v>72</v>
      </c>
      <c r="B968" s="202">
        <v>60</v>
      </c>
      <c r="C968" s="202">
        <v>4</v>
      </c>
      <c r="D968" s="202">
        <v>18</v>
      </c>
      <c r="E968" s="202">
        <v>48</v>
      </c>
      <c r="F968" s="202">
        <v>4</v>
      </c>
      <c r="G968" s="202">
        <v>15</v>
      </c>
      <c r="H968" s="202">
        <v>45</v>
      </c>
      <c r="I968" s="202">
        <v>1</v>
      </c>
      <c r="K968" s="202">
        <v>73</v>
      </c>
      <c r="L968" s="202">
        <v>85</v>
      </c>
      <c r="M968" s="202">
        <v>2</v>
      </c>
      <c r="N968" s="202">
        <v>17</v>
      </c>
      <c r="O968" s="202">
        <v>45</v>
      </c>
      <c r="P968" s="202">
        <v>4</v>
      </c>
      <c r="Q968" s="202">
        <v>23</v>
      </c>
      <c r="R968" s="202">
        <v>19</v>
      </c>
      <c r="S968" s="202">
        <v>1</v>
      </c>
    </row>
    <row r="969" spans="1:19" x14ac:dyDescent="0.35">
      <c r="A969" s="202">
        <v>72</v>
      </c>
      <c r="B969" s="202">
        <v>82</v>
      </c>
      <c r="C969" s="202">
        <v>4</v>
      </c>
      <c r="D969" s="202">
        <v>18</v>
      </c>
      <c r="E969" s="202">
        <v>25</v>
      </c>
      <c r="F969" s="202">
        <v>1</v>
      </c>
      <c r="G969" s="202">
        <v>20</v>
      </c>
      <c r="H969" s="202">
        <v>12</v>
      </c>
      <c r="I969" s="202">
        <v>1</v>
      </c>
      <c r="K969" s="202">
        <v>82</v>
      </c>
      <c r="L969" s="202">
        <v>96</v>
      </c>
      <c r="M969" s="202">
        <v>2</v>
      </c>
      <c r="N969" s="202">
        <v>15</v>
      </c>
      <c r="O969" s="202">
        <v>25</v>
      </c>
      <c r="P969" s="202">
        <v>5</v>
      </c>
      <c r="Q969" s="202">
        <v>20</v>
      </c>
      <c r="R969" s="202">
        <v>5</v>
      </c>
      <c r="S969" s="202">
        <v>2</v>
      </c>
    </row>
    <row r="970" spans="1:19" x14ac:dyDescent="0.35">
      <c r="A970" s="202">
        <v>72</v>
      </c>
      <c r="B970" s="202">
        <v>82</v>
      </c>
      <c r="C970" s="202">
        <v>4</v>
      </c>
      <c r="D970" s="202">
        <v>18</v>
      </c>
      <c r="E970" s="202">
        <v>25</v>
      </c>
      <c r="F970" s="202">
        <v>4</v>
      </c>
      <c r="G970" s="202">
        <v>2</v>
      </c>
      <c r="H970" s="202">
        <v>46</v>
      </c>
      <c r="I970" s="202">
        <v>1</v>
      </c>
      <c r="K970" s="202">
        <v>49</v>
      </c>
      <c r="L970" s="202">
        <v>64</v>
      </c>
      <c r="M970" s="202">
        <v>4</v>
      </c>
      <c r="N970" s="202">
        <v>8</v>
      </c>
      <c r="O970" s="202">
        <v>26</v>
      </c>
      <c r="P970" s="202">
        <v>3</v>
      </c>
      <c r="Q970" s="202">
        <v>10</v>
      </c>
      <c r="R970" s="202">
        <v>47</v>
      </c>
      <c r="S970" s="202">
        <v>2</v>
      </c>
    </row>
    <row r="971" spans="1:19" x14ac:dyDescent="0.35">
      <c r="A971" s="202">
        <v>72</v>
      </c>
      <c r="B971" s="202">
        <v>39</v>
      </c>
      <c r="C971" s="202">
        <v>3</v>
      </c>
      <c r="D971" s="202">
        <v>18</v>
      </c>
      <c r="E971" s="202">
        <v>26</v>
      </c>
      <c r="F971" s="202">
        <v>2</v>
      </c>
      <c r="G971" s="202">
        <v>1</v>
      </c>
      <c r="H971" s="202">
        <v>2</v>
      </c>
      <c r="I971" s="202">
        <v>2</v>
      </c>
      <c r="K971" s="202">
        <v>56</v>
      </c>
      <c r="L971" s="202">
        <v>78</v>
      </c>
      <c r="M971" s="202">
        <v>2</v>
      </c>
      <c r="N971" s="202">
        <v>8</v>
      </c>
      <c r="O971" s="202">
        <v>40</v>
      </c>
      <c r="P971" s="202">
        <v>4</v>
      </c>
      <c r="Q971" s="202">
        <v>20</v>
      </c>
      <c r="R971" s="202">
        <v>28</v>
      </c>
      <c r="S971" s="202">
        <v>1</v>
      </c>
    </row>
    <row r="972" spans="1:19" x14ac:dyDescent="0.35">
      <c r="A972" s="202">
        <v>72</v>
      </c>
      <c r="B972" s="202">
        <v>39</v>
      </c>
      <c r="C972" s="202">
        <v>3</v>
      </c>
      <c r="D972" s="202">
        <v>18</v>
      </c>
      <c r="E972" s="202">
        <v>26</v>
      </c>
      <c r="F972" s="202">
        <v>5</v>
      </c>
      <c r="G972" s="202">
        <v>1</v>
      </c>
      <c r="H972" s="202">
        <v>46</v>
      </c>
      <c r="I972" s="202">
        <v>2</v>
      </c>
      <c r="K972" s="202">
        <v>33</v>
      </c>
      <c r="L972" s="202">
        <v>44</v>
      </c>
      <c r="M972" s="202">
        <v>1</v>
      </c>
      <c r="N972" s="202">
        <v>8</v>
      </c>
      <c r="O972" s="202">
        <v>27</v>
      </c>
      <c r="P972" s="202">
        <v>1</v>
      </c>
      <c r="Q972" s="202">
        <v>20</v>
      </c>
      <c r="R972" s="202">
        <v>2</v>
      </c>
      <c r="S972" s="202">
        <v>1</v>
      </c>
    </row>
    <row r="973" spans="1:19" x14ac:dyDescent="0.35">
      <c r="A973" s="202">
        <v>72</v>
      </c>
      <c r="B973" s="202">
        <v>98</v>
      </c>
      <c r="C973" s="202">
        <v>4</v>
      </c>
      <c r="D973" s="202">
        <v>18</v>
      </c>
      <c r="E973" s="202">
        <v>25</v>
      </c>
      <c r="F973" s="202">
        <v>1</v>
      </c>
      <c r="G973" s="202">
        <v>2</v>
      </c>
      <c r="H973" s="202">
        <v>33</v>
      </c>
      <c r="I973" s="202">
        <v>2</v>
      </c>
      <c r="K973" s="202">
        <v>35</v>
      </c>
      <c r="L973" s="202">
        <v>46</v>
      </c>
      <c r="M973" s="202">
        <v>2</v>
      </c>
      <c r="N973" s="202">
        <v>18</v>
      </c>
      <c r="O973" s="202">
        <v>49</v>
      </c>
      <c r="P973" s="202">
        <v>4</v>
      </c>
      <c r="Q973" s="202">
        <v>18</v>
      </c>
      <c r="R973" s="202">
        <v>7</v>
      </c>
      <c r="S973" s="202">
        <v>1</v>
      </c>
    </row>
    <row r="974" spans="1:19" x14ac:dyDescent="0.35">
      <c r="A974" s="202">
        <v>72</v>
      </c>
      <c r="B974" s="202">
        <v>98</v>
      </c>
      <c r="C974" s="202">
        <v>4</v>
      </c>
      <c r="D974" s="202">
        <v>18</v>
      </c>
      <c r="E974" s="202">
        <v>25</v>
      </c>
      <c r="F974" s="202">
        <v>2</v>
      </c>
      <c r="G974" s="202">
        <v>11</v>
      </c>
      <c r="H974" s="202">
        <v>98</v>
      </c>
      <c r="I974" s="202">
        <v>2</v>
      </c>
      <c r="K974" s="202">
        <v>25</v>
      </c>
      <c r="L974" s="202">
        <v>55</v>
      </c>
      <c r="M974" s="202">
        <v>3</v>
      </c>
      <c r="N974" s="202">
        <v>18</v>
      </c>
      <c r="O974" s="202">
        <v>43</v>
      </c>
      <c r="P974" s="202">
        <v>5</v>
      </c>
      <c r="Q974" s="202">
        <v>15</v>
      </c>
      <c r="R974" s="202">
        <v>7</v>
      </c>
      <c r="S974" s="202">
        <v>1</v>
      </c>
    </row>
    <row r="975" spans="1:19" x14ac:dyDescent="0.35">
      <c r="A975" s="202">
        <v>72</v>
      </c>
      <c r="B975" s="202">
        <v>22</v>
      </c>
      <c r="C975" s="202">
        <v>4</v>
      </c>
      <c r="D975" s="202">
        <v>8</v>
      </c>
      <c r="E975" s="202">
        <v>1</v>
      </c>
      <c r="F975" s="202">
        <v>4</v>
      </c>
      <c r="G975" s="202">
        <v>24</v>
      </c>
      <c r="H975" s="202">
        <v>39</v>
      </c>
      <c r="I975" s="202">
        <v>3</v>
      </c>
      <c r="K975" s="202">
        <v>17</v>
      </c>
      <c r="L975" s="202">
        <v>2</v>
      </c>
      <c r="M975" s="202">
        <v>2</v>
      </c>
      <c r="N975" s="202">
        <v>15</v>
      </c>
      <c r="O975" s="202">
        <v>43</v>
      </c>
      <c r="P975" s="202">
        <v>1</v>
      </c>
      <c r="Q975" s="202">
        <v>23</v>
      </c>
      <c r="R975" s="202">
        <v>35</v>
      </c>
      <c r="S975" s="202">
        <v>2</v>
      </c>
    </row>
    <row r="976" spans="1:19" x14ac:dyDescent="0.35">
      <c r="A976" s="202">
        <v>73</v>
      </c>
      <c r="B976" s="202">
        <v>17</v>
      </c>
      <c r="C976" s="202">
        <v>2</v>
      </c>
      <c r="D976" s="202">
        <v>8</v>
      </c>
      <c r="E976" s="202">
        <v>48</v>
      </c>
      <c r="F976" s="202">
        <v>1</v>
      </c>
      <c r="G976" s="202">
        <v>2</v>
      </c>
      <c r="H976" s="202">
        <v>1</v>
      </c>
      <c r="I976" s="202">
        <v>2</v>
      </c>
      <c r="K976" s="202">
        <v>68</v>
      </c>
      <c r="L976" s="202">
        <v>17</v>
      </c>
      <c r="M976" s="202">
        <v>2</v>
      </c>
      <c r="N976" s="202">
        <v>10</v>
      </c>
      <c r="O976" s="202">
        <v>3</v>
      </c>
      <c r="P976" s="202">
        <v>2</v>
      </c>
      <c r="Q976" s="202">
        <v>2</v>
      </c>
      <c r="R976" s="202">
        <v>17</v>
      </c>
      <c r="S976" s="202">
        <v>1</v>
      </c>
    </row>
    <row r="977" spans="1:19" x14ac:dyDescent="0.35">
      <c r="A977" s="202">
        <v>73</v>
      </c>
      <c r="B977" s="202">
        <v>17</v>
      </c>
      <c r="C977" s="202">
        <v>2</v>
      </c>
      <c r="D977" s="202">
        <v>8</v>
      </c>
      <c r="E977" s="202">
        <v>48</v>
      </c>
      <c r="F977" s="202">
        <v>3</v>
      </c>
      <c r="G977" s="202">
        <v>11</v>
      </c>
      <c r="H977" s="202">
        <v>2</v>
      </c>
      <c r="I977" s="202">
        <v>2</v>
      </c>
      <c r="K977" s="202">
        <v>39</v>
      </c>
      <c r="L977" s="202">
        <v>44</v>
      </c>
      <c r="M977" s="202">
        <v>4</v>
      </c>
      <c r="N977" s="202">
        <v>15</v>
      </c>
      <c r="O977" s="202">
        <v>2</v>
      </c>
      <c r="P977" s="202">
        <v>4</v>
      </c>
      <c r="Q977" s="202">
        <v>1</v>
      </c>
      <c r="R977" s="202">
        <v>3</v>
      </c>
      <c r="S977" s="202">
        <v>2</v>
      </c>
    </row>
    <row r="978" spans="1:19" x14ac:dyDescent="0.35">
      <c r="A978" s="202">
        <v>73</v>
      </c>
      <c r="B978" s="202">
        <v>17</v>
      </c>
      <c r="C978" s="202">
        <v>2</v>
      </c>
      <c r="D978" s="202">
        <v>8</v>
      </c>
      <c r="E978" s="202">
        <v>49</v>
      </c>
      <c r="F978" s="202">
        <v>1</v>
      </c>
      <c r="G978" s="202">
        <v>24</v>
      </c>
      <c r="H978" s="202">
        <v>10</v>
      </c>
      <c r="I978" s="202">
        <v>2</v>
      </c>
      <c r="K978" s="202">
        <v>39</v>
      </c>
      <c r="L978" s="202">
        <v>17</v>
      </c>
      <c r="M978" s="202">
        <v>4</v>
      </c>
      <c r="N978" s="202">
        <v>18</v>
      </c>
      <c r="O978" s="202">
        <v>42</v>
      </c>
      <c r="P978" s="202">
        <v>2</v>
      </c>
      <c r="Q978" s="202">
        <v>20</v>
      </c>
      <c r="R978" s="202">
        <v>90</v>
      </c>
      <c r="S978" s="202">
        <v>1</v>
      </c>
    </row>
    <row r="979" spans="1:19" x14ac:dyDescent="0.35">
      <c r="A979" s="202">
        <v>73</v>
      </c>
      <c r="B979" s="202">
        <v>17</v>
      </c>
      <c r="C979" s="202">
        <v>2</v>
      </c>
      <c r="D979" s="202">
        <v>8</v>
      </c>
      <c r="E979" s="202">
        <v>49</v>
      </c>
      <c r="F979" s="202">
        <v>3</v>
      </c>
      <c r="G979" s="202">
        <v>20</v>
      </c>
      <c r="H979" s="202">
        <v>3</v>
      </c>
      <c r="I979" s="202">
        <v>2</v>
      </c>
      <c r="K979" s="202">
        <v>8</v>
      </c>
      <c r="L979" s="202">
        <v>85</v>
      </c>
      <c r="M979" s="202">
        <v>4</v>
      </c>
      <c r="N979" s="202">
        <v>8</v>
      </c>
      <c r="O979" s="202">
        <v>50</v>
      </c>
      <c r="P979" s="202">
        <v>4</v>
      </c>
      <c r="Q979" s="202">
        <v>20</v>
      </c>
      <c r="R979" s="202">
        <v>9</v>
      </c>
      <c r="S979" s="202">
        <v>1</v>
      </c>
    </row>
    <row r="980" spans="1:19" x14ac:dyDescent="0.35">
      <c r="A980" s="202">
        <v>73</v>
      </c>
      <c r="B980" s="202">
        <v>17</v>
      </c>
      <c r="C980" s="202">
        <v>2</v>
      </c>
      <c r="D980" s="202">
        <v>8</v>
      </c>
      <c r="E980" s="202">
        <v>50</v>
      </c>
      <c r="F980" s="202">
        <v>2</v>
      </c>
      <c r="G980" s="202">
        <v>11</v>
      </c>
      <c r="H980" s="202">
        <v>4</v>
      </c>
      <c r="I980" s="202">
        <v>2</v>
      </c>
      <c r="K980" s="202">
        <v>15</v>
      </c>
      <c r="L980" s="202">
        <v>30</v>
      </c>
      <c r="M980" s="202">
        <v>4</v>
      </c>
      <c r="N980" s="202">
        <v>18</v>
      </c>
      <c r="O980" s="202">
        <v>44</v>
      </c>
      <c r="P980" s="202">
        <v>4</v>
      </c>
      <c r="Q980" s="202">
        <v>20</v>
      </c>
      <c r="R980" s="202">
        <v>9</v>
      </c>
      <c r="S980" s="202">
        <v>1</v>
      </c>
    </row>
    <row r="981" spans="1:19" x14ac:dyDescent="0.35">
      <c r="A981" s="202">
        <v>73</v>
      </c>
      <c r="B981" s="202">
        <v>17</v>
      </c>
      <c r="C981" s="202">
        <v>2</v>
      </c>
      <c r="D981" s="202">
        <v>8</v>
      </c>
      <c r="E981" s="202">
        <v>50</v>
      </c>
      <c r="F981" s="202">
        <v>4</v>
      </c>
      <c r="G981" s="202">
        <v>11</v>
      </c>
      <c r="H981" s="202">
        <v>4</v>
      </c>
      <c r="I981" s="202">
        <v>2</v>
      </c>
      <c r="K981" s="202">
        <v>64</v>
      </c>
      <c r="L981" s="202">
        <v>7</v>
      </c>
      <c r="M981" s="202">
        <v>4</v>
      </c>
      <c r="N981" s="202">
        <v>17</v>
      </c>
      <c r="O981" s="202">
        <v>44</v>
      </c>
      <c r="P981" s="202">
        <v>5</v>
      </c>
      <c r="Q981" s="202">
        <v>11</v>
      </c>
      <c r="R981" s="202">
        <v>92</v>
      </c>
      <c r="S981" s="202">
        <v>2</v>
      </c>
    </row>
    <row r="982" spans="1:19" x14ac:dyDescent="0.35">
      <c r="A982" s="202">
        <v>73</v>
      </c>
      <c r="B982" s="202">
        <v>17</v>
      </c>
      <c r="C982" s="202">
        <v>2</v>
      </c>
      <c r="D982" s="202">
        <v>8</v>
      </c>
      <c r="E982" s="202">
        <v>51</v>
      </c>
      <c r="F982" s="202">
        <v>2</v>
      </c>
      <c r="G982" s="202">
        <v>20</v>
      </c>
      <c r="H982" s="202">
        <v>3</v>
      </c>
      <c r="I982" s="202">
        <v>2</v>
      </c>
      <c r="K982" s="202">
        <v>1</v>
      </c>
      <c r="L982" s="202">
        <v>26</v>
      </c>
      <c r="M982" s="202">
        <v>3</v>
      </c>
      <c r="N982" s="202">
        <v>8</v>
      </c>
      <c r="O982" s="202">
        <v>42</v>
      </c>
      <c r="P982" s="202">
        <v>3</v>
      </c>
      <c r="Q982" s="202">
        <v>10</v>
      </c>
      <c r="R982" s="202">
        <v>56</v>
      </c>
      <c r="S982" s="202">
        <v>2</v>
      </c>
    </row>
    <row r="983" spans="1:19" x14ac:dyDescent="0.35">
      <c r="A983" s="202">
        <v>73</v>
      </c>
      <c r="B983" s="202">
        <v>17</v>
      </c>
      <c r="C983" s="202">
        <v>2</v>
      </c>
      <c r="D983" s="202">
        <v>8</v>
      </c>
      <c r="E983" s="202">
        <v>51</v>
      </c>
      <c r="F983" s="202">
        <v>4</v>
      </c>
      <c r="G983" s="202">
        <v>20</v>
      </c>
      <c r="H983" s="202">
        <v>3</v>
      </c>
      <c r="I983" s="202">
        <v>2</v>
      </c>
      <c r="K983" s="202">
        <v>82</v>
      </c>
      <c r="L983" s="202">
        <v>2</v>
      </c>
      <c r="M983" s="202">
        <v>4</v>
      </c>
      <c r="N983" s="202">
        <v>17</v>
      </c>
      <c r="O983" s="202">
        <v>43</v>
      </c>
      <c r="P983" s="202">
        <v>3</v>
      </c>
      <c r="Q983" s="202">
        <v>23</v>
      </c>
      <c r="R983" s="202">
        <v>48</v>
      </c>
      <c r="S983" s="202">
        <v>2</v>
      </c>
    </row>
    <row r="984" spans="1:19" x14ac:dyDescent="0.35">
      <c r="A984" s="202">
        <v>73</v>
      </c>
      <c r="B984" s="202">
        <v>87</v>
      </c>
      <c r="C984" s="202">
        <v>4</v>
      </c>
      <c r="D984" s="202">
        <v>8</v>
      </c>
      <c r="E984" s="202">
        <v>27</v>
      </c>
      <c r="F984" s="202">
        <v>1</v>
      </c>
      <c r="G984" s="202">
        <v>2</v>
      </c>
      <c r="H984" s="202">
        <v>3</v>
      </c>
      <c r="I984" s="202">
        <v>1</v>
      </c>
      <c r="K984" s="202">
        <v>30</v>
      </c>
      <c r="L984" s="202">
        <v>96</v>
      </c>
      <c r="M984" s="202">
        <v>2</v>
      </c>
      <c r="N984" s="202">
        <v>18</v>
      </c>
      <c r="O984" s="202">
        <v>28</v>
      </c>
      <c r="P984" s="202">
        <v>4</v>
      </c>
      <c r="Q984" s="202">
        <v>11</v>
      </c>
      <c r="R984" s="202">
        <v>24</v>
      </c>
      <c r="S984" s="202">
        <v>2</v>
      </c>
    </row>
    <row r="985" spans="1:19" x14ac:dyDescent="0.35">
      <c r="A985" s="202">
        <v>73</v>
      </c>
      <c r="B985" s="202">
        <v>87</v>
      </c>
      <c r="C985" s="202">
        <v>4</v>
      </c>
      <c r="D985" s="202">
        <v>8</v>
      </c>
      <c r="E985" s="202">
        <v>27</v>
      </c>
      <c r="F985" s="202">
        <v>3</v>
      </c>
      <c r="G985" s="202">
        <v>2</v>
      </c>
      <c r="H985" s="202">
        <v>3</v>
      </c>
      <c r="I985" s="202">
        <v>1</v>
      </c>
      <c r="K985" s="202">
        <v>78</v>
      </c>
      <c r="L985" s="202">
        <v>84</v>
      </c>
      <c r="M985" s="202">
        <v>4</v>
      </c>
      <c r="N985" s="202">
        <v>10</v>
      </c>
      <c r="O985" s="202">
        <v>48</v>
      </c>
      <c r="P985" s="202">
        <v>5</v>
      </c>
      <c r="Q985" s="202">
        <v>23</v>
      </c>
      <c r="R985" s="202">
        <v>17</v>
      </c>
      <c r="S985" s="202">
        <v>2</v>
      </c>
    </row>
    <row r="986" spans="1:19" x14ac:dyDescent="0.35">
      <c r="A986" s="202">
        <v>73</v>
      </c>
      <c r="B986" s="202">
        <v>24</v>
      </c>
      <c r="C986" s="202">
        <v>2</v>
      </c>
      <c r="D986" s="202">
        <v>10</v>
      </c>
      <c r="E986" s="202">
        <v>48</v>
      </c>
      <c r="F986" s="202">
        <v>3</v>
      </c>
      <c r="G986" s="202">
        <v>23</v>
      </c>
      <c r="H986" s="202">
        <v>7</v>
      </c>
      <c r="I986" s="202">
        <v>1</v>
      </c>
      <c r="K986" s="202">
        <v>62</v>
      </c>
      <c r="L986" s="202">
        <v>35</v>
      </c>
      <c r="M986" s="202">
        <v>1</v>
      </c>
      <c r="N986" s="202">
        <v>8</v>
      </c>
      <c r="O986" s="202">
        <v>48</v>
      </c>
      <c r="P986" s="202">
        <v>4</v>
      </c>
      <c r="Q986" s="202">
        <v>2</v>
      </c>
      <c r="R986" s="202">
        <v>18</v>
      </c>
      <c r="S986" s="202">
        <v>1</v>
      </c>
    </row>
    <row r="987" spans="1:19" x14ac:dyDescent="0.35">
      <c r="A987" s="202">
        <v>73</v>
      </c>
      <c r="B987" s="202">
        <v>24</v>
      </c>
      <c r="C987" s="202">
        <v>2</v>
      </c>
      <c r="D987" s="202">
        <v>10</v>
      </c>
      <c r="E987" s="202">
        <v>48</v>
      </c>
      <c r="F987" s="202">
        <v>5</v>
      </c>
      <c r="G987" s="202">
        <v>23</v>
      </c>
      <c r="H987" s="202">
        <v>7</v>
      </c>
      <c r="I987" s="202">
        <v>1</v>
      </c>
      <c r="K987" s="202">
        <v>14</v>
      </c>
      <c r="L987" s="202">
        <v>20</v>
      </c>
      <c r="M987" s="202">
        <v>2</v>
      </c>
      <c r="N987" s="202">
        <v>8</v>
      </c>
      <c r="O987" s="202">
        <v>28</v>
      </c>
      <c r="P987" s="202">
        <v>2</v>
      </c>
      <c r="Q987" s="202">
        <v>10</v>
      </c>
      <c r="R987" s="202">
        <v>9</v>
      </c>
      <c r="S987" s="202">
        <v>2</v>
      </c>
    </row>
    <row r="988" spans="1:19" x14ac:dyDescent="0.35">
      <c r="A988" s="202">
        <v>73</v>
      </c>
      <c r="B988" s="202">
        <v>25</v>
      </c>
      <c r="C988" s="202">
        <v>2</v>
      </c>
      <c r="D988" s="202">
        <v>10</v>
      </c>
      <c r="E988" s="202">
        <v>49</v>
      </c>
      <c r="F988" s="202">
        <v>2</v>
      </c>
      <c r="G988" s="202">
        <v>19</v>
      </c>
      <c r="H988" s="202">
        <v>38</v>
      </c>
      <c r="I988" s="202">
        <v>1</v>
      </c>
      <c r="K988" s="202">
        <v>56</v>
      </c>
      <c r="L988" s="202">
        <v>65</v>
      </c>
      <c r="M988" s="202">
        <v>2</v>
      </c>
      <c r="N988" s="202">
        <v>13</v>
      </c>
      <c r="O988" s="202">
        <v>47</v>
      </c>
      <c r="P988" s="202">
        <v>1</v>
      </c>
      <c r="Q988" s="202">
        <v>20</v>
      </c>
      <c r="R988" s="202">
        <v>20</v>
      </c>
      <c r="S988" s="202">
        <v>2</v>
      </c>
    </row>
    <row r="989" spans="1:19" x14ac:dyDescent="0.35">
      <c r="A989" s="202">
        <v>73</v>
      </c>
      <c r="B989" s="202">
        <v>25</v>
      </c>
      <c r="C989" s="202">
        <v>2</v>
      </c>
      <c r="D989" s="202">
        <v>10</v>
      </c>
      <c r="E989" s="202">
        <v>49</v>
      </c>
      <c r="F989" s="202">
        <v>4</v>
      </c>
      <c r="G989" s="202">
        <v>10</v>
      </c>
      <c r="H989" s="202">
        <v>48</v>
      </c>
      <c r="I989" s="202">
        <v>1</v>
      </c>
      <c r="K989" s="202">
        <v>50</v>
      </c>
      <c r="L989" s="202">
        <v>48</v>
      </c>
      <c r="M989" s="202">
        <v>2</v>
      </c>
      <c r="N989" s="202">
        <v>18</v>
      </c>
      <c r="O989" s="202">
        <v>52</v>
      </c>
      <c r="P989" s="202">
        <v>3</v>
      </c>
      <c r="Q989" s="202">
        <v>19</v>
      </c>
      <c r="R989" s="202">
        <v>52</v>
      </c>
      <c r="S989" s="202">
        <v>1</v>
      </c>
    </row>
    <row r="990" spans="1:19" x14ac:dyDescent="0.35">
      <c r="A990" s="202">
        <v>73</v>
      </c>
      <c r="B990" s="202">
        <v>78</v>
      </c>
      <c r="C990" s="202">
        <v>3</v>
      </c>
      <c r="D990" s="202">
        <v>10</v>
      </c>
      <c r="E990" s="202">
        <v>48</v>
      </c>
      <c r="F990" s="202">
        <v>1</v>
      </c>
      <c r="G990" s="202">
        <v>10</v>
      </c>
      <c r="H990" s="202">
        <v>27</v>
      </c>
      <c r="I990" s="202">
        <v>2</v>
      </c>
      <c r="K990" s="202">
        <v>77</v>
      </c>
      <c r="L990" s="202">
        <v>64</v>
      </c>
      <c r="M990" s="202">
        <v>2</v>
      </c>
      <c r="N990" s="202">
        <v>15</v>
      </c>
      <c r="O990" s="202">
        <v>48</v>
      </c>
      <c r="P990" s="202">
        <v>4</v>
      </c>
      <c r="Q990" s="202">
        <v>1</v>
      </c>
      <c r="R990" s="202">
        <v>92</v>
      </c>
      <c r="S990" s="202">
        <v>1</v>
      </c>
    </row>
    <row r="991" spans="1:19" x14ac:dyDescent="0.35">
      <c r="A991" s="202">
        <v>73</v>
      </c>
      <c r="B991" s="202">
        <v>78</v>
      </c>
      <c r="C991" s="202">
        <v>3</v>
      </c>
      <c r="D991" s="202">
        <v>10</v>
      </c>
      <c r="E991" s="202">
        <v>48</v>
      </c>
      <c r="F991" s="202">
        <v>5</v>
      </c>
      <c r="G991" s="202">
        <v>19</v>
      </c>
      <c r="H991" s="202">
        <v>24</v>
      </c>
      <c r="I991" s="202">
        <v>2</v>
      </c>
      <c r="K991" s="202">
        <v>66</v>
      </c>
      <c r="L991" s="202">
        <v>24</v>
      </c>
      <c r="M991" s="202">
        <v>4</v>
      </c>
      <c r="N991" s="202">
        <v>15</v>
      </c>
      <c r="O991" s="202">
        <v>1</v>
      </c>
      <c r="P991" s="202">
        <v>2</v>
      </c>
      <c r="Q991" s="202">
        <v>11</v>
      </c>
      <c r="R991" s="202">
        <v>58</v>
      </c>
      <c r="S991" s="202">
        <v>2</v>
      </c>
    </row>
    <row r="992" spans="1:19" x14ac:dyDescent="0.35">
      <c r="A992" s="202">
        <v>73</v>
      </c>
      <c r="B992" s="202">
        <v>22</v>
      </c>
      <c r="C992" s="202">
        <v>4</v>
      </c>
      <c r="D992" s="202">
        <v>8</v>
      </c>
      <c r="E992" s="202">
        <v>2</v>
      </c>
      <c r="F992" s="202">
        <v>4</v>
      </c>
      <c r="G992" s="202">
        <v>24</v>
      </c>
      <c r="H992" s="202">
        <v>49</v>
      </c>
      <c r="I992" s="202">
        <v>3</v>
      </c>
      <c r="K992" s="202">
        <v>29</v>
      </c>
      <c r="L992" s="202">
        <v>68</v>
      </c>
      <c r="M992" s="202">
        <v>2</v>
      </c>
      <c r="N992" s="202">
        <v>10</v>
      </c>
      <c r="O992" s="202">
        <v>49</v>
      </c>
      <c r="P992" s="202">
        <v>4</v>
      </c>
      <c r="Q992" s="202">
        <v>22</v>
      </c>
      <c r="R992" s="202">
        <v>19</v>
      </c>
      <c r="S992" s="202">
        <v>2</v>
      </c>
    </row>
    <row r="993" spans="1:19" x14ac:dyDescent="0.35">
      <c r="A993" s="202">
        <v>74</v>
      </c>
      <c r="B993" s="202">
        <v>30</v>
      </c>
      <c r="C993" s="202">
        <v>2</v>
      </c>
      <c r="D993" s="202">
        <v>10</v>
      </c>
      <c r="E993" s="202">
        <v>42</v>
      </c>
      <c r="F993" s="202">
        <v>1</v>
      </c>
      <c r="G993" s="202">
        <v>2</v>
      </c>
      <c r="H993" s="202">
        <v>54</v>
      </c>
      <c r="I993" s="202">
        <v>2</v>
      </c>
      <c r="K993" s="202">
        <v>26</v>
      </c>
      <c r="L993" s="202">
        <v>74</v>
      </c>
      <c r="M993" s="202">
        <v>3</v>
      </c>
      <c r="N993" s="202">
        <v>15</v>
      </c>
      <c r="O993" s="202">
        <v>25</v>
      </c>
      <c r="P993" s="202">
        <v>5</v>
      </c>
      <c r="Q993" s="202">
        <v>11</v>
      </c>
      <c r="R993" s="202">
        <v>18</v>
      </c>
      <c r="S993" s="202">
        <v>1</v>
      </c>
    </row>
    <row r="994" spans="1:19" x14ac:dyDescent="0.35">
      <c r="A994" s="202">
        <v>74</v>
      </c>
      <c r="B994" s="202">
        <v>30</v>
      </c>
      <c r="C994" s="202">
        <v>2</v>
      </c>
      <c r="D994" s="202">
        <v>10</v>
      </c>
      <c r="E994" s="202">
        <v>42</v>
      </c>
      <c r="F994" s="202">
        <v>5</v>
      </c>
      <c r="G994" s="202">
        <v>20</v>
      </c>
      <c r="H994" s="202">
        <v>55</v>
      </c>
      <c r="I994" s="202">
        <v>2</v>
      </c>
      <c r="K994" s="202">
        <v>19</v>
      </c>
      <c r="L994" s="202">
        <v>34</v>
      </c>
      <c r="M994" s="202">
        <v>3</v>
      </c>
      <c r="N994" s="202">
        <v>8</v>
      </c>
      <c r="O994" s="202">
        <v>1</v>
      </c>
      <c r="P994" s="202">
        <v>1</v>
      </c>
      <c r="Q994" s="202">
        <v>25</v>
      </c>
      <c r="R994" s="202">
        <v>6</v>
      </c>
      <c r="S994" s="202">
        <v>2</v>
      </c>
    </row>
    <row r="995" spans="1:19" x14ac:dyDescent="0.35">
      <c r="A995" s="202">
        <v>74</v>
      </c>
      <c r="B995" s="202">
        <v>17</v>
      </c>
      <c r="C995" s="202">
        <v>4</v>
      </c>
      <c r="D995" s="202">
        <v>15</v>
      </c>
      <c r="E995" s="202">
        <v>52</v>
      </c>
      <c r="F995" s="202">
        <v>2</v>
      </c>
      <c r="G995" s="202">
        <v>11</v>
      </c>
      <c r="H995" s="202">
        <v>41</v>
      </c>
      <c r="I995" s="202">
        <v>2</v>
      </c>
      <c r="K995" s="202">
        <v>65</v>
      </c>
      <c r="L995" s="202">
        <v>84</v>
      </c>
      <c r="M995" s="202">
        <v>2</v>
      </c>
      <c r="N995" s="202">
        <v>4</v>
      </c>
      <c r="O995" s="202">
        <v>51</v>
      </c>
      <c r="P995" s="202">
        <v>5</v>
      </c>
      <c r="Q995" s="202">
        <v>1</v>
      </c>
      <c r="R995" s="202">
        <v>52</v>
      </c>
      <c r="S995" s="202">
        <v>1</v>
      </c>
    </row>
    <row r="996" spans="1:19" x14ac:dyDescent="0.35">
      <c r="A996" s="202">
        <v>74</v>
      </c>
      <c r="B996" s="202">
        <v>17</v>
      </c>
      <c r="C996" s="202">
        <v>4</v>
      </c>
      <c r="D996" s="202">
        <v>15</v>
      </c>
      <c r="E996" s="202">
        <v>52</v>
      </c>
      <c r="F996" s="202">
        <v>4</v>
      </c>
      <c r="G996" s="202">
        <v>2</v>
      </c>
      <c r="H996" s="202">
        <v>28</v>
      </c>
      <c r="I996" s="202">
        <v>2</v>
      </c>
      <c r="K996" s="202">
        <v>81</v>
      </c>
      <c r="L996" s="202">
        <v>89</v>
      </c>
      <c r="M996" s="202">
        <v>2</v>
      </c>
      <c r="N996" s="202">
        <v>18</v>
      </c>
      <c r="O996" s="202">
        <v>48</v>
      </c>
      <c r="P996" s="202">
        <v>2</v>
      </c>
      <c r="Q996" s="202">
        <v>2</v>
      </c>
      <c r="R996" s="202">
        <v>44</v>
      </c>
      <c r="S996" s="202">
        <v>1</v>
      </c>
    </row>
    <row r="997" spans="1:19" x14ac:dyDescent="0.35">
      <c r="A997" s="202">
        <v>74</v>
      </c>
      <c r="B997" s="202">
        <v>17</v>
      </c>
      <c r="C997" s="202">
        <v>4</v>
      </c>
      <c r="D997" s="202">
        <v>15</v>
      </c>
      <c r="E997" s="202">
        <v>53</v>
      </c>
      <c r="F997" s="202">
        <v>2</v>
      </c>
      <c r="G997" s="202">
        <v>2</v>
      </c>
      <c r="H997" s="202">
        <v>35</v>
      </c>
      <c r="I997" s="202">
        <v>1</v>
      </c>
      <c r="K997" s="202">
        <v>33</v>
      </c>
      <c r="L997" s="202">
        <v>20</v>
      </c>
      <c r="M997" s="202">
        <v>4</v>
      </c>
      <c r="N997" s="202">
        <v>15</v>
      </c>
      <c r="O997" s="202">
        <v>1</v>
      </c>
      <c r="P997" s="202">
        <v>3</v>
      </c>
      <c r="Q997" s="202">
        <v>2</v>
      </c>
      <c r="R997" s="202">
        <v>10</v>
      </c>
      <c r="S997" s="202">
        <v>2</v>
      </c>
    </row>
    <row r="998" spans="1:19" x14ac:dyDescent="0.35">
      <c r="A998" s="202">
        <v>74</v>
      </c>
      <c r="B998" s="202">
        <v>17</v>
      </c>
      <c r="C998" s="202">
        <v>4</v>
      </c>
      <c r="D998" s="202">
        <v>15</v>
      </c>
      <c r="E998" s="202">
        <v>53</v>
      </c>
      <c r="F998" s="202">
        <v>5</v>
      </c>
      <c r="G998" s="202">
        <v>2</v>
      </c>
      <c r="H998" s="202">
        <v>11</v>
      </c>
      <c r="I998" s="202">
        <v>1</v>
      </c>
      <c r="K998" s="202">
        <v>64</v>
      </c>
      <c r="L998" s="202">
        <v>50</v>
      </c>
      <c r="M998" s="202">
        <v>2</v>
      </c>
      <c r="N998" s="202">
        <v>18</v>
      </c>
      <c r="O998" s="202">
        <v>2</v>
      </c>
      <c r="P998" s="202">
        <v>5</v>
      </c>
      <c r="Q998" s="202">
        <v>19</v>
      </c>
      <c r="R998" s="202">
        <v>3</v>
      </c>
      <c r="S998" s="202">
        <v>1</v>
      </c>
    </row>
    <row r="999" spans="1:19" x14ac:dyDescent="0.35">
      <c r="A999" s="202">
        <v>74</v>
      </c>
      <c r="B999" s="202">
        <v>24</v>
      </c>
      <c r="C999" s="202">
        <v>2</v>
      </c>
      <c r="D999" s="202">
        <v>3</v>
      </c>
      <c r="E999" s="202">
        <v>48</v>
      </c>
      <c r="F999" s="202">
        <v>2</v>
      </c>
      <c r="G999" s="202">
        <v>7</v>
      </c>
      <c r="H999" s="202">
        <v>7</v>
      </c>
      <c r="I999" s="202">
        <v>2</v>
      </c>
      <c r="K999" s="202">
        <v>36</v>
      </c>
      <c r="L999" s="202">
        <v>76</v>
      </c>
      <c r="M999" s="202">
        <v>4</v>
      </c>
      <c r="N999" s="202">
        <v>15</v>
      </c>
      <c r="O999" s="202">
        <v>26</v>
      </c>
      <c r="P999" s="202">
        <v>5</v>
      </c>
      <c r="Q999" s="202">
        <v>2</v>
      </c>
      <c r="R999" s="202">
        <v>12</v>
      </c>
      <c r="S999" s="202">
        <v>1</v>
      </c>
    </row>
    <row r="1000" spans="1:19" x14ac:dyDescent="0.35">
      <c r="A1000" s="202">
        <v>74</v>
      </c>
      <c r="B1000" s="202">
        <v>24</v>
      </c>
      <c r="C1000" s="202">
        <v>2</v>
      </c>
      <c r="D1000" s="202">
        <v>3</v>
      </c>
      <c r="E1000" s="202">
        <v>48</v>
      </c>
      <c r="F1000" s="202">
        <v>4</v>
      </c>
      <c r="G1000" s="202">
        <v>1</v>
      </c>
      <c r="H1000" s="202">
        <v>7</v>
      </c>
      <c r="I1000" s="202">
        <v>2</v>
      </c>
      <c r="K1000" s="202">
        <v>26</v>
      </c>
      <c r="L1000" s="202">
        <v>89</v>
      </c>
      <c r="M1000" s="202">
        <v>4</v>
      </c>
      <c r="N1000" s="202">
        <v>15</v>
      </c>
      <c r="O1000" s="202">
        <v>26</v>
      </c>
      <c r="P1000" s="202">
        <v>2</v>
      </c>
      <c r="Q1000" s="202">
        <v>14</v>
      </c>
      <c r="R1000" s="202">
        <v>7</v>
      </c>
      <c r="S1000" s="202">
        <v>1</v>
      </c>
    </row>
    <row r="1001" spans="1:19" x14ac:dyDescent="0.35">
      <c r="A1001" s="202">
        <v>74</v>
      </c>
      <c r="B1001" s="202">
        <v>25</v>
      </c>
      <c r="C1001" s="202">
        <v>2</v>
      </c>
      <c r="D1001" s="202">
        <v>6</v>
      </c>
      <c r="E1001" s="202">
        <v>48</v>
      </c>
      <c r="F1001" s="202">
        <v>3</v>
      </c>
      <c r="G1001" s="202">
        <v>2</v>
      </c>
      <c r="H1001" s="202">
        <v>74</v>
      </c>
      <c r="I1001" s="202">
        <v>1</v>
      </c>
      <c r="K1001" s="202">
        <v>60</v>
      </c>
      <c r="L1001" s="202">
        <v>22</v>
      </c>
      <c r="M1001" s="202">
        <v>4</v>
      </c>
      <c r="N1001" s="202">
        <v>1</v>
      </c>
      <c r="O1001" s="202">
        <v>49</v>
      </c>
      <c r="P1001" s="202">
        <v>5</v>
      </c>
      <c r="Q1001" s="202">
        <v>20</v>
      </c>
      <c r="R1001" s="202">
        <v>33</v>
      </c>
      <c r="S1001" s="202">
        <v>1</v>
      </c>
    </row>
    <row r="1002" spans="1:19" x14ac:dyDescent="0.35">
      <c r="A1002" s="202">
        <v>74</v>
      </c>
      <c r="B1002" s="202">
        <v>25</v>
      </c>
      <c r="C1002" s="202">
        <v>2</v>
      </c>
      <c r="D1002" s="202">
        <v>6</v>
      </c>
      <c r="E1002" s="202">
        <v>48</v>
      </c>
      <c r="F1002" s="202">
        <v>5</v>
      </c>
      <c r="G1002" s="202">
        <v>20</v>
      </c>
      <c r="H1002" s="202">
        <v>69</v>
      </c>
      <c r="I1002" s="202">
        <v>1</v>
      </c>
      <c r="K1002" s="202">
        <v>70</v>
      </c>
      <c r="L1002" s="202">
        <v>27</v>
      </c>
      <c r="M1002" s="202">
        <v>4</v>
      </c>
      <c r="N1002" s="202">
        <v>15</v>
      </c>
      <c r="O1002" s="202">
        <v>26</v>
      </c>
      <c r="P1002" s="202">
        <v>3</v>
      </c>
      <c r="Q1002" s="202">
        <v>11</v>
      </c>
      <c r="R1002" s="202">
        <v>22</v>
      </c>
      <c r="S1002" s="202">
        <v>1</v>
      </c>
    </row>
    <row r="1003" spans="1:19" x14ac:dyDescent="0.35">
      <c r="A1003" s="202">
        <v>74</v>
      </c>
      <c r="B1003" s="202">
        <v>25</v>
      </c>
      <c r="C1003" s="202">
        <v>2</v>
      </c>
      <c r="D1003" s="202">
        <v>8</v>
      </c>
      <c r="E1003" s="202">
        <v>48</v>
      </c>
      <c r="F1003" s="202">
        <v>3</v>
      </c>
      <c r="G1003" s="202">
        <v>1</v>
      </c>
      <c r="H1003" s="202">
        <v>10</v>
      </c>
      <c r="I1003" s="202">
        <v>1</v>
      </c>
      <c r="K1003" s="202">
        <v>37</v>
      </c>
      <c r="L1003" s="202">
        <v>11</v>
      </c>
      <c r="M1003" s="202">
        <v>2</v>
      </c>
      <c r="N1003" s="202">
        <v>8</v>
      </c>
      <c r="O1003" s="202">
        <v>48</v>
      </c>
      <c r="P1003" s="202">
        <v>2</v>
      </c>
      <c r="Q1003" s="202">
        <v>20</v>
      </c>
      <c r="R1003" s="202">
        <v>31</v>
      </c>
      <c r="S1003" s="202">
        <v>2</v>
      </c>
    </row>
    <row r="1004" spans="1:19" x14ac:dyDescent="0.35">
      <c r="A1004" s="202">
        <v>74</v>
      </c>
      <c r="B1004" s="202">
        <v>25</v>
      </c>
      <c r="C1004" s="202">
        <v>2</v>
      </c>
      <c r="D1004" s="202">
        <v>8</v>
      </c>
      <c r="E1004" s="202">
        <v>48</v>
      </c>
      <c r="F1004" s="202">
        <v>5</v>
      </c>
      <c r="G1004" s="202">
        <v>19</v>
      </c>
      <c r="H1004" s="202">
        <v>10</v>
      </c>
      <c r="I1004" s="202">
        <v>1</v>
      </c>
      <c r="K1004" s="202">
        <v>2</v>
      </c>
      <c r="L1004" s="202">
        <v>74</v>
      </c>
      <c r="M1004" s="202">
        <v>4</v>
      </c>
      <c r="N1004" s="202">
        <v>8</v>
      </c>
      <c r="O1004" s="202">
        <v>46</v>
      </c>
      <c r="P1004" s="202">
        <v>2</v>
      </c>
      <c r="Q1004" s="202">
        <v>8</v>
      </c>
      <c r="R1004" s="202">
        <v>18</v>
      </c>
      <c r="S1004" s="202">
        <v>1</v>
      </c>
    </row>
    <row r="1005" spans="1:19" x14ac:dyDescent="0.35">
      <c r="A1005" s="202">
        <v>74</v>
      </c>
      <c r="B1005" s="202">
        <v>24</v>
      </c>
      <c r="C1005" s="202">
        <v>2</v>
      </c>
      <c r="D1005" s="202">
        <v>8</v>
      </c>
      <c r="E1005" s="202">
        <v>49</v>
      </c>
      <c r="F1005" s="202">
        <v>1</v>
      </c>
      <c r="G1005" s="202">
        <v>23</v>
      </c>
      <c r="H1005" s="202">
        <v>7</v>
      </c>
      <c r="I1005" s="202">
        <v>1</v>
      </c>
      <c r="K1005" s="202">
        <v>32</v>
      </c>
      <c r="L1005" s="202">
        <v>32</v>
      </c>
      <c r="M1005" s="202">
        <v>2</v>
      </c>
      <c r="N1005" s="202">
        <v>15</v>
      </c>
      <c r="O1005" s="202">
        <v>49</v>
      </c>
      <c r="P1005" s="202">
        <v>1</v>
      </c>
      <c r="Q1005" s="202">
        <v>17</v>
      </c>
      <c r="R1005" s="202">
        <v>46</v>
      </c>
      <c r="S1005" s="202">
        <v>2</v>
      </c>
    </row>
    <row r="1006" spans="1:19" x14ac:dyDescent="0.35">
      <c r="A1006" s="202">
        <v>74</v>
      </c>
      <c r="B1006" s="202">
        <v>24</v>
      </c>
      <c r="C1006" s="202">
        <v>2</v>
      </c>
      <c r="D1006" s="202">
        <v>8</v>
      </c>
      <c r="E1006" s="202">
        <v>49</v>
      </c>
      <c r="F1006" s="202">
        <v>4</v>
      </c>
      <c r="G1006" s="202">
        <v>23</v>
      </c>
      <c r="H1006" s="202">
        <v>7</v>
      </c>
      <c r="I1006" s="202">
        <v>1</v>
      </c>
      <c r="K1006" s="202">
        <v>53</v>
      </c>
      <c r="L1006" s="202">
        <v>15</v>
      </c>
      <c r="M1006" s="202">
        <v>2</v>
      </c>
      <c r="N1006" s="202">
        <v>10</v>
      </c>
      <c r="O1006" s="202">
        <v>26</v>
      </c>
      <c r="P1006" s="202">
        <v>1</v>
      </c>
      <c r="Q1006" s="202">
        <v>18</v>
      </c>
      <c r="R1006" s="202">
        <v>2</v>
      </c>
      <c r="S1006" s="202">
        <v>1</v>
      </c>
    </row>
    <row r="1007" spans="1:19" x14ac:dyDescent="0.35">
      <c r="A1007" s="202">
        <v>75</v>
      </c>
      <c r="B1007" s="202">
        <v>74</v>
      </c>
      <c r="C1007" s="202">
        <v>3</v>
      </c>
      <c r="D1007" s="202">
        <v>15</v>
      </c>
      <c r="E1007" s="202">
        <v>4</v>
      </c>
      <c r="F1007" s="202">
        <v>1</v>
      </c>
      <c r="G1007" s="202">
        <v>1</v>
      </c>
      <c r="H1007" s="202">
        <v>28</v>
      </c>
      <c r="I1007" s="202">
        <v>1</v>
      </c>
      <c r="K1007" s="202">
        <v>62</v>
      </c>
      <c r="L1007" s="202">
        <v>46</v>
      </c>
      <c r="M1007" s="202">
        <v>4</v>
      </c>
      <c r="N1007" s="202">
        <v>15</v>
      </c>
      <c r="O1007" s="202">
        <v>1</v>
      </c>
      <c r="P1007" s="202">
        <v>5</v>
      </c>
      <c r="Q1007" s="202">
        <v>23</v>
      </c>
      <c r="R1007" s="202">
        <v>34</v>
      </c>
      <c r="S1007" s="202">
        <v>2</v>
      </c>
    </row>
    <row r="1008" spans="1:19" x14ac:dyDescent="0.35">
      <c r="A1008" s="202">
        <v>75</v>
      </c>
      <c r="B1008" s="202">
        <v>74</v>
      </c>
      <c r="C1008" s="202">
        <v>3</v>
      </c>
      <c r="D1008" s="202">
        <v>15</v>
      </c>
      <c r="E1008" s="202">
        <v>4</v>
      </c>
      <c r="F1008" s="202">
        <v>4</v>
      </c>
      <c r="G1008" s="202">
        <v>10</v>
      </c>
      <c r="H1008" s="202">
        <v>35</v>
      </c>
      <c r="I1008" s="202">
        <v>1</v>
      </c>
      <c r="K1008" s="202">
        <v>71</v>
      </c>
      <c r="L1008" s="202">
        <v>110</v>
      </c>
      <c r="M1008" s="202">
        <v>3</v>
      </c>
      <c r="N1008" s="202">
        <v>15</v>
      </c>
      <c r="O1008" s="202">
        <v>2</v>
      </c>
      <c r="P1008" s="202">
        <v>1</v>
      </c>
      <c r="Q1008" s="202">
        <v>20</v>
      </c>
      <c r="R1008" s="202">
        <v>39</v>
      </c>
      <c r="S1008" s="202">
        <v>1</v>
      </c>
    </row>
    <row r="1009" spans="1:19" x14ac:dyDescent="0.35">
      <c r="A1009" s="202">
        <v>75</v>
      </c>
      <c r="B1009" s="202">
        <v>104</v>
      </c>
      <c r="C1009" s="202">
        <v>4</v>
      </c>
      <c r="D1009" s="202">
        <v>10</v>
      </c>
      <c r="E1009" s="202">
        <v>25</v>
      </c>
      <c r="F1009" s="202">
        <v>1</v>
      </c>
      <c r="G1009" s="202">
        <v>11</v>
      </c>
      <c r="H1009" s="202">
        <v>30</v>
      </c>
      <c r="I1009" s="202">
        <v>2</v>
      </c>
      <c r="K1009" s="202">
        <v>1</v>
      </c>
      <c r="L1009" s="202">
        <v>30</v>
      </c>
      <c r="M1009" s="202">
        <v>3</v>
      </c>
      <c r="N1009" s="202">
        <v>4</v>
      </c>
      <c r="O1009" s="202">
        <v>50</v>
      </c>
      <c r="P1009" s="202">
        <v>5</v>
      </c>
      <c r="Q1009" s="202">
        <v>20</v>
      </c>
      <c r="R1009" s="202">
        <v>23</v>
      </c>
      <c r="S1009" s="202">
        <v>3</v>
      </c>
    </row>
    <row r="1010" spans="1:19" x14ac:dyDescent="0.35">
      <c r="A1010" s="202">
        <v>75</v>
      </c>
      <c r="B1010" s="202">
        <v>104</v>
      </c>
      <c r="C1010" s="202">
        <v>4</v>
      </c>
      <c r="D1010" s="202">
        <v>10</v>
      </c>
      <c r="E1010" s="202">
        <v>25</v>
      </c>
      <c r="F1010" s="202">
        <v>5</v>
      </c>
      <c r="G1010" s="202">
        <v>20</v>
      </c>
      <c r="H1010" s="202">
        <v>45</v>
      </c>
      <c r="I1010" s="202">
        <v>2</v>
      </c>
      <c r="K1010" s="202">
        <v>76</v>
      </c>
      <c r="L1010" s="202">
        <v>14</v>
      </c>
      <c r="M1010" s="202">
        <v>3</v>
      </c>
      <c r="N1010" s="202">
        <v>8</v>
      </c>
      <c r="O1010" s="202">
        <v>27</v>
      </c>
      <c r="P1010" s="202">
        <v>2</v>
      </c>
      <c r="Q1010" s="202">
        <v>25</v>
      </c>
      <c r="R1010" s="202">
        <v>52</v>
      </c>
      <c r="S1010" s="202">
        <v>2</v>
      </c>
    </row>
    <row r="1011" spans="1:19" x14ac:dyDescent="0.35">
      <c r="A1011" s="202">
        <v>76</v>
      </c>
      <c r="B1011" s="202">
        <v>17</v>
      </c>
      <c r="C1011" s="202">
        <v>2</v>
      </c>
      <c r="D1011" s="202">
        <v>4</v>
      </c>
      <c r="E1011" s="202">
        <v>48</v>
      </c>
      <c r="F1011" s="202">
        <v>2</v>
      </c>
      <c r="G1011" s="202">
        <v>2</v>
      </c>
      <c r="H1011" s="202">
        <v>52</v>
      </c>
      <c r="I1011" s="202">
        <v>2</v>
      </c>
      <c r="K1011" s="202">
        <v>48</v>
      </c>
      <c r="L1011" s="202">
        <v>24</v>
      </c>
      <c r="M1011" s="202">
        <v>3</v>
      </c>
      <c r="N1011" s="202">
        <v>18</v>
      </c>
      <c r="O1011" s="202">
        <v>44</v>
      </c>
      <c r="P1011" s="202">
        <v>1</v>
      </c>
      <c r="Q1011" s="202">
        <v>2</v>
      </c>
      <c r="R1011" s="202">
        <v>78</v>
      </c>
      <c r="S1011" s="202">
        <v>1</v>
      </c>
    </row>
    <row r="1012" spans="1:19" x14ac:dyDescent="0.35">
      <c r="A1012" s="202">
        <v>76</v>
      </c>
      <c r="B1012" s="202">
        <v>17</v>
      </c>
      <c r="C1012" s="202">
        <v>2</v>
      </c>
      <c r="D1012" s="202">
        <v>4</v>
      </c>
      <c r="E1012" s="202">
        <v>48</v>
      </c>
      <c r="F1012" s="202">
        <v>5</v>
      </c>
      <c r="G1012" s="202">
        <v>2</v>
      </c>
      <c r="H1012" s="202">
        <v>27</v>
      </c>
      <c r="I1012" s="202">
        <v>2</v>
      </c>
      <c r="K1012" s="202">
        <v>19</v>
      </c>
      <c r="L1012" s="202">
        <v>39</v>
      </c>
      <c r="M1012" s="202">
        <v>4</v>
      </c>
      <c r="N1012" s="202">
        <v>17</v>
      </c>
      <c r="O1012" s="202">
        <v>25</v>
      </c>
      <c r="P1012" s="202">
        <v>4</v>
      </c>
      <c r="Q1012" s="202">
        <v>7</v>
      </c>
      <c r="R1012" s="202">
        <v>24</v>
      </c>
      <c r="S1012" s="202">
        <v>2</v>
      </c>
    </row>
    <row r="1013" spans="1:19" x14ac:dyDescent="0.35">
      <c r="A1013" s="202">
        <v>76</v>
      </c>
      <c r="B1013" s="202">
        <v>17</v>
      </c>
      <c r="C1013" s="202">
        <v>2</v>
      </c>
      <c r="D1013" s="202">
        <v>15</v>
      </c>
      <c r="E1013" s="202">
        <v>48</v>
      </c>
      <c r="F1013" s="202">
        <v>1</v>
      </c>
      <c r="G1013" s="202">
        <v>20</v>
      </c>
      <c r="H1013" s="202">
        <v>28</v>
      </c>
      <c r="I1013" s="202">
        <v>2</v>
      </c>
      <c r="K1013" s="202">
        <v>59</v>
      </c>
      <c r="L1013" s="202">
        <v>24</v>
      </c>
      <c r="M1013" s="202">
        <v>4</v>
      </c>
      <c r="N1013" s="202">
        <v>8</v>
      </c>
      <c r="O1013" s="202">
        <v>43</v>
      </c>
      <c r="P1013" s="202">
        <v>5</v>
      </c>
      <c r="Q1013" s="202">
        <v>22</v>
      </c>
      <c r="R1013" s="202">
        <v>36</v>
      </c>
      <c r="S1013" s="202">
        <v>1</v>
      </c>
    </row>
    <row r="1014" spans="1:19" x14ac:dyDescent="0.35">
      <c r="A1014" s="202">
        <v>76</v>
      </c>
      <c r="B1014" s="202">
        <v>17</v>
      </c>
      <c r="C1014" s="202">
        <v>2</v>
      </c>
      <c r="D1014" s="202">
        <v>15</v>
      </c>
      <c r="E1014" s="202">
        <v>48</v>
      </c>
      <c r="F1014" s="202">
        <v>4</v>
      </c>
      <c r="G1014" s="202">
        <v>2</v>
      </c>
      <c r="H1014" s="202">
        <v>62</v>
      </c>
      <c r="I1014" s="202">
        <v>2</v>
      </c>
      <c r="K1014" s="202">
        <v>3</v>
      </c>
      <c r="L1014" s="202">
        <v>76</v>
      </c>
      <c r="M1014" s="202">
        <v>2</v>
      </c>
      <c r="N1014" s="202">
        <v>10</v>
      </c>
      <c r="O1014" s="202">
        <v>49</v>
      </c>
      <c r="P1014" s="202">
        <v>2</v>
      </c>
      <c r="Q1014" s="202">
        <v>9</v>
      </c>
      <c r="R1014" s="202">
        <v>56</v>
      </c>
      <c r="S1014" s="202">
        <v>2</v>
      </c>
    </row>
    <row r="1015" spans="1:19" x14ac:dyDescent="0.35">
      <c r="A1015" s="202">
        <v>76</v>
      </c>
      <c r="B1015" s="202">
        <v>17</v>
      </c>
      <c r="C1015" s="202">
        <v>2</v>
      </c>
      <c r="D1015" s="202">
        <v>15</v>
      </c>
      <c r="E1015" s="202">
        <v>49</v>
      </c>
      <c r="F1015" s="202">
        <v>2</v>
      </c>
      <c r="G1015" s="202">
        <v>11</v>
      </c>
      <c r="H1015" s="202">
        <v>35</v>
      </c>
      <c r="I1015" s="202">
        <v>2</v>
      </c>
      <c r="K1015" s="202">
        <v>39</v>
      </c>
      <c r="L1015" s="202">
        <v>26</v>
      </c>
      <c r="M1015" s="202">
        <v>2</v>
      </c>
      <c r="N1015" s="202">
        <v>8</v>
      </c>
      <c r="O1015" s="202">
        <v>48</v>
      </c>
      <c r="P1015" s="202">
        <v>5</v>
      </c>
      <c r="Q1015" s="202">
        <v>7</v>
      </c>
      <c r="R1015" s="202">
        <v>29</v>
      </c>
      <c r="S1015" s="202">
        <v>1</v>
      </c>
    </row>
    <row r="1016" spans="1:19" x14ac:dyDescent="0.35">
      <c r="A1016" s="202">
        <v>76</v>
      </c>
      <c r="B1016" s="202">
        <v>17</v>
      </c>
      <c r="C1016" s="202">
        <v>2</v>
      </c>
      <c r="D1016" s="202">
        <v>15</v>
      </c>
      <c r="E1016" s="202">
        <v>49</v>
      </c>
      <c r="F1016" s="202">
        <v>4</v>
      </c>
      <c r="G1016" s="202">
        <v>11</v>
      </c>
      <c r="H1016" s="202">
        <v>31</v>
      </c>
      <c r="I1016" s="202">
        <v>2</v>
      </c>
      <c r="K1016" s="202">
        <v>42</v>
      </c>
      <c r="L1016" s="202">
        <v>87</v>
      </c>
      <c r="M1016" s="202">
        <v>2</v>
      </c>
      <c r="N1016" s="202">
        <v>17</v>
      </c>
      <c r="O1016" s="202">
        <v>18</v>
      </c>
      <c r="P1016" s="202">
        <v>1</v>
      </c>
      <c r="Q1016" s="202">
        <v>17</v>
      </c>
      <c r="R1016" s="202">
        <v>7</v>
      </c>
      <c r="S1016" s="202">
        <v>2</v>
      </c>
    </row>
    <row r="1017" spans="1:19" x14ac:dyDescent="0.35">
      <c r="A1017" s="202">
        <v>76</v>
      </c>
      <c r="B1017" s="202">
        <v>17</v>
      </c>
      <c r="C1017" s="202">
        <v>2</v>
      </c>
      <c r="D1017" s="202">
        <v>15</v>
      </c>
      <c r="E1017" s="202">
        <v>50</v>
      </c>
      <c r="F1017" s="202">
        <v>2</v>
      </c>
      <c r="G1017" s="202">
        <v>20</v>
      </c>
      <c r="H1017" s="202">
        <v>8</v>
      </c>
      <c r="I1017" s="202">
        <v>2</v>
      </c>
      <c r="K1017" s="202">
        <v>13</v>
      </c>
      <c r="L1017" s="202">
        <v>16</v>
      </c>
      <c r="M1017" s="202">
        <v>2</v>
      </c>
      <c r="N1017" s="202">
        <v>10</v>
      </c>
      <c r="O1017" s="202">
        <v>43</v>
      </c>
      <c r="P1017" s="202">
        <v>2</v>
      </c>
      <c r="Q1017" s="202">
        <v>2</v>
      </c>
      <c r="R1017" s="202">
        <v>36</v>
      </c>
      <c r="S1017" s="202">
        <v>2</v>
      </c>
    </row>
    <row r="1018" spans="1:19" x14ac:dyDescent="0.35">
      <c r="A1018" s="202">
        <v>76</v>
      </c>
      <c r="B1018" s="202">
        <v>17</v>
      </c>
      <c r="C1018" s="202">
        <v>2</v>
      </c>
      <c r="D1018" s="202">
        <v>15</v>
      </c>
      <c r="E1018" s="202">
        <v>50</v>
      </c>
      <c r="F1018" s="202">
        <v>5</v>
      </c>
      <c r="G1018" s="202">
        <v>20</v>
      </c>
      <c r="H1018" s="202">
        <v>52</v>
      </c>
      <c r="I1018" s="202">
        <v>2</v>
      </c>
      <c r="K1018" s="202">
        <v>11</v>
      </c>
      <c r="L1018" s="202">
        <v>10</v>
      </c>
      <c r="M1018" s="202">
        <v>2</v>
      </c>
      <c r="N1018" s="202">
        <v>18</v>
      </c>
      <c r="O1018" s="202">
        <v>48</v>
      </c>
      <c r="P1018" s="202">
        <v>2</v>
      </c>
      <c r="Q1018" s="202">
        <v>19</v>
      </c>
      <c r="R1018" s="202">
        <v>24</v>
      </c>
      <c r="S1018" s="202">
        <v>1</v>
      </c>
    </row>
    <row r="1019" spans="1:19" x14ac:dyDescent="0.35">
      <c r="A1019" s="202">
        <v>76</v>
      </c>
      <c r="B1019" s="202">
        <v>93</v>
      </c>
      <c r="C1019" s="202">
        <v>2</v>
      </c>
      <c r="D1019" s="202">
        <v>17</v>
      </c>
      <c r="E1019" s="202">
        <v>48</v>
      </c>
      <c r="F1019" s="202">
        <v>1</v>
      </c>
      <c r="G1019" s="202">
        <v>2</v>
      </c>
      <c r="H1019" s="202">
        <v>5</v>
      </c>
      <c r="I1019" s="202">
        <v>1</v>
      </c>
      <c r="K1019" s="202">
        <v>24</v>
      </c>
      <c r="L1019" s="202">
        <v>10</v>
      </c>
      <c r="M1019" s="202">
        <v>1</v>
      </c>
      <c r="N1019" s="202">
        <v>18</v>
      </c>
      <c r="O1019" s="202">
        <v>48</v>
      </c>
      <c r="P1019" s="202">
        <v>5</v>
      </c>
      <c r="Q1019" s="202">
        <v>25</v>
      </c>
      <c r="R1019" s="202">
        <v>45</v>
      </c>
      <c r="S1019" s="202">
        <v>1</v>
      </c>
    </row>
    <row r="1020" spans="1:19" x14ac:dyDescent="0.35">
      <c r="A1020" s="202">
        <v>76</v>
      </c>
      <c r="B1020" s="202">
        <v>93</v>
      </c>
      <c r="C1020" s="202">
        <v>2</v>
      </c>
      <c r="D1020" s="202">
        <v>17</v>
      </c>
      <c r="E1020" s="202">
        <v>48</v>
      </c>
      <c r="F1020" s="202">
        <v>4</v>
      </c>
      <c r="G1020" s="202">
        <v>2</v>
      </c>
      <c r="H1020" s="202">
        <v>5</v>
      </c>
      <c r="I1020" s="202">
        <v>1</v>
      </c>
      <c r="K1020" s="202">
        <v>43</v>
      </c>
      <c r="L1020" s="202">
        <v>38</v>
      </c>
      <c r="M1020" s="202">
        <v>2</v>
      </c>
      <c r="N1020" s="202">
        <v>8</v>
      </c>
      <c r="O1020" s="202">
        <v>50</v>
      </c>
      <c r="P1020" s="202">
        <v>4</v>
      </c>
      <c r="Q1020" s="202">
        <v>2</v>
      </c>
      <c r="R1020" s="202">
        <v>9</v>
      </c>
      <c r="S1020" s="202">
        <v>3</v>
      </c>
    </row>
    <row r="1021" spans="1:19" x14ac:dyDescent="0.35">
      <c r="A1021" s="202">
        <v>77</v>
      </c>
      <c r="B1021" s="202">
        <v>10</v>
      </c>
      <c r="C1021" s="202">
        <v>4</v>
      </c>
      <c r="D1021" s="202">
        <v>15</v>
      </c>
      <c r="E1021" s="202">
        <v>45</v>
      </c>
      <c r="F1021" s="202">
        <v>1</v>
      </c>
      <c r="G1021" s="202">
        <v>11</v>
      </c>
      <c r="H1021" s="202">
        <v>9</v>
      </c>
      <c r="I1021" s="202">
        <v>2</v>
      </c>
      <c r="K1021" s="202">
        <v>73</v>
      </c>
      <c r="L1021" s="202">
        <v>65</v>
      </c>
      <c r="M1021" s="202">
        <v>2</v>
      </c>
      <c r="N1021" s="202">
        <v>10</v>
      </c>
      <c r="O1021" s="202">
        <v>50</v>
      </c>
      <c r="P1021" s="202">
        <v>2</v>
      </c>
      <c r="Q1021" s="202">
        <v>2</v>
      </c>
      <c r="R1021" s="202">
        <v>34</v>
      </c>
      <c r="S1021" s="202">
        <v>1</v>
      </c>
    </row>
    <row r="1022" spans="1:19" x14ac:dyDescent="0.35">
      <c r="A1022" s="202">
        <v>77</v>
      </c>
      <c r="B1022" s="202">
        <v>10</v>
      </c>
      <c r="C1022" s="202">
        <v>4</v>
      </c>
      <c r="D1022" s="202">
        <v>15</v>
      </c>
      <c r="E1022" s="202">
        <v>45</v>
      </c>
      <c r="F1022" s="202">
        <v>5</v>
      </c>
      <c r="G1022" s="202">
        <v>2</v>
      </c>
      <c r="H1022" s="202">
        <v>51</v>
      </c>
      <c r="I1022" s="202">
        <v>2</v>
      </c>
      <c r="K1022" s="202">
        <v>49</v>
      </c>
      <c r="L1022" s="202">
        <v>17</v>
      </c>
      <c r="M1022" s="202">
        <v>2</v>
      </c>
      <c r="N1022" s="202">
        <v>8</v>
      </c>
      <c r="O1022" s="202">
        <v>48</v>
      </c>
      <c r="P1022" s="202">
        <v>2</v>
      </c>
      <c r="Q1022" s="202">
        <v>11</v>
      </c>
      <c r="R1022" s="202">
        <v>5</v>
      </c>
      <c r="S1022" s="202">
        <v>2</v>
      </c>
    </row>
    <row r="1023" spans="1:19" x14ac:dyDescent="0.35">
      <c r="A1023" s="202">
        <v>77</v>
      </c>
      <c r="B1023" s="202">
        <v>42</v>
      </c>
      <c r="C1023" s="202">
        <v>4</v>
      </c>
      <c r="D1023" s="202">
        <v>4</v>
      </c>
      <c r="E1023" s="202">
        <v>25</v>
      </c>
      <c r="F1023" s="202">
        <v>1</v>
      </c>
      <c r="G1023" s="202">
        <v>20</v>
      </c>
      <c r="H1023" s="202">
        <v>31</v>
      </c>
      <c r="I1023" s="202">
        <v>1</v>
      </c>
      <c r="K1023" s="202">
        <v>81</v>
      </c>
      <c r="L1023" s="202">
        <v>14</v>
      </c>
      <c r="M1023" s="202">
        <v>4</v>
      </c>
      <c r="N1023" s="202">
        <v>15</v>
      </c>
      <c r="O1023" s="202">
        <v>25</v>
      </c>
      <c r="P1023" s="202">
        <v>4</v>
      </c>
      <c r="Q1023" s="202">
        <v>23</v>
      </c>
      <c r="R1023" s="202">
        <v>10</v>
      </c>
      <c r="S1023" s="202">
        <v>2</v>
      </c>
    </row>
    <row r="1024" spans="1:19" x14ac:dyDescent="0.35">
      <c r="A1024" s="202">
        <v>77</v>
      </c>
      <c r="B1024" s="202">
        <v>42</v>
      </c>
      <c r="C1024" s="202">
        <v>4</v>
      </c>
      <c r="D1024" s="202">
        <v>4</v>
      </c>
      <c r="E1024" s="202">
        <v>25</v>
      </c>
      <c r="F1024" s="202">
        <v>4</v>
      </c>
      <c r="G1024" s="202">
        <v>24</v>
      </c>
      <c r="H1024" s="202">
        <v>31</v>
      </c>
      <c r="I1024" s="202">
        <v>1</v>
      </c>
      <c r="K1024" s="202">
        <v>34</v>
      </c>
      <c r="L1024" s="202">
        <v>33</v>
      </c>
      <c r="M1024" s="202">
        <v>4</v>
      </c>
      <c r="N1024" s="202">
        <v>10</v>
      </c>
      <c r="O1024" s="202">
        <v>25</v>
      </c>
      <c r="P1024" s="202">
        <v>2</v>
      </c>
      <c r="Q1024" s="202">
        <v>8</v>
      </c>
      <c r="R1024" s="202">
        <v>4</v>
      </c>
      <c r="S1024" s="202">
        <v>1</v>
      </c>
    </row>
    <row r="1025" spans="1:19" x14ac:dyDescent="0.35">
      <c r="A1025" s="202">
        <v>77</v>
      </c>
      <c r="B1025" s="202">
        <v>42</v>
      </c>
      <c r="C1025" s="202">
        <v>4</v>
      </c>
      <c r="D1025" s="202">
        <v>15</v>
      </c>
      <c r="E1025" s="202">
        <v>28</v>
      </c>
      <c r="F1025" s="202">
        <v>1</v>
      </c>
      <c r="G1025" s="202">
        <v>11</v>
      </c>
      <c r="H1025" s="202">
        <v>6</v>
      </c>
      <c r="I1025" s="202">
        <v>1</v>
      </c>
      <c r="K1025" s="202">
        <v>49</v>
      </c>
      <c r="L1025" s="202">
        <v>53</v>
      </c>
      <c r="M1025" s="202">
        <v>1</v>
      </c>
      <c r="N1025" s="202">
        <v>15</v>
      </c>
      <c r="O1025" s="202">
        <v>44</v>
      </c>
      <c r="P1025" s="202">
        <v>1</v>
      </c>
      <c r="Q1025" s="202">
        <v>20</v>
      </c>
      <c r="R1025" s="202">
        <v>98</v>
      </c>
      <c r="S1025" s="202">
        <v>1</v>
      </c>
    </row>
    <row r="1026" spans="1:19" x14ac:dyDescent="0.35">
      <c r="A1026" s="202">
        <v>77</v>
      </c>
      <c r="B1026" s="202">
        <v>42</v>
      </c>
      <c r="C1026" s="202">
        <v>4</v>
      </c>
      <c r="D1026" s="202">
        <v>15</v>
      </c>
      <c r="E1026" s="202">
        <v>28</v>
      </c>
      <c r="F1026" s="202">
        <v>5</v>
      </c>
      <c r="G1026" s="202">
        <v>8</v>
      </c>
      <c r="H1026" s="202">
        <v>51</v>
      </c>
      <c r="I1026" s="202">
        <v>1</v>
      </c>
      <c r="K1026" s="202">
        <v>41</v>
      </c>
      <c r="L1026" s="202">
        <v>15</v>
      </c>
      <c r="M1026" s="202">
        <v>2</v>
      </c>
      <c r="N1026" s="202">
        <v>18</v>
      </c>
      <c r="O1026" s="202">
        <v>2</v>
      </c>
      <c r="P1026" s="202">
        <v>2</v>
      </c>
      <c r="Q1026" s="202">
        <v>22</v>
      </c>
      <c r="R1026" s="202">
        <v>1</v>
      </c>
      <c r="S1026" s="202">
        <v>1</v>
      </c>
    </row>
    <row r="1027" spans="1:19" x14ac:dyDescent="0.35">
      <c r="A1027" s="202">
        <v>77</v>
      </c>
      <c r="B1027" s="202">
        <v>20</v>
      </c>
      <c r="C1027" s="202">
        <v>3</v>
      </c>
      <c r="D1027" s="202">
        <v>15</v>
      </c>
      <c r="E1027" s="202">
        <v>51</v>
      </c>
      <c r="F1027" s="202">
        <v>2</v>
      </c>
      <c r="G1027" s="202">
        <v>1</v>
      </c>
      <c r="H1027" s="202">
        <v>27</v>
      </c>
      <c r="I1027" s="202">
        <v>1</v>
      </c>
      <c r="K1027" s="202">
        <v>15</v>
      </c>
      <c r="L1027" s="202">
        <v>25</v>
      </c>
      <c r="M1027" s="202">
        <v>1</v>
      </c>
      <c r="N1027" s="202">
        <v>15</v>
      </c>
      <c r="O1027" s="202">
        <v>43</v>
      </c>
      <c r="P1027" s="202">
        <v>2</v>
      </c>
      <c r="Q1027" s="202">
        <v>10</v>
      </c>
      <c r="R1027" s="202">
        <v>18</v>
      </c>
      <c r="S1027" s="202">
        <v>2</v>
      </c>
    </row>
    <row r="1028" spans="1:19" x14ac:dyDescent="0.35">
      <c r="A1028" s="202">
        <v>77</v>
      </c>
      <c r="B1028" s="202">
        <v>20</v>
      </c>
      <c r="C1028" s="202">
        <v>3</v>
      </c>
      <c r="D1028" s="202">
        <v>15</v>
      </c>
      <c r="E1028" s="202">
        <v>51</v>
      </c>
      <c r="F1028" s="202">
        <v>5</v>
      </c>
      <c r="G1028" s="202">
        <v>19</v>
      </c>
      <c r="H1028" s="202">
        <v>52</v>
      </c>
      <c r="I1028" s="202">
        <v>1</v>
      </c>
      <c r="K1028" s="202">
        <v>52</v>
      </c>
      <c r="L1028" s="202">
        <v>38</v>
      </c>
      <c r="M1028" s="202">
        <v>4</v>
      </c>
      <c r="N1028" s="202">
        <v>8</v>
      </c>
      <c r="O1028" s="202">
        <v>48</v>
      </c>
      <c r="P1028" s="202">
        <v>4</v>
      </c>
      <c r="Q1028" s="202">
        <v>20</v>
      </c>
      <c r="R1028" s="202">
        <v>28</v>
      </c>
      <c r="S1028" s="202">
        <v>1</v>
      </c>
    </row>
    <row r="1029" spans="1:19" x14ac:dyDescent="0.35">
      <c r="A1029" s="202">
        <v>77</v>
      </c>
      <c r="B1029" s="202">
        <v>20</v>
      </c>
      <c r="C1029" s="202">
        <v>3</v>
      </c>
      <c r="D1029" s="202">
        <v>18</v>
      </c>
      <c r="E1029" s="202">
        <v>50</v>
      </c>
      <c r="F1029" s="202">
        <v>2</v>
      </c>
      <c r="G1029" s="202">
        <v>1</v>
      </c>
      <c r="H1029" s="202">
        <v>20</v>
      </c>
      <c r="I1029" s="202">
        <v>2</v>
      </c>
      <c r="K1029" s="202">
        <v>22</v>
      </c>
      <c r="L1029" s="202">
        <v>46</v>
      </c>
      <c r="M1029" s="202">
        <v>2</v>
      </c>
      <c r="N1029" s="202">
        <v>15</v>
      </c>
      <c r="O1029" s="202">
        <v>25</v>
      </c>
      <c r="P1029" s="202">
        <v>2</v>
      </c>
      <c r="Q1029" s="202">
        <v>19</v>
      </c>
      <c r="R1029" s="202">
        <v>48</v>
      </c>
      <c r="S1029" s="202">
        <v>2</v>
      </c>
    </row>
    <row r="1030" spans="1:19" x14ac:dyDescent="0.35">
      <c r="A1030" s="202">
        <v>77</v>
      </c>
      <c r="B1030" s="202">
        <v>20</v>
      </c>
      <c r="C1030" s="202">
        <v>3</v>
      </c>
      <c r="D1030" s="202">
        <v>18</v>
      </c>
      <c r="E1030" s="202">
        <v>50</v>
      </c>
      <c r="F1030" s="202">
        <v>4</v>
      </c>
      <c r="G1030" s="202">
        <v>7</v>
      </c>
      <c r="H1030" s="202">
        <v>46</v>
      </c>
      <c r="I1030" s="202">
        <v>2</v>
      </c>
      <c r="K1030" s="202">
        <v>73</v>
      </c>
      <c r="L1030" s="202">
        <v>57</v>
      </c>
      <c r="M1030" s="202">
        <v>3</v>
      </c>
      <c r="N1030" s="202">
        <v>18</v>
      </c>
      <c r="O1030" s="202">
        <v>26</v>
      </c>
      <c r="P1030" s="202">
        <v>5</v>
      </c>
      <c r="Q1030" s="202">
        <v>2</v>
      </c>
      <c r="R1030" s="202">
        <v>80</v>
      </c>
      <c r="S1030" s="202">
        <v>2</v>
      </c>
    </row>
    <row r="1031" spans="1:19" x14ac:dyDescent="0.35">
      <c r="A1031" s="202">
        <v>77</v>
      </c>
      <c r="B1031" s="202">
        <v>46</v>
      </c>
      <c r="C1031" s="202">
        <v>4</v>
      </c>
      <c r="D1031" s="202">
        <v>15</v>
      </c>
      <c r="E1031" s="202">
        <v>23</v>
      </c>
      <c r="F1031" s="202">
        <v>5</v>
      </c>
      <c r="G1031" s="202">
        <v>25</v>
      </c>
      <c r="H1031" s="202">
        <v>68</v>
      </c>
      <c r="I1031" s="202">
        <v>3</v>
      </c>
      <c r="K1031" s="202">
        <v>68</v>
      </c>
      <c r="L1031" s="202">
        <v>10</v>
      </c>
      <c r="M1031" s="202">
        <v>3</v>
      </c>
      <c r="N1031" s="202">
        <v>15</v>
      </c>
      <c r="O1031" s="202">
        <v>44</v>
      </c>
      <c r="P1031" s="202">
        <v>5</v>
      </c>
      <c r="Q1031" s="202">
        <v>10</v>
      </c>
      <c r="R1031" s="202">
        <v>38</v>
      </c>
      <c r="S1031" s="202">
        <v>1</v>
      </c>
    </row>
    <row r="1032" spans="1:19" x14ac:dyDescent="0.35">
      <c r="A1032" s="202">
        <v>78</v>
      </c>
      <c r="B1032" s="202">
        <v>25</v>
      </c>
      <c r="C1032" s="202">
        <v>2</v>
      </c>
      <c r="D1032" s="202">
        <v>10</v>
      </c>
      <c r="E1032" s="202">
        <v>50</v>
      </c>
      <c r="F1032" s="202">
        <v>2</v>
      </c>
      <c r="G1032" s="202">
        <v>10</v>
      </c>
      <c r="H1032" s="202">
        <v>27</v>
      </c>
      <c r="I1032" s="202">
        <v>2</v>
      </c>
      <c r="K1032" s="202">
        <v>56</v>
      </c>
      <c r="L1032" s="202">
        <v>20</v>
      </c>
      <c r="M1032" s="202">
        <v>4</v>
      </c>
      <c r="N1032" s="202">
        <v>10</v>
      </c>
      <c r="O1032" s="202">
        <v>28</v>
      </c>
      <c r="P1032" s="202">
        <v>4</v>
      </c>
      <c r="Q1032" s="202">
        <v>11</v>
      </c>
      <c r="R1032" s="202">
        <v>20</v>
      </c>
      <c r="S1032" s="202">
        <v>1</v>
      </c>
    </row>
    <row r="1033" spans="1:19" x14ac:dyDescent="0.35">
      <c r="A1033" s="202">
        <v>78</v>
      </c>
      <c r="B1033" s="202">
        <v>25</v>
      </c>
      <c r="C1033" s="202">
        <v>2</v>
      </c>
      <c r="D1033" s="202">
        <v>10</v>
      </c>
      <c r="E1033" s="202">
        <v>50</v>
      </c>
      <c r="F1033" s="202">
        <v>4</v>
      </c>
      <c r="G1033" s="202">
        <v>10</v>
      </c>
      <c r="H1033" s="202">
        <v>27</v>
      </c>
      <c r="I1033" s="202">
        <v>2</v>
      </c>
      <c r="K1033" s="202">
        <v>14</v>
      </c>
      <c r="L1033" s="202">
        <v>42</v>
      </c>
      <c r="M1033" s="202">
        <v>4</v>
      </c>
      <c r="N1033" s="202">
        <v>10</v>
      </c>
      <c r="O1033" s="202">
        <v>48</v>
      </c>
      <c r="P1033" s="202">
        <v>1</v>
      </c>
      <c r="Q1033" s="202">
        <v>2</v>
      </c>
      <c r="R1033" s="202">
        <v>10</v>
      </c>
      <c r="S1033" s="202">
        <v>2</v>
      </c>
    </row>
    <row r="1034" spans="1:19" x14ac:dyDescent="0.35">
      <c r="A1034" s="202">
        <v>78</v>
      </c>
      <c r="B1034" s="202">
        <v>24</v>
      </c>
      <c r="C1034" s="202">
        <v>2</v>
      </c>
      <c r="D1034" s="202">
        <v>10</v>
      </c>
      <c r="E1034" s="202">
        <v>50</v>
      </c>
      <c r="F1034" s="202">
        <v>2</v>
      </c>
      <c r="G1034" s="202">
        <v>23</v>
      </c>
      <c r="H1034" s="202">
        <v>7</v>
      </c>
      <c r="I1034" s="202">
        <v>2</v>
      </c>
      <c r="K1034" s="202">
        <v>39</v>
      </c>
      <c r="L1034" s="202">
        <v>82</v>
      </c>
      <c r="M1034" s="202">
        <v>3</v>
      </c>
      <c r="N1034" s="202">
        <v>8</v>
      </c>
      <c r="O1034" s="202">
        <v>3</v>
      </c>
      <c r="P1034" s="202">
        <v>4</v>
      </c>
      <c r="Q1034" s="202">
        <v>3</v>
      </c>
      <c r="R1034" s="202">
        <v>18</v>
      </c>
      <c r="S1034" s="202">
        <v>1</v>
      </c>
    </row>
    <row r="1035" spans="1:19" x14ac:dyDescent="0.35">
      <c r="A1035" s="202">
        <v>78</v>
      </c>
      <c r="B1035" s="202">
        <v>24</v>
      </c>
      <c r="C1035" s="202">
        <v>2</v>
      </c>
      <c r="D1035" s="202">
        <v>10</v>
      </c>
      <c r="E1035" s="202">
        <v>50</v>
      </c>
      <c r="F1035" s="202">
        <v>5</v>
      </c>
      <c r="G1035" s="202">
        <v>23</v>
      </c>
      <c r="H1035" s="202">
        <v>7</v>
      </c>
      <c r="I1035" s="202">
        <v>2</v>
      </c>
      <c r="K1035" s="202">
        <v>4</v>
      </c>
      <c r="L1035" s="202">
        <v>20</v>
      </c>
      <c r="M1035" s="202">
        <v>1</v>
      </c>
      <c r="N1035" s="202">
        <v>15</v>
      </c>
      <c r="O1035" s="202">
        <v>27</v>
      </c>
      <c r="P1035" s="202">
        <v>2</v>
      </c>
      <c r="Q1035" s="202">
        <v>2</v>
      </c>
      <c r="R1035" s="202">
        <v>90</v>
      </c>
      <c r="S1035" s="202">
        <v>2</v>
      </c>
    </row>
    <row r="1036" spans="1:19" x14ac:dyDescent="0.35">
      <c r="A1036" s="202">
        <v>78</v>
      </c>
      <c r="B1036" s="202">
        <v>5</v>
      </c>
      <c r="C1036" s="202">
        <v>4</v>
      </c>
      <c r="D1036" s="202">
        <v>10</v>
      </c>
      <c r="E1036" s="202">
        <v>25</v>
      </c>
      <c r="F1036" s="202">
        <v>1</v>
      </c>
      <c r="G1036" s="202">
        <v>2</v>
      </c>
      <c r="H1036" s="202">
        <v>11</v>
      </c>
      <c r="I1036" s="202">
        <v>2</v>
      </c>
      <c r="K1036" s="202">
        <v>32</v>
      </c>
      <c r="L1036" s="202">
        <v>78</v>
      </c>
      <c r="M1036" s="202">
        <v>4</v>
      </c>
      <c r="N1036" s="202">
        <v>17</v>
      </c>
      <c r="O1036" s="202">
        <v>26</v>
      </c>
      <c r="P1036" s="202">
        <v>2</v>
      </c>
      <c r="Q1036" s="202">
        <v>20</v>
      </c>
      <c r="R1036" s="202">
        <v>22</v>
      </c>
      <c r="S1036" s="202">
        <v>2</v>
      </c>
    </row>
    <row r="1037" spans="1:19" x14ac:dyDescent="0.35">
      <c r="A1037" s="202">
        <v>78</v>
      </c>
      <c r="B1037" s="202">
        <v>5</v>
      </c>
      <c r="C1037" s="202">
        <v>4</v>
      </c>
      <c r="D1037" s="202">
        <v>10</v>
      </c>
      <c r="E1037" s="202">
        <v>25</v>
      </c>
      <c r="F1037" s="202">
        <v>4</v>
      </c>
      <c r="G1037" s="202">
        <v>20</v>
      </c>
      <c r="H1037" s="202">
        <v>11</v>
      </c>
      <c r="I1037" s="202">
        <v>2</v>
      </c>
      <c r="K1037" s="202">
        <v>30</v>
      </c>
      <c r="L1037" s="202">
        <v>84</v>
      </c>
      <c r="M1037" s="202">
        <v>4</v>
      </c>
      <c r="N1037" s="202">
        <v>8</v>
      </c>
      <c r="O1037" s="202">
        <v>46</v>
      </c>
      <c r="P1037" s="202">
        <v>3</v>
      </c>
      <c r="Q1037" s="202">
        <v>20</v>
      </c>
      <c r="R1037" s="202">
        <v>8</v>
      </c>
      <c r="S1037" s="202">
        <v>1</v>
      </c>
    </row>
    <row r="1038" spans="1:19" x14ac:dyDescent="0.35">
      <c r="A1038" s="202">
        <v>78</v>
      </c>
      <c r="B1038" s="202">
        <v>5</v>
      </c>
      <c r="C1038" s="202">
        <v>4</v>
      </c>
      <c r="D1038" s="202">
        <v>10</v>
      </c>
      <c r="E1038" s="202">
        <v>26</v>
      </c>
      <c r="F1038" s="202">
        <v>1</v>
      </c>
      <c r="G1038" s="202">
        <v>11</v>
      </c>
      <c r="H1038" s="202">
        <v>24</v>
      </c>
      <c r="I1038" s="202">
        <v>2</v>
      </c>
      <c r="K1038" s="202">
        <v>6</v>
      </c>
      <c r="L1038" s="202">
        <v>32</v>
      </c>
      <c r="M1038" s="202">
        <v>2</v>
      </c>
      <c r="N1038" s="202">
        <v>11</v>
      </c>
      <c r="O1038" s="202">
        <v>50</v>
      </c>
      <c r="P1038" s="202">
        <v>1</v>
      </c>
      <c r="Q1038" s="202">
        <v>8</v>
      </c>
      <c r="R1038" s="202">
        <v>40</v>
      </c>
      <c r="S1038" s="202">
        <v>2</v>
      </c>
    </row>
    <row r="1039" spans="1:19" x14ac:dyDescent="0.35">
      <c r="A1039" s="202">
        <v>78</v>
      </c>
      <c r="B1039" s="202">
        <v>5</v>
      </c>
      <c r="C1039" s="202">
        <v>4</v>
      </c>
      <c r="D1039" s="202">
        <v>10</v>
      </c>
      <c r="E1039" s="202">
        <v>26</v>
      </c>
      <c r="F1039" s="202">
        <v>3</v>
      </c>
      <c r="G1039" s="202">
        <v>20</v>
      </c>
      <c r="H1039" s="202">
        <v>45</v>
      </c>
      <c r="I1039" s="202">
        <v>2</v>
      </c>
      <c r="K1039" s="202">
        <v>19</v>
      </c>
      <c r="L1039" s="202">
        <v>25</v>
      </c>
      <c r="M1039" s="202">
        <v>3</v>
      </c>
      <c r="N1039" s="202">
        <v>16</v>
      </c>
      <c r="O1039" s="202">
        <v>42</v>
      </c>
      <c r="P1039" s="202">
        <v>2</v>
      </c>
      <c r="Q1039" s="202">
        <v>2</v>
      </c>
      <c r="R1039" s="202">
        <v>4</v>
      </c>
      <c r="S1039" s="202">
        <v>1</v>
      </c>
    </row>
    <row r="1040" spans="1:19" x14ac:dyDescent="0.35">
      <c r="A1040" s="202">
        <v>78</v>
      </c>
      <c r="B1040" s="202">
        <v>5</v>
      </c>
      <c r="C1040" s="202">
        <v>4</v>
      </c>
      <c r="D1040" s="202">
        <v>10</v>
      </c>
      <c r="E1040" s="202">
        <v>27</v>
      </c>
      <c r="F1040" s="202">
        <v>1</v>
      </c>
      <c r="G1040" s="202">
        <v>2</v>
      </c>
      <c r="H1040" s="202">
        <v>6</v>
      </c>
      <c r="I1040" s="202">
        <v>1</v>
      </c>
      <c r="K1040" s="202">
        <v>31</v>
      </c>
      <c r="L1040" s="202">
        <v>17</v>
      </c>
      <c r="M1040" s="202">
        <v>3</v>
      </c>
      <c r="N1040" s="202">
        <v>4</v>
      </c>
      <c r="O1040" s="202">
        <v>45</v>
      </c>
      <c r="P1040" s="202">
        <v>5</v>
      </c>
      <c r="Q1040" s="202">
        <v>23</v>
      </c>
      <c r="R1040" s="202">
        <v>9</v>
      </c>
      <c r="S1040" s="202">
        <v>1</v>
      </c>
    </row>
    <row r="1041" spans="1:19" x14ac:dyDescent="0.35">
      <c r="A1041" s="202">
        <v>78</v>
      </c>
      <c r="B1041" s="202">
        <v>5</v>
      </c>
      <c r="C1041" s="202">
        <v>4</v>
      </c>
      <c r="D1041" s="202">
        <v>10</v>
      </c>
      <c r="E1041" s="202">
        <v>27</v>
      </c>
      <c r="F1041" s="202">
        <v>3</v>
      </c>
      <c r="G1041" s="202">
        <v>20</v>
      </c>
      <c r="H1041" s="202">
        <v>41</v>
      </c>
      <c r="I1041" s="202">
        <v>1</v>
      </c>
      <c r="K1041" s="202">
        <v>19</v>
      </c>
      <c r="L1041" s="202">
        <v>39</v>
      </c>
      <c r="M1041" s="202">
        <v>4</v>
      </c>
      <c r="N1041" s="202">
        <v>8</v>
      </c>
      <c r="O1041" s="202">
        <v>27</v>
      </c>
      <c r="P1041" s="202">
        <v>1</v>
      </c>
      <c r="Q1041" s="202">
        <v>14</v>
      </c>
      <c r="R1041" s="202">
        <v>34</v>
      </c>
      <c r="S1041" s="202">
        <v>1</v>
      </c>
    </row>
    <row r="1042" spans="1:19" x14ac:dyDescent="0.35">
      <c r="A1042" s="202">
        <v>78</v>
      </c>
      <c r="B1042" s="202">
        <v>11</v>
      </c>
      <c r="C1042" s="202">
        <v>4</v>
      </c>
      <c r="D1042" s="202">
        <v>18</v>
      </c>
      <c r="E1042" s="202">
        <v>27</v>
      </c>
      <c r="F1042" s="202">
        <v>1</v>
      </c>
      <c r="G1042" s="202">
        <v>1</v>
      </c>
      <c r="H1042" s="202">
        <v>20</v>
      </c>
      <c r="I1042" s="202">
        <v>1</v>
      </c>
      <c r="K1042" s="202">
        <v>20</v>
      </c>
      <c r="L1042" s="202">
        <v>24</v>
      </c>
      <c r="M1042" s="202">
        <v>2</v>
      </c>
      <c r="N1042" s="202">
        <v>8</v>
      </c>
      <c r="O1042" s="202">
        <v>51</v>
      </c>
      <c r="P1042" s="202">
        <v>4</v>
      </c>
      <c r="Q1042" s="202">
        <v>20</v>
      </c>
      <c r="R1042" s="202">
        <v>19</v>
      </c>
      <c r="S1042" s="202">
        <v>1</v>
      </c>
    </row>
    <row r="1043" spans="1:19" x14ac:dyDescent="0.35">
      <c r="A1043" s="202">
        <v>78</v>
      </c>
      <c r="B1043" s="202">
        <v>11</v>
      </c>
      <c r="C1043" s="202">
        <v>4</v>
      </c>
      <c r="D1043" s="202">
        <v>18</v>
      </c>
      <c r="E1043" s="202">
        <v>27</v>
      </c>
      <c r="F1043" s="202">
        <v>2</v>
      </c>
      <c r="G1043" s="202">
        <v>20</v>
      </c>
      <c r="H1043" s="202">
        <v>20</v>
      </c>
      <c r="I1043" s="202">
        <v>1</v>
      </c>
      <c r="K1043" s="202">
        <v>82</v>
      </c>
      <c r="L1043" s="202">
        <v>38</v>
      </c>
      <c r="M1043" s="202">
        <v>3</v>
      </c>
      <c r="N1043" s="202">
        <v>17</v>
      </c>
      <c r="O1043" s="202">
        <v>50</v>
      </c>
      <c r="P1043" s="202">
        <v>3</v>
      </c>
      <c r="Q1043" s="202">
        <v>2</v>
      </c>
      <c r="R1043" s="202">
        <v>51</v>
      </c>
      <c r="S1043" s="202">
        <v>1</v>
      </c>
    </row>
    <row r="1044" spans="1:19" x14ac:dyDescent="0.35">
      <c r="A1044" s="202">
        <v>79</v>
      </c>
      <c r="B1044" s="202">
        <v>10</v>
      </c>
      <c r="C1044" s="202">
        <v>4</v>
      </c>
      <c r="D1044" s="202">
        <v>15</v>
      </c>
      <c r="E1044" s="202">
        <v>46</v>
      </c>
      <c r="F1044" s="202">
        <v>2</v>
      </c>
      <c r="G1044" s="202">
        <v>11</v>
      </c>
      <c r="H1044" s="202">
        <v>35</v>
      </c>
      <c r="I1044" s="202">
        <v>1</v>
      </c>
      <c r="K1044" s="202">
        <v>39</v>
      </c>
      <c r="L1044" s="202">
        <v>112</v>
      </c>
      <c r="M1044" s="202">
        <v>3</v>
      </c>
      <c r="N1044" s="202">
        <v>16</v>
      </c>
      <c r="O1044" s="202">
        <v>49</v>
      </c>
      <c r="P1044" s="202">
        <v>4</v>
      </c>
      <c r="Q1044" s="202">
        <v>20</v>
      </c>
      <c r="R1044" s="202">
        <v>51</v>
      </c>
      <c r="S1044" s="202">
        <v>2</v>
      </c>
    </row>
    <row r="1045" spans="1:19" x14ac:dyDescent="0.35">
      <c r="A1045" s="202">
        <v>79</v>
      </c>
      <c r="B1045" s="202">
        <v>10</v>
      </c>
      <c r="C1045" s="202">
        <v>4</v>
      </c>
      <c r="D1045" s="202">
        <v>15</v>
      </c>
      <c r="E1045" s="202">
        <v>46</v>
      </c>
      <c r="F1045" s="202">
        <v>4</v>
      </c>
      <c r="G1045" s="202">
        <v>18</v>
      </c>
      <c r="H1045" s="202">
        <v>12</v>
      </c>
      <c r="I1045" s="202">
        <v>1</v>
      </c>
      <c r="K1045" s="202">
        <v>82</v>
      </c>
      <c r="L1045" s="202">
        <v>30</v>
      </c>
      <c r="M1045" s="202">
        <v>1</v>
      </c>
      <c r="N1045" s="202">
        <v>18</v>
      </c>
      <c r="O1045" s="202">
        <v>50</v>
      </c>
      <c r="P1045" s="202">
        <v>4</v>
      </c>
      <c r="Q1045" s="202">
        <v>20</v>
      </c>
      <c r="R1045" s="202">
        <v>2</v>
      </c>
      <c r="S1045" s="202">
        <v>2</v>
      </c>
    </row>
    <row r="1046" spans="1:19" x14ac:dyDescent="0.35">
      <c r="A1046" s="202">
        <v>79</v>
      </c>
      <c r="B1046" s="202">
        <v>70</v>
      </c>
      <c r="C1046" s="202">
        <v>4</v>
      </c>
      <c r="D1046" s="202">
        <v>15</v>
      </c>
      <c r="E1046" s="202">
        <v>26</v>
      </c>
      <c r="F1046" s="202">
        <v>1</v>
      </c>
      <c r="G1046" s="202">
        <v>2</v>
      </c>
      <c r="H1046" s="202">
        <v>21</v>
      </c>
      <c r="I1046" s="202">
        <v>2</v>
      </c>
      <c r="K1046" s="202">
        <v>61</v>
      </c>
      <c r="L1046" s="202">
        <v>47</v>
      </c>
      <c r="M1046" s="202">
        <v>4</v>
      </c>
      <c r="N1046" s="202">
        <v>17</v>
      </c>
      <c r="O1046" s="202">
        <v>25</v>
      </c>
      <c r="P1046" s="202">
        <v>3</v>
      </c>
      <c r="Q1046" s="202">
        <v>2</v>
      </c>
      <c r="R1046" s="202">
        <v>21</v>
      </c>
      <c r="S1046" s="202">
        <v>1</v>
      </c>
    </row>
    <row r="1047" spans="1:19" x14ac:dyDescent="0.35">
      <c r="A1047" s="202">
        <v>79</v>
      </c>
      <c r="B1047" s="202">
        <v>70</v>
      </c>
      <c r="C1047" s="202">
        <v>4</v>
      </c>
      <c r="D1047" s="202">
        <v>15</v>
      </c>
      <c r="E1047" s="202">
        <v>26</v>
      </c>
      <c r="F1047" s="202">
        <v>5</v>
      </c>
      <c r="G1047" s="202">
        <v>2</v>
      </c>
      <c r="H1047" s="202">
        <v>34</v>
      </c>
      <c r="I1047" s="202">
        <v>2</v>
      </c>
      <c r="K1047" s="202">
        <v>70</v>
      </c>
      <c r="L1047" s="202">
        <v>14</v>
      </c>
      <c r="M1047" s="202">
        <v>2</v>
      </c>
      <c r="N1047" s="202">
        <v>17</v>
      </c>
      <c r="O1047" s="202">
        <v>25</v>
      </c>
      <c r="P1047" s="202">
        <v>3</v>
      </c>
      <c r="Q1047" s="202">
        <v>10</v>
      </c>
      <c r="R1047" s="202">
        <v>36</v>
      </c>
      <c r="S1047" s="202">
        <v>2</v>
      </c>
    </row>
    <row r="1048" spans="1:19" x14ac:dyDescent="0.35">
      <c r="A1048" s="202">
        <v>79</v>
      </c>
      <c r="B1048" s="202">
        <v>70</v>
      </c>
      <c r="C1048" s="202">
        <v>4</v>
      </c>
      <c r="D1048" s="202">
        <v>15</v>
      </c>
      <c r="E1048" s="202">
        <v>27</v>
      </c>
      <c r="F1048" s="202">
        <v>1</v>
      </c>
      <c r="G1048" s="202">
        <v>11</v>
      </c>
      <c r="H1048" s="202">
        <v>48</v>
      </c>
      <c r="I1048" s="202">
        <v>2</v>
      </c>
      <c r="K1048" s="202">
        <v>20</v>
      </c>
      <c r="L1048" s="202">
        <v>104</v>
      </c>
      <c r="M1048" s="202">
        <v>2</v>
      </c>
      <c r="N1048" s="202">
        <v>2</v>
      </c>
      <c r="O1048" s="202">
        <v>9</v>
      </c>
      <c r="P1048" s="202">
        <v>2</v>
      </c>
      <c r="Q1048" s="202">
        <v>11</v>
      </c>
      <c r="R1048" s="202">
        <v>37</v>
      </c>
      <c r="S1048" s="202">
        <v>1</v>
      </c>
    </row>
    <row r="1049" spans="1:19" x14ac:dyDescent="0.35">
      <c r="A1049" s="202">
        <v>79</v>
      </c>
      <c r="B1049" s="202">
        <v>70</v>
      </c>
      <c r="C1049" s="202">
        <v>4</v>
      </c>
      <c r="D1049" s="202">
        <v>15</v>
      </c>
      <c r="E1049" s="202">
        <v>27</v>
      </c>
      <c r="F1049" s="202">
        <v>4</v>
      </c>
      <c r="G1049" s="202">
        <v>24</v>
      </c>
      <c r="H1049" s="202">
        <v>24</v>
      </c>
      <c r="I1049" s="202">
        <v>2</v>
      </c>
      <c r="K1049" s="202">
        <v>37</v>
      </c>
      <c r="L1049" s="202">
        <v>21</v>
      </c>
      <c r="M1049" s="202">
        <v>2</v>
      </c>
      <c r="N1049" s="202">
        <v>17</v>
      </c>
      <c r="O1049" s="202">
        <v>48</v>
      </c>
      <c r="P1049" s="202">
        <v>1</v>
      </c>
      <c r="Q1049" s="202">
        <v>24</v>
      </c>
      <c r="R1049" s="202">
        <v>9</v>
      </c>
      <c r="S1049" s="202">
        <v>1</v>
      </c>
    </row>
    <row r="1050" spans="1:19" x14ac:dyDescent="0.35">
      <c r="A1050" s="202">
        <v>79</v>
      </c>
      <c r="B1050" s="202">
        <v>8</v>
      </c>
      <c r="C1050" s="202">
        <v>1</v>
      </c>
      <c r="D1050" s="202">
        <v>16</v>
      </c>
      <c r="E1050" s="202">
        <v>48</v>
      </c>
      <c r="F1050" s="202">
        <v>1</v>
      </c>
      <c r="G1050" s="202">
        <v>18</v>
      </c>
      <c r="H1050" s="202">
        <v>8</v>
      </c>
      <c r="I1050" s="202">
        <v>1</v>
      </c>
      <c r="K1050" s="202">
        <v>15</v>
      </c>
      <c r="L1050" s="202">
        <v>47</v>
      </c>
      <c r="M1050" s="202">
        <v>2</v>
      </c>
      <c r="N1050" s="202">
        <v>15</v>
      </c>
      <c r="O1050" s="202">
        <v>48</v>
      </c>
      <c r="P1050" s="202">
        <v>5</v>
      </c>
      <c r="Q1050" s="202">
        <v>22</v>
      </c>
      <c r="R1050" s="202">
        <v>36</v>
      </c>
      <c r="S1050" s="202">
        <v>1</v>
      </c>
    </row>
    <row r="1051" spans="1:19" x14ac:dyDescent="0.35">
      <c r="A1051" s="202">
        <v>79</v>
      </c>
      <c r="B1051" s="202">
        <v>8</v>
      </c>
      <c r="C1051" s="202">
        <v>1</v>
      </c>
      <c r="D1051" s="202">
        <v>16</v>
      </c>
      <c r="E1051" s="202">
        <v>48</v>
      </c>
      <c r="F1051" s="202">
        <v>2</v>
      </c>
      <c r="G1051" s="202">
        <v>18</v>
      </c>
      <c r="H1051" s="202">
        <v>8</v>
      </c>
      <c r="I1051" s="202">
        <v>1</v>
      </c>
      <c r="K1051" s="202">
        <v>46</v>
      </c>
      <c r="L1051" s="202">
        <v>38</v>
      </c>
      <c r="M1051" s="202">
        <v>3</v>
      </c>
      <c r="N1051" s="202">
        <v>15</v>
      </c>
      <c r="O1051" s="202">
        <v>27</v>
      </c>
      <c r="P1051" s="202">
        <v>2</v>
      </c>
      <c r="Q1051" s="202">
        <v>25</v>
      </c>
      <c r="R1051" s="202">
        <v>37</v>
      </c>
      <c r="S1051" s="202">
        <v>1</v>
      </c>
    </row>
    <row r="1052" spans="1:19" x14ac:dyDescent="0.35">
      <c r="A1052" s="202">
        <v>79</v>
      </c>
      <c r="B1052" s="202">
        <v>16</v>
      </c>
      <c r="C1052" s="202">
        <v>3</v>
      </c>
      <c r="D1052" s="202">
        <v>17</v>
      </c>
      <c r="E1052" s="202">
        <v>42</v>
      </c>
      <c r="F1052" s="202">
        <v>1</v>
      </c>
      <c r="G1052" s="202">
        <v>3</v>
      </c>
      <c r="H1052" s="202">
        <v>22</v>
      </c>
      <c r="I1052" s="202">
        <v>1</v>
      </c>
      <c r="K1052" s="202">
        <v>63</v>
      </c>
      <c r="L1052" s="202">
        <v>7</v>
      </c>
      <c r="M1052" s="202">
        <v>4</v>
      </c>
      <c r="N1052" s="202">
        <v>15</v>
      </c>
      <c r="O1052" s="202">
        <v>51</v>
      </c>
      <c r="P1052" s="202">
        <v>3</v>
      </c>
      <c r="Q1052" s="202">
        <v>2</v>
      </c>
      <c r="R1052" s="202">
        <v>9</v>
      </c>
      <c r="S1052" s="202">
        <v>1</v>
      </c>
    </row>
    <row r="1053" spans="1:19" x14ac:dyDescent="0.35">
      <c r="A1053" s="202">
        <v>79</v>
      </c>
      <c r="B1053" s="202">
        <v>16</v>
      </c>
      <c r="C1053" s="202">
        <v>3</v>
      </c>
      <c r="D1053" s="202">
        <v>17</v>
      </c>
      <c r="E1053" s="202">
        <v>42</v>
      </c>
      <c r="F1053" s="202">
        <v>4</v>
      </c>
      <c r="G1053" s="202">
        <v>3</v>
      </c>
      <c r="H1053" s="202">
        <v>22</v>
      </c>
      <c r="I1053" s="202">
        <v>1</v>
      </c>
      <c r="K1053" s="202">
        <v>31</v>
      </c>
      <c r="L1053" s="202">
        <v>21</v>
      </c>
      <c r="M1053" s="202">
        <v>2</v>
      </c>
      <c r="N1053" s="202">
        <v>11</v>
      </c>
      <c r="O1053" s="202">
        <v>32</v>
      </c>
      <c r="P1053" s="202">
        <v>4</v>
      </c>
      <c r="Q1053" s="202">
        <v>11</v>
      </c>
      <c r="R1053" s="202">
        <v>33</v>
      </c>
      <c r="S1053" s="202">
        <v>1</v>
      </c>
    </row>
    <row r="1054" spans="1:19" x14ac:dyDescent="0.35">
      <c r="A1054" s="202">
        <v>79</v>
      </c>
      <c r="B1054" s="202">
        <v>79</v>
      </c>
      <c r="C1054" s="202">
        <v>2</v>
      </c>
      <c r="D1054" s="202">
        <v>17</v>
      </c>
      <c r="E1054" s="202">
        <v>47</v>
      </c>
      <c r="F1054" s="202">
        <v>2</v>
      </c>
      <c r="G1054" s="202">
        <v>11</v>
      </c>
      <c r="H1054" s="202">
        <v>9</v>
      </c>
      <c r="I1054" s="202">
        <v>2</v>
      </c>
      <c r="K1054" s="202">
        <v>71</v>
      </c>
      <c r="L1054" s="202">
        <v>24</v>
      </c>
      <c r="M1054" s="202">
        <v>3</v>
      </c>
      <c r="N1054" s="202">
        <v>11</v>
      </c>
      <c r="O1054" s="202">
        <v>50</v>
      </c>
      <c r="P1054" s="202">
        <v>5</v>
      </c>
      <c r="Q1054" s="202">
        <v>10</v>
      </c>
      <c r="R1054" s="202">
        <v>12</v>
      </c>
      <c r="S1054" s="202">
        <v>2</v>
      </c>
    </row>
    <row r="1055" spans="1:19" x14ac:dyDescent="0.35">
      <c r="A1055" s="202">
        <v>79</v>
      </c>
      <c r="B1055" s="202">
        <v>79</v>
      </c>
      <c r="C1055" s="202">
        <v>2</v>
      </c>
      <c r="D1055" s="202">
        <v>17</v>
      </c>
      <c r="E1055" s="202">
        <v>47</v>
      </c>
      <c r="F1055" s="202">
        <v>5</v>
      </c>
      <c r="G1055" s="202">
        <v>11</v>
      </c>
      <c r="H1055" s="202">
        <v>9</v>
      </c>
      <c r="I1055" s="202">
        <v>2</v>
      </c>
      <c r="K1055" s="202">
        <v>65</v>
      </c>
      <c r="L1055" s="202">
        <v>68</v>
      </c>
      <c r="M1055" s="202">
        <v>4</v>
      </c>
      <c r="N1055" s="202">
        <v>15</v>
      </c>
      <c r="O1055" s="202">
        <v>48</v>
      </c>
      <c r="P1055" s="202">
        <v>2</v>
      </c>
      <c r="Q1055" s="202">
        <v>1</v>
      </c>
      <c r="R1055" s="202">
        <v>46</v>
      </c>
      <c r="S1055" s="202">
        <v>1</v>
      </c>
    </row>
    <row r="1056" spans="1:19" x14ac:dyDescent="0.35">
      <c r="A1056" s="202">
        <v>80</v>
      </c>
      <c r="B1056" s="202">
        <v>89</v>
      </c>
      <c r="C1056" s="202">
        <v>3</v>
      </c>
      <c r="D1056" s="202">
        <v>15</v>
      </c>
      <c r="E1056" s="202">
        <v>42</v>
      </c>
      <c r="F1056" s="202">
        <v>1</v>
      </c>
      <c r="G1056" s="202">
        <v>1</v>
      </c>
      <c r="H1056" s="202">
        <v>36</v>
      </c>
      <c r="I1056" s="202">
        <v>1</v>
      </c>
      <c r="K1056" s="202">
        <v>70</v>
      </c>
      <c r="L1056" s="202">
        <v>37</v>
      </c>
      <c r="M1056" s="202">
        <v>2</v>
      </c>
      <c r="N1056" s="202">
        <v>8</v>
      </c>
      <c r="O1056" s="202">
        <v>44</v>
      </c>
      <c r="P1056" s="202">
        <v>1</v>
      </c>
      <c r="Q1056" s="202">
        <v>25</v>
      </c>
      <c r="R1056" s="202">
        <v>29</v>
      </c>
      <c r="S1056" s="202">
        <v>1</v>
      </c>
    </row>
    <row r="1057" spans="1:19" x14ac:dyDescent="0.35">
      <c r="A1057" s="202">
        <v>80</v>
      </c>
      <c r="B1057" s="202">
        <v>89</v>
      </c>
      <c r="C1057" s="202">
        <v>3</v>
      </c>
      <c r="D1057" s="202">
        <v>15</v>
      </c>
      <c r="E1057" s="202">
        <v>42</v>
      </c>
      <c r="F1057" s="202">
        <v>4</v>
      </c>
      <c r="G1057" s="202">
        <v>7</v>
      </c>
      <c r="H1057" s="202">
        <v>30</v>
      </c>
      <c r="I1057" s="202">
        <v>1</v>
      </c>
      <c r="K1057" s="202">
        <v>56</v>
      </c>
      <c r="L1057" s="202">
        <v>89</v>
      </c>
      <c r="M1057" s="202">
        <v>1</v>
      </c>
      <c r="N1057" s="202">
        <v>17</v>
      </c>
      <c r="O1057" s="202">
        <v>6</v>
      </c>
      <c r="P1057" s="202">
        <v>3</v>
      </c>
      <c r="Q1057" s="202">
        <v>10</v>
      </c>
      <c r="R1057" s="202">
        <v>36</v>
      </c>
      <c r="S1057" s="202">
        <v>2</v>
      </c>
    </row>
    <row r="1058" spans="1:19" x14ac:dyDescent="0.35">
      <c r="A1058" s="202">
        <v>80</v>
      </c>
      <c r="B1058" s="202">
        <v>89</v>
      </c>
      <c r="C1058" s="202">
        <v>3</v>
      </c>
      <c r="D1058" s="202">
        <v>15</v>
      </c>
      <c r="E1058" s="202">
        <v>43</v>
      </c>
      <c r="F1058" s="202">
        <v>2</v>
      </c>
      <c r="G1058" s="202">
        <v>17</v>
      </c>
      <c r="H1058" s="202">
        <v>47</v>
      </c>
      <c r="I1058" s="202">
        <v>1</v>
      </c>
      <c r="K1058" s="202">
        <v>74</v>
      </c>
      <c r="L1058" s="202">
        <v>107</v>
      </c>
      <c r="M1058" s="202">
        <v>3</v>
      </c>
      <c r="N1058" s="202">
        <v>14</v>
      </c>
      <c r="O1058" s="202">
        <v>43</v>
      </c>
      <c r="P1058" s="202">
        <v>1</v>
      </c>
      <c r="Q1058" s="202">
        <v>23</v>
      </c>
      <c r="R1058" s="202">
        <v>55</v>
      </c>
      <c r="S1058" s="202">
        <v>2</v>
      </c>
    </row>
    <row r="1059" spans="1:19" x14ac:dyDescent="0.35">
      <c r="A1059" s="202">
        <v>80</v>
      </c>
      <c r="B1059" s="202">
        <v>89</v>
      </c>
      <c r="C1059" s="202">
        <v>3</v>
      </c>
      <c r="D1059" s="202">
        <v>15</v>
      </c>
      <c r="E1059" s="202">
        <v>43</v>
      </c>
      <c r="F1059" s="202">
        <v>4</v>
      </c>
      <c r="G1059" s="202">
        <v>14</v>
      </c>
      <c r="H1059" s="202">
        <v>30</v>
      </c>
      <c r="I1059" s="202">
        <v>1</v>
      </c>
      <c r="K1059" s="202">
        <v>9</v>
      </c>
      <c r="L1059" s="202">
        <v>47</v>
      </c>
      <c r="M1059" s="202">
        <v>4</v>
      </c>
      <c r="N1059" s="202">
        <v>15</v>
      </c>
      <c r="O1059" s="202">
        <v>45</v>
      </c>
      <c r="P1059" s="202">
        <v>2</v>
      </c>
      <c r="Q1059" s="202">
        <v>24</v>
      </c>
      <c r="R1059" s="202">
        <v>27</v>
      </c>
      <c r="S1059" s="202">
        <v>2</v>
      </c>
    </row>
    <row r="1060" spans="1:19" x14ac:dyDescent="0.35">
      <c r="A1060" s="202">
        <v>80</v>
      </c>
      <c r="B1060" s="202">
        <v>89</v>
      </c>
      <c r="C1060" s="202">
        <v>3</v>
      </c>
      <c r="D1060" s="202">
        <v>15</v>
      </c>
      <c r="E1060" s="202">
        <v>44</v>
      </c>
      <c r="F1060" s="202">
        <v>1</v>
      </c>
      <c r="G1060" s="202">
        <v>7</v>
      </c>
      <c r="H1060" s="202">
        <v>47</v>
      </c>
      <c r="I1060" s="202">
        <v>1</v>
      </c>
      <c r="K1060" s="202">
        <v>31</v>
      </c>
      <c r="L1060" s="202">
        <v>16</v>
      </c>
      <c r="M1060" s="202">
        <v>3</v>
      </c>
      <c r="N1060" s="202">
        <v>7</v>
      </c>
      <c r="O1060" s="202">
        <v>50</v>
      </c>
      <c r="P1060" s="202">
        <v>5</v>
      </c>
      <c r="Q1060" s="202">
        <v>10</v>
      </c>
      <c r="R1060" s="202">
        <v>19</v>
      </c>
      <c r="S1060" s="202">
        <v>2</v>
      </c>
    </row>
    <row r="1061" spans="1:19" x14ac:dyDescent="0.35">
      <c r="A1061" s="202">
        <v>80</v>
      </c>
      <c r="B1061" s="202">
        <v>89</v>
      </c>
      <c r="C1061" s="202">
        <v>3</v>
      </c>
      <c r="D1061" s="202">
        <v>15</v>
      </c>
      <c r="E1061" s="202">
        <v>44</v>
      </c>
      <c r="F1061" s="202">
        <v>5</v>
      </c>
      <c r="G1061" s="202">
        <v>1</v>
      </c>
      <c r="H1061" s="202">
        <v>48</v>
      </c>
      <c r="I1061" s="202">
        <v>1</v>
      </c>
      <c r="K1061" s="202">
        <v>33</v>
      </c>
      <c r="L1061" s="202">
        <v>38</v>
      </c>
      <c r="M1061" s="202">
        <v>2</v>
      </c>
      <c r="N1061" s="202">
        <v>15</v>
      </c>
      <c r="O1061" s="202">
        <v>26</v>
      </c>
      <c r="P1061" s="202">
        <v>5</v>
      </c>
      <c r="Q1061" s="202">
        <v>2</v>
      </c>
      <c r="R1061" s="202">
        <v>27</v>
      </c>
      <c r="S1061" s="202">
        <v>2</v>
      </c>
    </row>
    <row r="1062" spans="1:19" x14ac:dyDescent="0.35">
      <c r="A1062" s="202">
        <v>80</v>
      </c>
      <c r="B1062" s="202">
        <v>89</v>
      </c>
      <c r="C1062" s="202">
        <v>3</v>
      </c>
      <c r="D1062" s="202">
        <v>15</v>
      </c>
      <c r="E1062" s="202">
        <v>27</v>
      </c>
      <c r="F1062" s="202">
        <v>2</v>
      </c>
      <c r="G1062" s="202">
        <v>1</v>
      </c>
      <c r="H1062" s="202">
        <v>36</v>
      </c>
      <c r="I1062" s="202">
        <v>2</v>
      </c>
      <c r="K1062" s="202">
        <v>44</v>
      </c>
      <c r="L1062" s="202">
        <v>17</v>
      </c>
      <c r="M1062" s="202">
        <v>2</v>
      </c>
      <c r="N1062" s="202">
        <v>17</v>
      </c>
      <c r="O1062" s="202">
        <v>49</v>
      </c>
      <c r="P1062" s="202">
        <v>1</v>
      </c>
      <c r="Q1062" s="202">
        <v>20</v>
      </c>
      <c r="R1062" s="202">
        <v>91</v>
      </c>
      <c r="S1062" s="202">
        <v>3</v>
      </c>
    </row>
    <row r="1063" spans="1:19" x14ac:dyDescent="0.35">
      <c r="A1063" s="202">
        <v>80</v>
      </c>
      <c r="B1063" s="202">
        <v>89</v>
      </c>
      <c r="C1063" s="202">
        <v>3</v>
      </c>
      <c r="D1063" s="202">
        <v>15</v>
      </c>
      <c r="E1063" s="202">
        <v>27</v>
      </c>
      <c r="F1063" s="202">
        <v>5</v>
      </c>
      <c r="G1063" s="202">
        <v>1</v>
      </c>
      <c r="H1063" s="202">
        <v>42</v>
      </c>
      <c r="I1063" s="202">
        <v>2</v>
      </c>
      <c r="K1063" s="202">
        <v>54</v>
      </c>
      <c r="L1063" s="202">
        <v>30</v>
      </c>
      <c r="M1063" s="202">
        <v>2</v>
      </c>
      <c r="N1063" s="202">
        <v>10</v>
      </c>
      <c r="O1063" s="202">
        <v>1</v>
      </c>
      <c r="P1063" s="202">
        <v>3</v>
      </c>
      <c r="Q1063" s="202">
        <v>2</v>
      </c>
      <c r="R1063" s="202">
        <v>90</v>
      </c>
      <c r="S1063" s="202">
        <v>2</v>
      </c>
    </row>
    <row r="1064" spans="1:19" x14ac:dyDescent="0.35">
      <c r="A1064" s="202">
        <v>81</v>
      </c>
      <c r="B1064" s="202">
        <v>11</v>
      </c>
      <c r="C1064" s="202">
        <v>4</v>
      </c>
      <c r="D1064" s="202">
        <v>15</v>
      </c>
      <c r="E1064" s="202">
        <v>50</v>
      </c>
      <c r="F1064" s="202">
        <v>1</v>
      </c>
      <c r="G1064" s="202">
        <v>2</v>
      </c>
      <c r="H1064" s="202">
        <v>27</v>
      </c>
      <c r="I1064" s="202">
        <v>1</v>
      </c>
      <c r="K1064" s="202">
        <v>48</v>
      </c>
      <c r="L1064" s="202">
        <v>89</v>
      </c>
      <c r="M1064" s="202">
        <v>2</v>
      </c>
      <c r="N1064" s="202">
        <v>8</v>
      </c>
      <c r="O1064" s="202">
        <v>45</v>
      </c>
      <c r="P1064" s="202">
        <v>2</v>
      </c>
      <c r="Q1064" s="202">
        <v>19</v>
      </c>
      <c r="R1064" s="202">
        <v>29</v>
      </c>
      <c r="S1064" s="202">
        <v>1</v>
      </c>
    </row>
    <row r="1065" spans="1:19" x14ac:dyDescent="0.35">
      <c r="A1065" s="202">
        <v>81</v>
      </c>
      <c r="B1065" s="202">
        <v>11</v>
      </c>
      <c r="C1065" s="202">
        <v>4</v>
      </c>
      <c r="D1065" s="202">
        <v>15</v>
      </c>
      <c r="E1065" s="202">
        <v>50</v>
      </c>
      <c r="F1065" s="202">
        <v>4</v>
      </c>
      <c r="G1065" s="202">
        <v>2</v>
      </c>
      <c r="H1065" s="202">
        <v>27</v>
      </c>
      <c r="I1065" s="202">
        <v>1</v>
      </c>
      <c r="K1065" s="202">
        <v>44</v>
      </c>
      <c r="L1065" s="202">
        <v>46</v>
      </c>
      <c r="M1065" s="202">
        <v>1</v>
      </c>
      <c r="N1065" s="202">
        <v>14</v>
      </c>
      <c r="O1065" s="202">
        <v>2</v>
      </c>
      <c r="P1065" s="202">
        <v>5</v>
      </c>
      <c r="Q1065" s="202">
        <v>11</v>
      </c>
      <c r="R1065" s="202">
        <v>34</v>
      </c>
      <c r="S1065" s="202">
        <v>1</v>
      </c>
    </row>
    <row r="1066" spans="1:19" x14ac:dyDescent="0.35">
      <c r="A1066" s="202">
        <v>81</v>
      </c>
      <c r="B1066" s="202">
        <v>11</v>
      </c>
      <c r="C1066" s="202">
        <v>4</v>
      </c>
      <c r="D1066" s="202">
        <v>15</v>
      </c>
      <c r="E1066" s="202">
        <v>51</v>
      </c>
      <c r="F1066" s="202">
        <v>1</v>
      </c>
      <c r="G1066" s="202">
        <v>11</v>
      </c>
      <c r="H1066" s="202">
        <v>52</v>
      </c>
      <c r="I1066" s="202">
        <v>1</v>
      </c>
      <c r="K1066" s="202">
        <v>20</v>
      </c>
      <c r="L1066" s="202">
        <v>11</v>
      </c>
      <c r="M1066" s="202">
        <v>2</v>
      </c>
      <c r="N1066" s="202">
        <v>18</v>
      </c>
      <c r="O1066" s="202">
        <v>44</v>
      </c>
      <c r="P1066" s="202">
        <v>3</v>
      </c>
      <c r="Q1066" s="202">
        <v>2</v>
      </c>
      <c r="R1066" s="202">
        <v>17</v>
      </c>
      <c r="S1066" s="202">
        <v>2</v>
      </c>
    </row>
    <row r="1067" spans="1:19" x14ac:dyDescent="0.35">
      <c r="A1067" s="202">
        <v>81</v>
      </c>
      <c r="B1067" s="202">
        <v>11</v>
      </c>
      <c r="C1067" s="202">
        <v>4</v>
      </c>
      <c r="D1067" s="202">
        <v>15</v>
      </c>
      <c r="E1067" s="202">
        <v>51</v>
      </c>
      <c r="F1067" s="202">
        <v>5</v>
      </c>
      <c r="G1067" s="202">
        <v>2</v>
      </c>
      <c r="H1067" s="202">
        <v>38</v>
      </c>
      <c r="I1067" s="202">
        <v>1</v>
      </c>
      <c r="K1067" s="202">
        <v>65</v>
      </c>
      <c r="L1067" s="202">
        <v>29</v>
      </c>
      <c r="M1067" s="202">
        <v>4</v>
      </c>
      <c r="N1067" s="202">
        <v>8</v>
      </c>
      <c r="O1067" s="202">
        <v>49</v>
      </c>
      <c r="P1067" s="202">
        <v>5</v>
      </c>
      <c r="Q1067" s="202">
        <v>20</v>
      </c>
      <c r="R1067" s="202">
        <v>8</v>
      </c>
      <c r="S1067" s="202">
        <v>1</v>
      </c>
    </row>
    <row r="1068" spans="1:19" x14ac:dyDescent="0.35">
      <c r="A1068" s="202">
        <v>81</v>
      </c>
      <c r="B1068" s="202">
        <v>11</v>
      </c>
      <c r="C1068" s="202">
        <v>4</v>
      </c>
      <c r="D1068" s="202">
        <v>15</v>
      </c>
      <c r="E1068" s="202">
        <v>52</v>
      </c>
      <c r="F1068" s="202">
        <v>2</v>
      </c>
      <c r="G1068" s="202">
        <v>2</v>
      </c>
      <c r="H1068" s="202">
        <v>11</v>
      </c>
      <c r="I1068" s="202">
        <v>1</v>
      </c>
      <c r="K1068" s="202">
        <v>7</v>
      </c>
      <c r="L1068" s="202">
        <v>28</v>
      </c>
      <c r="M1068" s="202">
        <v>4</v>
      </c>
      <c r="N1068" s="202">
        <v>16</v>
      </c>
      <c r="O1068" s="202">
        <v>52</v>
      </c>
      <c r="P1068" s="202">
        <v>5</v>
      </c>
      <c r="Q1068" s="202">
        <v>19</v>
      </c>
      <c r="R1068" s="202">
        <v>80</v>
      </c>
      <c r="S1068" s="202">
        <v>2</v>
      </c>
    </row>
    <row r="1069" spans="1:19" x14ac:dyDescent="0.35">
      <c r="A1069" s="202">
        <v>81</v>
      </c>
      <c r="B1069" s="202">
        <v>11</v>
      </c>
      <c r="C1069" s="202">
        <v>4</v>
      </c>
      <c r="D1069" s="202">
        <v>15</v>
      </c>
      <c r="E1069" s="202">
        <v>52</v>
      </c>
      <c r="F1069" s="202">
        <v>5</v>
      </c>
      <c r="G1069" s="202">
        <v>20</v>
      </c>
      <c r="H1069" s="202">
        <v>35</v>
      </c>
      <c r="I1069" s="202">
        <v>1</v>
      </c>
      <c r="K1069" s="202">
        <v>37</v>
      </c>
      <c r="L1069" s="202">
        <v>69</v>
      </c>
      <c r="M1069" s="202">
        <v>1</v>
      </c>
      <c r="N1069" s="202">
        <v>17</v>
      </c>
      <c r="O1069" s="202">
        <v>43</v>
      </c>
      <c r="P1069" s="202">
        <v>1</v>
      </c>
      <c r="Q1069" s="202">
        <v>11</v>
      </c>
      <c r="R1069" s="202">
        <v>37</v>
      </c>
      <c r="S1069" s="202">
        <v>2</v>
      </c>
    </row>
    <row r="1070" spans="1:19" x14ac:dyDescent="0.35">
      <c r="A1070" s="202">
        <v>81</v>
      </c>
      <c r="B1070" s="202">
        <v>20</v>
      </c>
      <c r="C1070" s="202">
        <v>3</v>
      </c>
      <c r="D1070" s="202">
        <v>15</v>
      </c>
      <c r="E1070" s="202">
        <v>49</v>
      </c>
      <c r="F1070" s="202">
        <v>2</v>
      </c>
      <c r="G1070" s="202">
        <v>10</v>
      </c>
      <c r="H1070" s="202">
        <v>52</v>
      </c>
      <c r="I1070" s="202">
        <v>1</v>
      </c>
      <c r="K1070" s="202">
        <v>52</v>
      </c>
      <c r="L1070" s="202">
        <v>30</v>
      </c>
      <c r="M1070" s="202">
        <v>2</v>
      </c>
      <c r="N1070" s="202">
        <v>15</v>
      </c>
      <c r="O1070" s="202">
        <v>26</v>
      </c>
      <c r="P1070" s="202">
        <v>4</v>
      </c>
      <c r="Q1070" s="202">
        <v>24</v>
      </c>
      <c r="R1070" s="202">
        <v>17</v>
      </c>
      <c r="S1070" s="202">
        <v>1</v>
      </c>
    </row>
    <row r="1071" spans="1:19" x14ac:dyDescent="0.35">
      <c r="A1071" s="202">
        <v>81</v>
      </c>
      <c r="B1071" s="202">
        <v>20</v>
      </c>
      <c r="C1071" s="202">
        <v>3</v>
      </c>
      <c r="D1071" s="202">
        <v>15</v>
      </c>
      <c r="E1071" s="202">
        <v>49</v>
      </c>
      <c r="F1071" s="202">
        <v>5</v>
      </c>
      <c r="G1071" s="202">
        <v>10</v>
      </c>
      <c r="H1071" s="202">
        <v>52</v>
      </c>
      <c r="I1071" s="202">
        <v>1</v>
      </c>
      <c r="K1071" s="202">
        <v>3</v>
      </c>
      <c r="L1071" s="202">
        <v>17</v>
      </c>
      <c r="M1071" s="202">
        <v>2</v>
      </c>
      <c r="N1071" s="202">
        <v>18</v>
      </c>
      <c r="O1071" s="202">
        <v>8</v>
      </c>
      <c r="P1071" s="202">
        <v>3</v>
      </c>
      <c r="Q1071" s="202">
        <v>11</v>
      </c>
      <c r="R1071" s="202">
        <v>31</v>
      </c>
      <c r="S1071" s="202">
        <v>3</v>
      </c>
    </row>
    <row r="1072" spans="1:19" x14ac:dyDescent="0.35">
      <c r="A1072" s="202">
        <v>81</v>
      </c>
      <c r="B1072" s="202">
        <v>33</v>
      </c>
      <c r="C1072" s="202">
        <v>3</v>
      </c>
      <c r="D1072" s="202">
        <v>15</v>
      </c>
      <c r="E1072" s="202">
        <v>41</v>
      </c>
      <c r="F1072" s="202">
        <v>2</v>
      </c>
      <c r="G1072" s="202">
        <v>1</v>
      </c>
      <c r="H1072" s="202">
        <v>49</v>
      </c>
      <c r="I1072" s="202">
        <v>2</v>
      </c>
      <c r="K1072" s="202">
        <v>3</v>
      </c>
      <c r="L1072" s="202">
        <v>24</v>
      </c>
      <c r="M1072" s="202">
        <v>3</v>
      </c>
      <c r="N1072" s="202">
        <v>8</v>
      </c>
      <c r="O1072" s="202">
        <v>25</v>
      </c>
      <c r="P1072" s="202">
        <v>5</v>
      </c>
      <c r="Q1072" s="202">
        <v>11</v>
      </c>
      <c r="R1072" s="202">
        <v>7</v>
      </c>
      <c r="S1072" s="202">
        <v>2</v>
      </c>
    </row>
    <row r="1073" spans="1:19" x14ac:dyDescent="0.35">
      <c r="A1073" s="202">
        <v>81</v>
      </c>
      <c r="B1073" s="202">
        <v>33</v>
      </c>
      <c r="C1073" s="202">
        <v>3</v>
      </c>
      <c r="D1073" s="202">
        <v>15</v>
      </c>
      <c r="E1073" s="202">
        <v>41</v>
      </c>
      <c r="F1073" s="202">
        <v>4</v>
      </c>
      <c r="G1073" s="202">
        <v>1</v>
      </c>
      <c r="H1073" s="202">
        <v>49</v>
      </c>
      <c r="I1073" s="202">
        <v>2</v>
      </c>
      <c r="K1073" s="202">
        <v>68</v>
      </c>
      <c r="L1073" s="202">
        <v>39</v>
      </c>
      <c r="M1073" s="202">
        <v>2</v>
      </c>
      <c r="N1073" s="202">
        <v>10</v>
      </c>
      <c r="O1073" s="202">
        <v>4</v>
      </c>
      <c r="P1073" s="202">
        <v>4</v>
      </c>
      <c r="Q1073" s="202">
        <v>1</v>
      </c>
      <c r="R1073" s="202">
        <v>8</v>
      </c>
      <c r="S1073" s="202">
        <v>1</v>
      </c>
    </row>
    <row r="1074" spans="1:19" x14ac:dyDescent="0.35">
      <c r="A1074" s="202">
        <v>81</v>
      </c>
      <c r="B1074" s="202">
        <v>46</v>
      </c>
      <c r="C1074" s="202">
        <v>4</v>
      </c>
      <c r="D1074" s="202">
        <v>15</v>
      </c>
      <c r="E1074" s="202">
        <v>24</v>
      </c>
      <c r="F1074" s="202">
        <v>5</v>
      </c>
      <c r="G1074" s="202">
        <v>25</v>
      </c>
      <c r="H1074" s="202">
        <v>43</v>
      </c>
      <c r="I1074" s="202">
        <v>3</v>
      </c>
      <c r="K1074" s="202">
        <v>53</v>
      </c>
      <c r="L1074" s="202">
        <v>20</v>
      </c>
      <c r="M1074" s="202">
        <v>2</v>
      </c>
      <c r="N1074" s="202">
        <v>10</v>
      </c>
      <c r="O1074" s="202">
        <v>52</v>
      </c>
      <c r="P1074" s="202">
        <v>4</v>
      </c>
      <c r="Q1074" s="202">
        <v>7</v>
      </c>
      <c r="R1074" s="202">
        <v>48</v>
      </c>
      <c r="S1074" s="202">
        <v>2</v>
      </c>
    </row>
    <row r="1075" spans="1:19" x14ac:dyDescent="0.35">
      <c r="A1075" s="202">
        <v>82</v>
      </c>
      <c r="B1075" s="202">
        <v>30</v>
      </c>
      <c r="C1075" s="202">
        <v>4</v>
      </c>
      <c r="D1075" s="202">
        <v>8</v>
      </c>
      <c r="E1075" s="202">
        <v>42</v>
      </c>
      <c r="F1075" s="202">
        <v>2</v>
      </c>
      <c r="G1075" s="202">
        <v>24</v>
      </c>
      <c r="H1075" s="202">
        <v>19</v>
      </c>
      <c r="I1075" s="202">
        <v>2</v>
      </c>
      <c r="K1075" s="202">
        <v>66</v>
      </c>
      <c r="L1075" s="202">
        <v>37</v>
      </c>
      <c r="M1075" s="202">
        <v>4</v>
      </c>
      <c r="N1075" s="202">
        <v>10</v>
      </c>
      <c r="O1075" s="202">
        <v>49</v>
      </c>
      <c r="P1075" s="202">
        <v>2</v>
      </c>
      <c r="Q1075" s="202">
        <v>11</v>
      </c>
      <c r="R1075" s="202">
        <v>12</v>
      </c>
      <c r="S1075" s="202">
        <v>2</v>
      </c>
    </row>
    <row r="1076" spans="1:19" x14ac:dyDescent="0.35">
      <c r="A1076" s="202">
        <v>82</v>
      </c>
      <c r="B1076" s="202">
        <v>30</v>
      </c>
      <c r="C1076" s="202">
        <v>4</v>
      </c>
      <c r="D1076" s="202">
        <v>8</v>
      </c>
      <c r="E1076" s="202">
        <v>42</v>
      </c>
      <c r="F1076" s="202">
        <v>4</v>
      </c>
      <c r="G1076" s="202">
        <v>20</v>
      </c>
      <c r="H1076" s="202">
        <v>4</v>
      </c>
      <c r="I1076" s="202">
        <v>2</v>
      </c>
      <c r="K1076" s="202">
        <v>37</v>
      </c>
      <c r="L1076" s="202">
        <v>96</v>
      </c>
      <c r="M1076" s="202">
        <v>2</v>
      </c>
      <c r="N1076" s="202">
        <v>18</v>
      </c>
      <c r="O1076" s="202">
        <v>44</v>
      </c>
      <c r="P1076" s="202">
        <v>2</v>
      </c>
      <c r="Q1076" s="202">
        <v>20</v>
      </c>
      <c r="R1076" s="202">
        <v>63</v>
      </c>
      <c r="S1076" s="202">
        <v>1</v>
      </c>
    </row>
    <row r="1077" spans="1:19" x14ac:dyDescent="0.35">
      <c r="A1077" s="202">
        <v>82</v>
      </c>
      <c r="B1077" s="202">
        <v>30</v>
      </c>
      <c r="C1077" s="202">
        <v>3</v>
      </c>
      <c r="D1077" s="202">
        <v>18</v>
      </c>
      <c r="E1077" s="202">
        <v>43</v>
      </c>
      <c r="F1077" s="202">
        <v>2</v>
      </c>
      <c r="G1077" s="202">
        <v>23</v>
      </c>
      <c r="H1077" s="202">
        <v>18</v>
      </c>
      <c r="I1077" s="202">
        <v>1</v>
      </c>
      <c r="K1077" s="202">
        <v>66</v>
      </c>
      <c r="L1077" s="202">
        <v>24</v>
      </c>
      <c r="M1077" s="202">
        <v>4</v>
      </c>
      <c r="N1077" s="202">
        <v>17</v>
      </c>
      <c r="O1077" s="202">
        <v>1</v>
      </c>
      <c r="P1077" s="202">
        <v>2</v>
      </c>
      <c r="Q1077" s="202">
        <v>11</v>
      </c>
      <c r="R1077" s="202">
        <v>24</v>
      </c>
      <c r="S1077" s="202">
        <v>1</v>
      </c>
    </row>
    <row r="1078" spans="1:19" x14ac:dyDescent="0.35">
      <c r="A1078" s="202">
        <v>82</v>
      </c>
      <c r="B1078" s="202">
        <v>30</v>
      </c>
      <c r="C1078" s="202">
        <v>3</v>
      </c>
      <c r="D1078" s="202">
        <v>18</v>
      </c>
      <c r="E1078" s="202">
        <v>43</v>
      </c>
      <c r="F1078" s="202">
        <v>4</v>
      </c>
      <c r="G1078" s="202">
        <v>10</v>
      </c>
      <c r="H1078" s="202">
        <v>18</v>
      </c>
      <c r="I1078" s="202">
        <v>1</v>
      </c>
      <c r="K1078" s="202">
        <v>79</v>
      </c>
      <c r="L1078" s="202">
        <v>27</v>
      </c>
      <c r="M1078" s="202">
        <v>1</v>
      </c>
      <c r="N1078" s="202">
        <v>16</v>
      </c>
      <c r="O1078" s="202">
        <v>50</v>
      </c>
      <c r="P1078" s="202">
        <v>5</v>
      </c>
      <c r="Q1078" s="202">
        <v>25</v>
      </c>
      <c r="R1078" s="202">
        <v>22</v>
      </c>
      <c r="S1078" s="202">
        <v>2</v>
      </c>
    </row>
    <row r="1079" spans="1:19" x14ac:dyDescent="0.35">
      <c r="A1079" s="202">
        <v>82</v>
      </c>
      <c r="B1079" s="202">
        <v>30</v>
      </c>
      <c r="C1079" s="202">
        <v>3</v>
      </c>
      <c r="D1079" s="202">
        <v>18</v>
      </c>
      <c r="E1079" s="202">
        <v>42</v>
      </c>
      <c r="F1079" s="202">
        <v>2</v>
      </c>
      <c r="G1079" s="202">
        <v>23</v>
      </c>
      <c r="H1079" s="202">
        <v>19</v>
      </c>
      <c r="I1079" s="202">
        <v>2</v>
      </c>
      <c r="K1079" s="202">
        <v>35</v>
      </c>
      <c r="L1079" s="202">
        <v>29</v>
      </c>
      <c r="M1079" s="202">
        <v>2</v>
      </c>
      <c r="N1079" s="202">
        <v>15</v>
      </c>
      <c r="O1079" s="202">
        <v>28</v>
      </c>
      <c r="P1079" s="202">
        <v>5</v>
      </c>
      <c r="Q1079" s="202">
        <v>2</v>
      </c>
      <c r="R1079" s="202">
        <v>24</v>
      </c>
      <c r="S1079" s="202">
        <v>2</v>
      </c>
    </row>
    <row r="1080" spans="1:19" x14ac:dyDescent="0.35">
      <c r="A1080" s="202">
        <v>82</v>
      </c>
      <c r="B1080" s="202">
        <v>30</v>
      </c>
      <c r="C1080" s="202">
        <v>3</v>
      </c>
      <c r="D1080" s="202">
        <v>18</v>
      </c>
      <c r="E1080" s="202">
        <v>42</v>
      </c>
      <c r="F1080" s="202">
        <v>4</v>
      </c>
      <c r="G1080" s="202">
        <v>25</v>
      </c>
      <c r="H1080" s="202">
        <v>19</v>
      </c>
      <c r="I1080" s="202">
        <v>2</v>
      </c>
      <c r="K1080" s="202">
        <v>58</v>
      </c>
      <c r="L1080" s="202">
        <v>46</v>
      </c>
      <c r="M1080" s="202">
        <v>3</v>
      </c>
      <c r="N1080" s="202">
        <v>13</v>
      </c>
      <c r="O1080" s="202">
        <v>50</v>
      </c>
      <c r="P1080" s="202">
        <v>2</v>
      </c>
      <c r="Q1080" s="202">
        <v>20</v>
      </c>
      <c r="R1080" s="202">
        <v>52</v>
      </c>
      <c r="S1080" s="202">
        <v>1</v>
      </c>
    </row>
    <row r="1081" spans="1:19" x14ac:dyDescent="0.35">
      <c r="A1081" s="202">
        <v>82</v>
      </c>
      <c r="B1081" s="202">
        <v>30</v>
      </c>
      <c r="C1081" s="202">
        <v>4</v>
      </c>
      <c r="D1081" s="202">
        <v>10</v>
      </c>
      <c r="E1081" s="202">
        <v>43</v>
      </c>
      <c r="F1081" s="202">
        <v>1</v>
      </c>
      <c r="G1081" s="202">
        <v>24</v>
      </c>
      <c r="H1081" s="202">
        <v>19</v>
      </c>
      <c r="I1081" s="202">
        <v>2</v>
      </c>
      <c r="K1081" s="202">
        <v>74</v>
      </c>
      <c r="L1081" s="202">
        <v>94</v>
      </c>
      <c r="M1081" s="202">
        <v>3</v>
      </c>
      <c r="N1081" s="202">
        <v>3</v>
      </c>
      <c r="O1081" s="202">
        <v>1</v>
      </c>
      <c r="P1081" s="202">
        <v>1</v>
      </c>
      <c r="Q1081" s="202">
        <v>8</v>
      </c>
      <c r="R1081" s="202">
        <v>52</v>
      </c>
      <c r="S1081" s="202">
        <v>1</v>
      </c>
    </row>
    <row r="1082" spans="1:19" x14ac:dyDescent="0.35">
      <c r="A1082" s="202">
        <v>82</v>
      </c>
      <c r="B1082" s="202">
        <v>30</v>
      </c>
      <c r="C1082" s="202">
        <v>4</v>
      </c>
      <c r="D1082" s="202">
        <v>10</v>
      </c>
      <c r="E1082" s="202">
        <v>43</v>
      </c>
      <c r="F1082" s="202">
        <v>3</v>
      </c>
      <c r="G1082" s="202">
        <v>20</v>
      </c>
      <c r="H1082" s="202">
        <v>98</v>
      </c>
      <c r="I1082" s="202">
        <v>2</v>
      </c>
      <c r="K1082" s="202">
        <v>1</v>
      </c>
      <c r="L1082" s="202">
        <v>25</v>
      </c>
      <c r="M1082" s="202">
        <v>3</v>
      </c>
      <c r="N1082" s="202">
        <v>6</v>
      </c>
      <c r="O1082" s="202">
        <v>50</v>
      </c>
      <c r="P1082" s="202">
        <v>2</v>
      </c>
      <c r="Q1082" s="202">
        <v>20</v>
      </c>
      <c r="R1082" s="202">
        <v>41</v>
      </c>
      <c r="S1082" s="202">
        <v>2</v>
      </c>
    </row>
    <row r="1083" spans="1:19" x14ac:dyDescent="0.35">
      <c r="A1083" s="202">
        <v>82</v>
      </c>
      <c r="B1083" s="202">
        <v>30</v>
      </c>
      <c r="C1083" s="202">
        <v>4</v>
      </c>
      <c r="D1083" s="202">
        <v>10</v>
      </c>
      <c r="E1083" s="202">
        <v>44</v>
      </c>
      <c r="F1083" s="202">
        <v>1</v>
      </c>
      <c r="G1083" s="202">
        <v>8</v>
      </c>
      <c r="H1083" s="202">
        <v>28</v>
      </c>
      <c r="I1083" s="202">
        <v>1</v>
      </c>
      <c r="K1083" s="202">
        <v>79</v>
      </c>
      <c r="L1083" s="202">
        <v>97</v>
      </c>
      <c r="M1083" s="202">
        <v>2</v>
      </c>
      <c r="N1083" s="202">
        <v>8</v>
      </c>
      <c r="O1083" s="202">
        <v>45</v>
      </c>
      <c r="P1083" s="202">
        <v>3</v>
      </c>
      <c r="Q1083" s="202">
        <v>11</v>
      </c>
      <c r="R1083" s="202">
        <v>31</v>
      </c>
      <c r="S1083" s="202">
        <v>1</v>
      </c>
    </row>
    <row r="1084" spans="1:19" x14ac:dyDescent="0.35">
      <c r="A1084" s="202">
        <v>82</v>
      </c>
      <c r="B1084" s="202">
        <v>30</v>
      </c>
      <c r="C1084" s="202">
        <v>4</v>
      </c>
      <c r="D1084" s="202">
        <v>10</v>
      </c>
      <c r="E1084" s="202">
        <v>44</v>
      </c>
      <c r="F1084" s="202">
        <v>4</v>
      </c>
      <c r="G1084" s="202">
        <v>24</v>
      </c>
      <c r="H1084" s="202">
        <v>29</v>
      </c>
      <c r="I1084" s="202">
        <v>1</v>
      </c>
      <c r="K1084" s="202">
        <v>47</v>
      </c>
      <c r="L1084" s="202">
        <v>25</v>
      </c>
      <c r="M1084" s="202">
        <v>2</v>
      </c>
      <c r="N1084" s="202">
        <v>8</v>
      </c>
      <c r="O1084" s="202">
        <v>35</v>
      </c>
      <c r="P1084" s="202">
        <v>5</v>
      </c>
      <c r="Q1084" s="202">
        <v>18</v>
      </c>
      <c r="R1084" s="202">
        <v>21</v>
      </c>
      <c r="S1084" s="202">
        <v>1</v>
      </c>
    </row>
    <row r="1085" spans="1:19" x14ac:dyDescent="0.35">
      <c r="A1085" s="202">
        <v>82</v>
      </c>
      <c r="B1085" s="202">
        <v>8</v>
      </c>
      <c r="C1085" s="202">
        <v>1</v>
      </c>
      <c r="D1085" s="202">
        <v>16</v>
      </c>
      <c r="E1085" s="202">
        <v>48</v>
      </c>
      <c r="F1085" s="202">
        <v>1</v>
      </c>
      <c r="G1085" s="202">
        <v>18</v>
      </c>
      <c r="H1085" s="202">
        <v>8</v>
      </c>
      <c r="I1085" s="202">
        <v>1</v>
      </c>
      <c r="K1085" s="202">
        <v>41</v>
      </c>
      <c r="L1085" s="202">
        <v>15</v>
      </c>
      <c r="M1085" s="202">
        <v>2</v>
      </c>
      <c r="N1085" s="202">
        <v>8</v>
      </c>
      <c r="O1085" s="202">
        <v>51</v>
      </c>
      <c r="P1085" s="202">
        <v>3</v>
      </c>
      <c r="Q1085" s="202">
        <v>2</v>
      </c>
      <c r="R1085" s="202">
        <v>30</v>
      </c>
      <c r="S1085" s="202">
        <v>1</v>
      </c>
    </row>
    <row r="1086" spans="1:19" x14ac:dyDescent="0.35">
      <c r="A1086" s="202">
        <v>82</v>
      </c>
      <c r="B1086" s="202">
        <v>8</v>
      </c>
      <c r="C1086" s="202">
        <v>1</v>
      </c>
      <c r="D1086" s="202">
        <v>16</v>
      </c>
      <c r="E1086" s="202">
        <v>48</v>
      </c>
      <c r="F1086" s="202">
        <v>2</v>
      </c>
      <c r="G1086" s="202">
        <v>18</v>
      </c>
      <c r="H1086" s="202">
        <v>8</v>
      </c>
      <c r="I1086" s="202">
        <v>1</v>
      </c>
      <c r="K1086" s="202">
        <v>20</v>
      </c>
      <c r="L1086" s="202">
        <v>102</v>
      </c>
      <c r="M1086" s="202">
        <v>2</v>
      </c>
      <c r="N1086" s="202">
        <v>15</v>
      </c>
      <c r="O1086" s="202">
        <v>48</v>
      </c>
      <c r="P1086" s="202">
        <v>3</v>
      </c>
      <c r="Q1086" s="202">
        <v>8</v>
      </c>
      <c r="R1086" s="202">
        <v>4</v>
      </c>
      <c r="S1086" s="202">
        <v>1</v>
      </c>
    </row>
    <row r="1087" spans="1:19" x14ac:dyDescent="0.35">
      <c r="A1087" s="202">
        <v>82</v>
      </c>
      <c r="B1087" s="202">
        <v>29</v>
      </c>
      <c r="C1087" s="202">
        <v>2</v>
      </c>
      <c r="D1087" s="202">
        <v>17</v>
      </c>
      <c r="E1087" s="202">
        <v>42</v>
      </c>
      <c r="F1087" s="202">
        <v>2</v>
      </c>
      <c r="G1087" s="202">
        <v>2</v>
      </c>
      <c r="H1087" s="202">
        <v>22</v>
      </c>
      <c r="I1087" s="202">
        <v>2</v>
      </c>
      <c r="K1087" s="202">
        <v>18</v>
      </c>
      <c r="L1087" s="202">
        <v>42</v>
      </c>
      <c r="M1087" s="202">
        <v>4</v>
      </c>
      <c r="N1087" s="202">
        <v>12</v>
      </c>
      <c r="O1087" s="202">
        <v>52</v>
      </c>
      <c r="P1087" s="202">
        <v>4</v>
      </c>
      <c r="Q1087" s="202">
        <v>25</v>
      </c>
      <c r="R1087" s="202">
        <v>96</v>
      </c>
      <c r="S1087" s="202">
        <v>2</v>
      </c>
    </row>
    <row r="1088" spans="1:19" x14ac:dyDescent="0.35">
      <c r="A1088" s="202">
        <v>82</v>
      </c>
      <c r="B1088" s="202">
        <v>29</v>
      </c>
      <c r="C1088" s="202">
        <v>2</v>
      </c>
      <c r="D1088" s="202">
        <v>17</v>
      </c>
      <c r="E1088" s="202">
        <v>42</v>
      </c>
      <c r="F1088" s="202">
        <v>4</v>
      </c>
      <c r="G1088" s="202">
        <v>2</v>
      </c>
      <c r="H1088" s="202">
        <v>22</v>
      </c>
      <c r="I1088" s="202">
        <v>2</v>
      </c>
      <c r="K1088" s="202">
        <v>68</v>
      </c>
      <c r="L1088" s="202">
        <v>103</v>
      </c>
      <c r="M1088" s="202">
        <v>4</v>
      </c>
      <c r="N1088" s="202">
        <v>18</v>
      </c>
      <c r="O1088" s="202">
        <v>53</v>
      </c>
      <c r="P1088" s="202">
        <v>2</v>
      </c>
      <c r="Q1088" s="202">
        <v>24</v>
      </c>
      <c r="R1088" s="202">
        <v>62</v>
      </c>
      <c r="S1088" s="202">
        <v>2</v>
      </c>
    </row>
    <row r="1089" spans="1:19" x14ac:dyDescent="0.35">
      <c r="A1089" s="202">
        <v>83</v>
      </c>
      <c r="B1089" s="202">
        <v>69</v>
      </c>
      <c r="C1089" s="202">
        <v>4</v>
      </c>
      <c r="D1089" s="202">
        <v>18</v>
      </c>
      <c r="E1089" s="202">
        <v>42</v>
      </c>
      <c r="F1089" s="202">
        <v>1</v>
      </c>
      <c r="G1089" s="202">
        <v>8</v>
      </c>
      <c r="H1089" s="202">
        <v>20</v>
      </c>
      <c r="I1089" s="202">
        <v>1</v>
      </c>
      <c r="K1089" s="202">
        <v>69</v>
      </c>
      <c r="L1089" s="202">
        <v>102</v>
      </c>
      <c r="M1089" s="202">
        <v>2</v>
      </c>
      <c r="N1089" s="202">
        <v>16</v>
      </c>
      <c r="O1089" s="202">
        <v>48</v>
      </c>
      <c r="P1089" s="202">
        <v>4</v>
      </c>
      <c r="Q1089" s="202">
        <v>20</v>
      </c>
      <c r="R1089" s="202">
        <v>17</v>
      </c>
      <c r="S1089" s="202">
        <v>1</v>
      </c>
    </row>
    <row r="1090" spans="1:19" x14ac:dyDescent="0.35">
      <c r="A1090" s="202">
        <v>83</v>
      </c>
      <c r="B1090" s="202">
        <v>69</v>
      </c>
      <c r="C1090" s="202">
        <v>4</v>
      </c>
      <c r="D1090" s="202">
        <v>18</v>
      </c>
      <c r="E1090" s="202">
        <v>42</v>
      </c>
      <c r="F1090" s="202">
        <v>4</v>
      </c>
      <c r="G1090" s="202">
        <v>18</v>
      </c>
      <c r="H1090" s="202">
        <v>33</v>
      </c>
      <c r="I1090" s="202">
        <v>1</v>
      </c>
      <c r="K1090" s="202">
        <v>47</v>
      </c>
      <c r="L1090" s="202">
        <v>3</v>
      </c>
      <c r="M1090" s="202">
        <v>4</v>
      </c>
      <c r="N1090" s="202">
        <v>8</v>
      </c>
      <c r="O1090" s="202">
        <v>42</v>
      </c>
      <c r="P1090" s="202">
        <v>3</v>
      </c>
      <c r="Q1090" s="202">
        <v>8</v>
      </c>
      <c r="R1090" s="202">
        <v>16</v>
      </c>
      <c r="S1090" s="202">
        <v>2</v>
      </c>
    </row>
    <row r="1091" spans="1:19" x14ac:dyDescent="0.35">
      <c r="A1091" s="202">
        <v>83</v>
      </c>
      <c r="B1091" s="202">
        <v>69</v>
      </c>
      <c r="C1091" s="202">
        <v>4</v>
      </c>
      <c r="D1091" s="202">
        <v>18</v>
      </c>
      <c r="E1091" s="202">
        <v>43</v>
      </c>
      <c r="F1091" s="202">
        <v>3</v>
      </c>
      <c r="G1091" s="202">
        <v>20</v>
      </c>
      <c r="H1091" s="202">
        <v>47</v>
      </c>
      <c r="I1091" s="202">
        <v>2</v>
      </c>
      <c r="K1091" s="202">
        <v>32</v>
      </c>
      <c r="L1091" s="202">
        <v>26</v>
      </c>
      <c r="M1091" s="202">
        <v>1</v>
      </c>
      <c r="N1091" s="202">
        <v>15</v>
      </c>
      <c r="O1091" s="202">
        <v>26</v>
      </c>
      <c r="P1091" s="202">
        <v>4</v>
      </c>
      <c r="Q1091" s="202">
        <v>8</v>
      </c>
      <c r="R1091" s="202">
        <v>36</v>
      </c>
      <c r="S1091" s="202">
        <v>1</v>
      </c>
    </row>
    <row r="1092" spans="1:19" x14ac:dyDescent="0.35">
      <c r="A1092" s="202">
        <v>83</v>
      </c>
      <c r="B1092" s="202">
        <v>69</v>
      </c>
      <c r="C1092" s="202">
        <v>4</v>
      </c>
      <c r="D1092" s="202">
        <v>18</v>
      </c>
      <c r="E1092" s="202">
        <v>43</v>
      </c>
      <c r="F1092" s="202">
        <v>5</v>
      </c>
      <c r="G1092" s="202">
        <v>2</v>
      </c>
      <c r="H1092" s="202">
        <v>20</v>
      </c>
      <c r="I1092" s="202">
        <v>2</v>
      </c>
      <c r="K1092" s="202">
        <v>13</v>
      </c>
      <c r="L1092" s="202">
        <v>46</v>
      </c>
      <c r="M1092" s="202">
        <v>4</v>
      </c>
      <c r="N1092" s="202">
        <v>8</v>
      </c>
      <c r="O1092" s="202">
        <v>45</v>
      </c>
      <c r="P1092" s="202">
        <v>1</v>
      </c>
      <c r="Q1092" s="202">
        <v>23</v>
      </c>
      <c r="R1092" s="202">
        <v>36</v>
      </c>
      <c r="S1092" s="202">
        <v>1</v>
      </c>
    </row>
    <row r="1093" spans="1:19" x14ac:dyDescent="0.35">
      <c r="A1093" s="202">
        <v>83</v>
      </c>
      <c r="B1093" s="202">
        <v>69</v>
      </c>
      <c r="C1093" s="202">
        <v>3</v>
      </c>
      <c r="D1093" s="202">
        <v>15</v>
      </c>
      <c r="E1093" s="202">
        <v>27</v>
      </c>
      <c r="F1093" s="202">
        <v>2</v>
      </c>
      <c r="G1093" s="202">
        <v>10</v>
      </c>
      <c r="H1093" s="202">
        <v>34</v>
      </c>
      <c r="I1093" s="202">
        <v>1</v>
      </c>
      <c r="K1093" s="202">
        <v>61</v>
      </c>
      <c r="L1093" s="202">
        <v>88</v>
      </c>
      <c r="M1093" s="202">
        <v>4</v>
      </c>
      <c r="N1093" s="202">
        <v>8</v>
      </c>
      <c r="O1093" s="202">
        <v>5</v>
      </c>
      <c r="P1093" s="202">
        <v>4</v>
      </c>
      <c r="Q1093" s="202">
        <v>15</v>
      </c>
      <c r="R1093" s="202">
        <v>11</v>
      </c>
      <c r="S1093" s="202">
        <v>1</v>
      </c>
    </row>
    <row r="1094" spans="1:19" x14ac:dyDescent="0.35">
      <c r="A1094" s="202">
        <v>83</v>
      </c>
      <c r="B1094" s="202">
        <v>69</v>
      </c>
      <c r="C1094" s="202">
        <v>3</v>
      </c>
      <c r="D1094" s="202">
        <v>15</v>
      </c>
      <c r="E1094" s="202">
        <v>27</v>
      </c>
      <c r="F1094" s="202">
        <v>5</v>
      </c>
      <c r="G1094" s="202">
        <v>10</v>
      </c>
      <c r="H1094" s="202">
        <v>38</v>
      </c>
      <c r="I1094" s="202">
        <v>1</v>
      </c>
      <c r="K1094" s="202">
        <v>8</v>
      </c>
      <c r="L1094" s="202">
        <v>28</v>
      </c>
      <c r="M1094" s="202">
        <v>2</v>
      </c>
      <c r="N1094" s="202">
        <v>18</v>
      </c>
      <c r="O1094" s="202">
        <v>51</v>
      </c>
      <c r="P1094" s="202">
        <v>5</v>
      </c>
      <c r="Q1094" s="202">
        <v>19</v>
      </c>
      <c r="R1094" s="202">
        <v>52</v>
      </c>
      <c r="S1094" s="202">
        <v>1</v>
      </c>
    </row>
    <row r="1095" spans="1:19" x14ac:dyDescent="0.35">
      <c r="A1095" s="202">
        <v>83</v>
      </c>
      <c r="B1095" s="202">
        <v>76</v>
      </c>
      <c r="C1095" s="202">
        <v>3</v>
      </c>
      <c r="D1095" s="202">
        <v>15</v>
      </c>
      <c r="E1095" s="202">
        <v>5</v>
      </c>
      <c r="F1095" s="202">
        <v>1</v>
      </c>
      <c r="G1095" s="202">
        <v>1</v>
      </c>
      <c r="H1095" s="202">
        <v>22</v>
      </c>
      <c r="I1095" s="202">
        <v>1</v>
      </c>
      <c r="K1095" s="202">
        <v>42</v>
      </c>
      <c r="L1095" s="202">
        <v>78</v>
      </c>
      <c r="M1095" s="202">
        <v>2</v>
      </c>
      <c r="N1095" s="202">
        <v>8</v>
      </c>
      <c r="O1095" s="202">
        <v>25</v>
      </c>
      <c r="P1095" s="202">
        <v>1</v>
      </c>
      <c r="Q1095" s="202">
        <v>2</v>
      </c>
      <c r="R1095" s="202">
        <v>19</v>
      </c>
      <c r="S1095" s="202">
        <v>2</v>
      </c>
    </row>
    <row r="1096" spans="1:19" x14ac:dyDescent="0.35">
      <c r="A1096" s="202">
        <v>83</v>
      </c>
      <c r="B1096" s="202">
        <v>76</v>
      </c>
      <c r="C1096" s="202">
        <v>3</v>
      </c>
      <c r="D1096" s="202">
        <v>15</v>
      </c>
      <c r="E1096" s="202">
        <v>5</v>
      </c>
      <c r="F1096" s="202">
        <v>5</v>
      </c>
      <c r="G1096" s="202">
        <v>1</v>
      </c>
      <c r="H1096" s="202">
        <v>21</v>
      </c>
      <c r="I1096" s="202">
        <v>1</v>
      </c>
      <c r="K1096" s="202">
        <v>33</v>
      </c>
      <c r="L1096" s="202">
        <v>83</v>
      </c>
      <c r="M1096" s="202">
        <v>4</v>
      </c>
      <c r="N1096" s="202">
        <v>18</v>
      </c>
      <c r="O1096" s="202">
        <v>1</v>
      </c>
      <c r="P1096" s="202">
        <v>4</v>
      </c>
      <c r="Q1096" s="202">
        <v>2</v>
      </c>
      <c r="R1096" s="202">
        <v>17</v>
      </c>
      <c r="S1096" s="202">
        <v>2</v>
      </c>
    </row>
    <row r="1097" spans="1:19" x14ac:dyDescent="0.35">
      <c r="A1097" s="202">
        <v>83</v>
      </c>
      <c r="B1097" s="202">
        <v>51</v>
      </c>
      <c r="C1097" s="202">
        <v>1</v>
      </c>
      <c r="D1097" s="202">
        <v>16</v>
      </c>
      <c r="E1097" s="202">
        <v>48</v>
      </c>
      <c r="F1097" s="202">
        <v>1</v>
      </c>
      <c r="G1097" s="202">
        <v>2</v>
      </c>
      <c r="H1097" s="202">
        <v>8</v>
      </c>
      <c r="I1097" s="202">
        <v>2</v>
      </c>
      <c r="K1097" s="202">
        <v>32</v>
      </c>
      <c r="L1097" s="202">
        <v>48</v>
      </c>
      <c r="M1097" s="202">
        <v>4</v>
      </c>
      <c r="N1097" s="202">
        <v>8</v>
      </c>
      <c r="O1097" s="202">
        <v>43</v>
      </c>
      <c r="P1097" s="202">
        <v>1</v>
      </c>
      <c r="Q1097" s="202">
        <v>7</v>
      </c>
      <c r="R1097" s="202">
        <v>9</v>
      </c>
      <c r="S1097" s="202">
        <v>1</v>
      </c>
    </row>
    <row r="1098" spans="1:19" x14ac:dyDescent="0.35">
      <c r="A1098" s="202">
        <v>83</v>
      </c>
      <c r="B1098" s="202">
        <v>51</v>
      </c>
      <c r="C1098" s="202">
        <v>1</v>
      </c>
      <c r="D1098" s="202">
        <v>16</v>
      </c>
      <c r="E1098" s="202">
        <v>48</v>
      </c>
      <c r="F1098" s="202">
        <v>2</v>
      </c>
      <c r="G1098" s="202">
        <v>2</v>
      </c>
      <c r="H1098" s="202">
        <v>8</v>
      </c>
      <c r="I1098" s="202">
        <v>2</v>
      </c>
      <c r="K1098" s="202">
        <v>71</v>
      </c>
      <c r="L1098" s="202">
        <v>4</v>
      </c>
      <c r="M1098" s="202">
        <v>4</v>
      </c>
      <c r="N1098" s="202">
        <v>10</v>
      </c>
      <c r="O1098" s="202">
        <v>42</v>
      </c>
      <c r="P1098" s="202">
        <v>2</v>
      </c>
      <c r="Q1098" s="202">
        <v>2</v>
      </c>
      <c r="R1098" s="202">
        <v>12</v>
      </c>
      <c r="S1098" s="202">
        <v>2</v>
      </c>
    </row>
    <row r="1099" spans="1:19" x14ac:dyDescent="0.35">
      <c r="A1099" s="202">
        <v>83</v>
      </c>
      <c r="B1099" s="202">
        <v>2</v>
      </c>
      <c r="C1099" s="202">
        <v>2</v>
      </c>
      <c r="D1099" s="202">
        <v>17</v>
      </c>
      <c r="E1099" s="202">
        <v>42</v>
      </c>
      <c r="F1099" s="202">
        <v>1</v>
      </c>
      <c r="G1099" s="202">
        <v>22</v>
      </c>
      <c r="H1099" s="202">
        <v>22</v>
      </c>
      <c r="I1099" s="202">
        <v>1</v>
      </c>
      <c r="K1099" s="202">
        <v>2</v>
      </c>
      <c r="L1099" s="202">
        <v>24</v>
      </c>
      <c r="M1099" s="202">
        <v>4</v>
      </c>
      <c r="N1099" s="202">
        <v>18</v>
      </c>
      <c r="O1099" s="202">
        <v>47</v>
      </c>
      <c r="P1099" s="202">
        <v>4</v>
      </c>
      <c r="Q1099" s="202">
        <v>2</v>
      </c>
      <c r="R1099" s="202">
        <v>93</v>
      </c>
      <c r="S1099" s="202">
        <v>1</v>
      </c>
    </row>
    <row r="1100" spans="1:19" x14ac:dyDescent="0.35">
      <c r="A1100" s="202">
        <v>83</v>
      </c>
      <c r="B1100" s="202">
        <v>2</v>
      </c>
      <c r="C1100" s="202">
        <v>2</v>
      </c>
      <c r="D1100" s="202">
        <v>17</v>
      </c>
      <c r="E1100" s="202">
        <v>42</v>
      </c>
      <c r="F1100" s="202">
        <v>4</v>
      </c>
      <c r="G1100" s="202">
        <v>22</v>
      </c>
      <c r="H1100" s="202">
        <v>22</v>
      </c>
      <c r="I1100" s="202">
        <v>1</v>
      </c>
      <c r="K1100" s="202">
        <v>3</v>
      </c>
      <c r="L1100" s="202">
        <v>24</v>
      </c>
      <c r="M1100" s="202">
        <v>4</v>
      </c>
      <c r="N1100" s="202">
        <v>8</v>
      </c>
      <c r="O1100" s="202">
        <v>42</v>
      </c>
      <c r="P1100" s="202">
        <v>2</v>
      </c>
      <c r="Q1100" s="202">
        <v>18</v>
      </c>
      <c r="R1100" s="202">
        <v>44</v>
      </c>
      <c r="S1100" s="202">
        <v>1</v>
      </c>
    </row>
    <row r="1101" spans="1:19" x14ac:dyDescent="0.35">
      <c r="A1101" s="202">
        <v>83</v>
      </c>
      <c r="B1101" s="202">
        <v>2</v>
      </c>
      <c r="C1101" s="202">
        <v>2</v>
      </c>
      <c r="D1101" s="202">
        <v>17</v>
      </c>
      <c r="E1101" s="202">
        <v>47</v>
      </c>
      <c r="F1101" s="202">
        <v>1</v>
      </c>
      <c r="G1101" s="202">
        <v>15</v>
      </c>
      <c r="H1101" s="202">
        <v>9</v>
      </c>
      <c r="I1101" s="202">
        <v>1</v>
      </c>
      <c r="K1101" s="202">
        <v>83</v>
      </c>
      <c r="L1101" s="202">
        <v>15</v>
      </c>
      <c r="M1101" s="202">
        <v>2</v>
      </c>
      <c r="N1101" s="202">
        <v>4</v>
      </c>
      <c r="O1101" s="202">
        <v>48</v>
      </c>
      <c r="P1101" s="202">
        <v>5</v>
      </c>
      <c r="Q1101" s="202">
        <v>11</v>
      </c>
      <c r="R1101" s="202">
        <v>99</v>
      </c>
      <c r="S1101" s="202">
        <v>1</v>
      </c>
    </row>
    <row r="1102" spans="1:19" x14ac:dyDescent="0.35">
      <c r="A1102" s="202">
        <v>83</v>
      </c>
      <c r="B1102" s="202">
        <v>2</v>
      </c>
      <c r="C1102" s="202">
        <v>2</v>
      </c>
      <c r="D1102" s="202">
        <v>17</v>
      </c>
      <c r="E1102" s="202">
        <v>47</v>
      </c>
      <c r="F1102" s="202">
        <v>4</v>
      </c>
      <c r="G1102" s="202">
        <v>15</v>
      </c>
      <c r="H1102" s="202">
        <v>9</v>
      </c>
      <c r="I1102" s="202">
        <v>1</v>
      </c>
      <c r="K1102" s="202">
        <v>37</v>
      </c>
      <c r="L1102" s="202">
        <v>11</v>
      </c>
      <c r="M1102" s="202">
        <v>1</v>
      </c>
      <c r="N1102" s="202">
        <v>15</v>
      </c>
      <c r="O1102" s="202">
        <v>27</v>
      </c>
      <c r="P1102" s="202">
        <v>2</v>
      </c>
      <c r="Q1102" s="202">
        <v>11</v>
      </c>
      <c r="R1102" s="202">
        <v>7</v>
      </c>
      <c r="S1102" s="202">
        <v>2</v>
      </c>
    </row>
    <row r="1103" spans="1:19" x14ac:dyDescent="0.35">
      <c r="A1103" s="202">
        <v>84</v>
      </c>
      <c r="B1103" s="202">
        <v>111</v>
      </c>
      <c r="C1103" s="202">
        <v>4</v>
      </c>
      <c r="D1103" s="202">
        <v>8</v>
      </c>
      <c r="E1103" s="202">
        <v>42</v>
      </c>
      <c r="F1103" s="202">
        <v>1</v>
      </c>
      <c r="G1103" s="202">
        <v>18</v>
      </c>
      <c r="H1103" s="202">
        <v>29</v>
      </c>
      <c r="I1103" s="202">
        <v>1</v>
      </c>
      <c r="K1103" s="202">
        <v>57</v>
      </c>
      <c r="L1103" s="202">
        <v>24</v>
      </c>
      <c r="M1103" s="202">
        <v>3</v>
      </c>
      <c r="N1103" s="202">
        <v>8</v>
      </c>
      <c r="O1103" s="202">
        <v>48</v>
      </c>
      <c r="P1103" s="202">
        <v>5</v>
      </c>
      <c r="Q1103" s="202">
        <v>19</v>
      </c>
      <c r="R1103" s="202">
        <v>85</v>
      </c>
      <c r="S1103" s="202">
        <v>2</v>
      </c>
    </row>
    <row r="1104" spans="1:19" x14ac:dyDescent="0.35">
      <c r="A1104" s="202">
        <v>84</v>
      </c>
      <c r="B1104" s="202">
        <v>111</v>
      </c>
      <c r="C1104" s="202">
        <v>4</v>
      </c>
      <c r="D1104" s="202">
        <v>8</v>
      </c>
      <c r="E1104" s="202">
        <v>42</v>
      </c>
      <c r="F1104" s="202">
        <v>4</v>
      </c>
      <c r="G1104" s="202">
        <v>11</v>
      </c>
      <c r="H1104" s="202">
        <v>29</v>
      </c>
      <c r="I1104" s="202">
        <v>1</v>
      </c>
      <c r="K1104" s="202">
        <v>65</v>
      </c>
      <c r="L1104" s="202">
        <v>82</v>
      </c>
      <c r="M1104" s="202">
        <v>4</v>
      </c>
      <c r="N1104" s="202">
        <v>10</v>
      </c>
      <c r="O1104" s="202">
        <v>47</v>
      </c>
      <c r="P1104" s="202">
        <v>5</v>
      </c>
      <c r="Q1104" s="202">
        <v>10</v>
      </c>
      <c r="R1104" s="202">
        <v>7</v>
      </c>
      <c r="S1104" s="202">
        <v>2</v>
      </c>
    </row>
    <row r="1105" spans="1:19" x14ac:dyDescent="0.35">
      <c r="A1105" s="202">
        <v>84</v>
      </c>
      <c r="B1105" s="202">
        <v>111</v>
      </c>
      <c r="C1105" s="202">
        <v>4</v>
      </c>
      <c r="D1105" s="202">
        <v>8</v>
      </c>
      <c r="E1105" s="202">
        <v>43</v>
      </c>
      <c r="F1105" s="202">
        <v>2</v>
      </c>
      <c r="G1105" s="202">
        <v>11</v>
      </c>
      <c r="H1105" s="202">
        <v>29</v>
      </c>
      <c r="I1105" s="202">
        <v>1</v>
      </c>
      <c r="K1105" s="202">
        <v>55</v>
      </c>
      <c r="L1105" s="202">
        <v>42</v>
      </c>
      <c r="M1105" s="202">
        <v>2</v>
      </c>
      <c r="N1105" s="202">
        <v>15</v>
      </c>
      <c r="O1105" s="202">
        <v>42</v>
      </c>
      <c r="P1105" s="202">
        <v>5</v>
      </c>
      <c r="Q1105" s="202">
        <v>1</v>
      </c>
      <c r="R1105" s="202">
        <v>34</v>
      </c>
      <c r="S1105" s="202">
        <v>3</v>
      </c>
    </row>
    <row r="1106" spans="1:19" x14ac:dyDescent="0.35">
      <c r="A1106" s="202">
        <v>84</v>
      </c>
      <c r="B1106" s="202">
        <v>111</v>
      </c>
      <c r="C1106" s="202">
        <v>4</v>
      </c>
      <c r="D1106" s="202">
        <v>8</v>
      </c>
      <c r="E1106" s="202">
        <v>43</v>
      </c>
      <c r="F1106" s="202">
        <v>5</v>
      </c>
      <c r="G1106" s="202">
        <v>2</v>
      </c>
      <c r="H1106" s="202">
        <v>29</v>
      </c>
      <c r="I1106" s="202">
        <v>1</v>
      </c>
      <c r="K1106" s="202">
        <v>31</v>
      </c>
      <c r="L1106" s="202">
        <v>24</v>
      </c>
      <c r="M1106" s="202">
        <v>2</v>
      </c>
      <c r="N1106" s="202">
        <v>4</v>
      </c>
      <c r="O1106" s="202">
        <v>26</v>
      </c>
      <c r="P1106" s="202">
        <v>1</v>
      </c>
      <c r="Q1106" s="202">
        <v>11</v>
      </c>
      <c r="R1106" s="202">
        <v>24</v>
      </c>
      <c r="S1106" s="202">
        <v>2</v>
      </c>
    </row>
    <row r="1107" spans="1:19" x14ac:dyDescent="0.35">
      <c r="A1107" s="202">
        <v>84</v>
      </c>
      <c r="B1107" s="202">
        <v>111</v>
      </c>
      <c r="C1107" s="202">
        <v>4</v>
      </c>
      <c r="D1107" s="202">
        <v>8</v>
      </c>
      <c r="E1107" s="202">
        <v>44</v>
      </c>
      <c r="F1107" s="202">
        <v>2</v>
      </c>
      <c r="G1107" s="202">
        <v>2</v>
      </c>
      <c r="H1107" s="202">
        <v>18</v>
      </c>
      <c r="I1107" s="202">
        <v>1</v>
      </c>
      <c r="K1107" s="202">
        <v>23</v>
      </c>
      <c r="L1107" s="202">
        <v>44</v>
      </c>
      <c r="M1107" s="202">
        <v>4</v>
      </c>
      <c r="N1107" s="202">
        <v>18</v>
      </c>
      <c r="O1107" s="202">
        <v>42</v>
      </c>
      <c r="P1107" s="202">
        <v>4</v>
      </c>
      <c r="Q1107" s="202">
        <v>20</v>
      </c>
      <c r="R1107" s="202">
        <v>49</v>
      </c>
      <c r="S1107" s="202">
        <v>2</v>
      </c>
    </row>
    <row r="1108" spans="1:19" x14ac:dyDescent="0.35">
      <c r="A1108" s="202">
        <v>84</v>
      </c>
      <c r="B1108" s="202">
        <v>111</v>
      </c>
      <c r="C1108" s="202">
        <v>4</v>
      </c>
      <c r="D1108" s="202">
        <v>8</v>
      </c>
      <c r="E1108" s="202">
        <v>44</v>
      </c>
      <c r="F1108" s="202">
        <v>4</v>
      </c>
      <c r="G1108" s="202">
        <v>18</v>
      </c>
      <c r="H1108" s="202">
        <v>18</v>
      </c>
      <c r="I1108" s="202">
        <v>1</v>
      </c>
      <c r="K1108" s="202">
        <v>48</v>
      </c>
      <c r="L1108" s="202">
        <v>27</v>
      </c>
      <c r="M1108" s="202">
        <v>2</v>
      </c>
      <c r="N1108" s="202">
        <v>15</v>
      </c>
      <c r="O1108" s="202">
        <v>48</v>
      </c>
      <c r="P1108" s="202">
        <v>2</v>
      </c>
      <c r="Q1108" s="202">
        <v>7</v>
      </c>
      <c r="R1108" s="202">
        <v>18</v>
      </c>
      <c r="S1108" s="202">
        <v>1</v>
      </c>
    </row>
    <row r="1109" spans="1:19" x14ac:dyDescent="0.35">
      <c r="A1109" s="202">
        <v>84</v>
      </c>
      <c r="B1109" s="202">
        <v>111</v>
      </c>
      <c r="C1109" s="202">
        <v>4</v>
      </c>
      <c r="D1109" s="202">
        <v>8</v>
      </c>
      <c r="E1109" s="202">
        <v>45</v>
      </c>
      <c r="F1109" s="202">
        <v>3</v>
      </c>
      <c r="G1109" s="202">
        <v>24</v>
      </c>
      <c r="H1109" s="202">
        <v>29</v>
      </c>
      <c r="I1109" s="202">
        <v>1</v>
      </c>
      <c r="K1109" s="202">
        <v>39</v>
      </c>
      <c r="L1109" s="202">
        <v>27</v>
      </c>
      <c r="M1109" s="202">
        <v>3</v>
      </c>
      <c r="N1109" s="202">
        <v>15</v>
      </c>
      <c r="O1109" s="202">
        <v>2</v>
      </c>
      <c r="P1109" s="202">
        <v>3</v>
      </c>
      <c r="Q1109" s="202">
        <v>18</v>
      </c>
      <c r="R1109" s="202">
        <v>24</v>
      </c>
      <c r="S1109" s="202">
        <v>2</v>
      </c>
    </row>
    <row r="1110" spans="1:19" x14ac:dyDescent="0.35">
      <c r="A1110" s="202">
        <v>84</v>
      </c>
      <c r="B1110" s="202">
        <v>111</v>
      </c>
      <c r="C1110" s="202">
        <v>4</v>
      </c>
      <c r="D1110" s="202">
        <v>8</v>
      </c>
      <c r="E1110" s="202">
        <v>45</v>
      </c>
      <c r="F1110" s="202">
        <v>5</v>
      </c>
      <c r="G1110" s="202">
        <v>20</v>
      </c>
      <c r="H1110" s="202">
        <v>29</v>
      </c>
      <c r="I1110" s="202">
        <v>1</v>
      </c>
      <c r="K1110" s="202">
        <v>8</v>
      </c>
      <c r="L1110" s="202">
        <v>11</v>
      </c>
      <c r="M1110" s="202">
        <v>1</v>
      </c>
      <c r="N1110" s="202">
        <v>16</v>
      </c>
      <c r="O1110" s="202">
        <v>48</v>
      </c>
      <c r="P1110" s="202">
        <v>5</v>
      </c>
      <c r="Q1110" s="202">
        <v>20</v>
      </c>
      <c r="R1110" s="202">
        <v>3</v>
      </c>
      <c r="S1110" s="202">
        <v>1</v>
      </c>
    </row>
    <row r="1111" spans="1:19" x14ac:dyDescent="0.35">
      <c r="A1111" s="202">
        <v>84</v>
      </c>
      <c r="B1111" s="202">
        <v>87</v>
      </c>
      <c r="C1111" s="202">
        <v>4</v>
      </c>
      <c r="D1111" s="202">
        <v>8</v>
      </c>
      <c r="E1111" s="202">
        <v>28</v>
      </c>
      <c r="F1111" s="202">
        <v>1</v>
      </c>
      <c r="G1111" s="202">
        <v>2</v>
      </c>
      <c r="H1111" s="202">
        <v>10</v>
      </c>
      <c r="I1111" s="202">
        <v>1</v>
      </c>
      <c r="K1111" s="202">
        <v>36</v>
      </c>
      <c r="L1111" s="202">
        <v>43</v>
      </c>
      <c r="M1111" s="202">
        <v>4</v>
      </c>
      <c r="N1111" s="202">
        <v>18</v>
      </c>
      <c r="O1111" s="202">
        <v>42</v>
      </c>
      <c r="P1111" s="202">
        <v>4</v>
      </c>
      <c r="Q1111" s="202">
        <v>20</v>
      </c>
      <c r="R1111" s="202">
        <v>52</v>
      </c>
      <c r="S1111" s="202">
        <v>1</v>
      </c>
    </row>
    <row r="1112" spans="1:19" x14ac:dyDescent="0.35">
      <c r="A1112" s="202">
        <v>84</v>
      </c>
      <c r="B1112" s="202">
        <v>87</v>
      </c>
      <c r="C1112" s="202">
        <v>4</v>
      </c>
      <c r="D1112" s="202">
        <v>8</v>
      </c>
      <c r="E1112" s="202">
        <v>28</v>
      </c>
      <c r="F1112" s="202">
        <v>4</v>
      </c>
      <c r="G1112" s="202">
        <v>2</v>
      </c>
      <c r="H1112" s="202">
        <v>10</v>
      </c>
      <c r="I1112" s="202">
        <v>1</v>
      </c>
      <c r="K1112" s="202">
        <v>35</v>
      </c>
      <c r="L1112" s="202">
        <v>74</v>
      </c>
      <c r="M1112" s="202">
        <v>2</v>
      </c>
      <c r="N1112" s="202">
        <v>8</v>
      </c>
      <c r="O1112" s="202">
        <v>48</v>
      </c>
      <c r="P1112" s="202">
        <v>1</v>
      </c>
      <c r="Q1112" s="202">
        <v>2</v>
      </c>
      <c r="R1112" s="202">
        <v>44</v>
      </c>
      <c r="S1112" s="202">
        <v>2</v>
      </c>
    </row>
    <row r="1113" spans="1:19" x14ac:dyDescent="0.35">
      <c r="A1113" s="202">
        <v>84</v>
      </c>
      <c r="B1113" s="202">
        <v>22</v>
      </c>
      <c r="C1113" s="202">
        <v>4</v>
      </c>
      <c r="D1113" s="202">
        <v>8</v>
      </c>
      <c r="E1113" s="202">
        <v>4</v>
      </c>
      <c r="F1113" s="202">
        <v>2</v>
      </c>
      <c r="G1113" s="202">
        <v>24</v>
      </c>
      <c r="H1113" s="202">
        <v>17</v>
      </c>
      <c r="I1113" s="202">
        <v>3</v>
      </c>
      <c r="K1113" s="202">
        <v>28</v>
      </c>
      <c r="L1113" s="202">
        <v>25</v>
      </c>
      <c r="M1113" s="202">
        <v>4</v>
      </c>
      <c r="N1113" s="202">
        <v>10</v>
      </c>
      <c r="O1113" s="202">
        <v>25</v>
      </c>
      <c r="P1113" s="202">
        <v>1</v>
      </c>
      <c r="Q1113" s="202">
        <v>10</v>
      </c>
      <c r="R1113" s="202">
        <v>91</v>
      </c>
      <c r="S1113" s="202">
        <v>1</v>
      </c>
    </row>
    <row r="1114" spans="1:19" x14ac:dyDescent="0.35">
      <c r="K1114" s="202">
        <v>55</v>
      </c>
      <c r="L1114" s="202">
        <v>100</v>
      </c>
      <c r="M1114" s="202">
        <v>4</v>
      </c>
      <c r="N1114" s="202">
        <v>4</v>
      </c>
      <c r="O1114" s="202">
        <v>29</v>
      </c>
      <c r="P1114" s="202">
        <v>4</v>
      </c>
      <c r="Q1114" s="202">
        <v>21</v>
      </c>
      <c r="R1114" s="202">
        <v>9</v>
      </c>
      <c r="S1114" s="202">
        <v>1</v>
      </c>
    </row>
    <row r="1115" spans="1:19" x14ac:dyDescent="0.35">
      <c r="K1115" s="202">
        <v>76</v>
      </c>
      <c r="L1115" s="202">
        <v>25</v>
      </c>
      <c r="M1115" s="202">
        <v>4</v>
      </c>
      <c r="N1115" s="202">
        <v>8</v>
      </c>
      <c r="O1115" s="202">
        <v>49</v>
      </c>
      <c r="P1115" s="202">
        <v>2</v>
      </c>
      <c r="Q1115" s="202">
        <v>19</v>
      </c>
      <c r="R1115" s="202">
        <v>7</v>
      </c>
      <c r="S1115" s="202">
        <v>2</v>
      </c>
    </row>
    <row r="1119" spans="1:19" x14ac:dyDescent="0.35">
      <c r="A1119" s="319" t="s">
        <v>540</v>
      </c>
      <c r="B1119" s="320"/>
      <c r="C1119" s="320"/>
      <c r="D1119" s="320"/>
      <c r="E1119" s="320"/>
      <c r="F1119" s="320"/>
      <c r="G1119" s="320"/>
      <c r="H1119" s="320"/>
      <c r="I1119" s="320"/>
    </row>
    <row r="1120" spans="1:19" x14ac:dyDescent="0.35">
      <c r="F1120" s="212" t="s">
        <v>548</v>
      </c>
    </row>
    <row r="1121" spans="1:17" ht="19.5" customHeight="1" x14ac:dyDescent="0.35">
      <c r="A1121" s="210" t="s">
        <v>545</v>
      </c>
      <c r="B1121" s="210" t="s">
        <v>544</v>
      </c>
      <c r="C1121" s="208" t="s">
        <v>543</v>
      </c>
      <c r="D1121" s="209" t="s">
        <v>542</v>
      </c>
      <c r="E1121" s="163"/>
      <c r="F1121" s="211" t="s">
        <v>546</v>
      </c>
      <c r="G1121" s="163"/>
      <c r="H1121" s="321" t="s">
        <v>549</v>
      </c>
      <c r="I1121" s="321"/>
      <c r="J1121" s="321"/>
      <c r="K1121" s="321"/>
      <c r="L1121" s="321"/>
      <c r="M1121" s="321"/>
      <c r="N1121" s="321"/>
      <c r="O1121" s="321"/>
      <c r="P1121" s="321"/>
      <c r="Q1121" s="321"/>
    </row>
    <row r="1122" spans="1:17" ht="15" x14ac:dyDescent="0.35">
      <c r="A1122" s="160">
        <f>SUMPRODUCT(($R$4:$R$1115=R4)*($Q$4:$Q$1115=Q4)*(ROW($R$4:$R$1115)&gt;ROW(R4)))</f>
        <v>0</v>
      </c>
      <c r="B1122" s="160">
        <f>SUMPRODUCT(($K$4:$K$1115=K4)*($Q$4:$Q$1115=Q4)*(ROW($K$4:$K$1115)&gt;ROW(K4)))</f>
        <v>0</v>
      </c>
      <c r="C1122" s="160">
        <f>SUM(A1122:B1122)</f>
        <v>0</v>
      </c>
      <c r="D1122" s="160">
        <f>1/(1+C1122)</f>
        <v>1</v>
      </c>
      <c r="E1122" s="206"/>
      <c r="F1122" s="211" t="s">
        <v>547</v>
      </c>
      <c r="G1122" s="206"/>
      <c r="H1122" s="206"/>
      <c r="I1122" s="206"/>
    </row>
    <row r="1123" spans="1:17" x14ac:dyDescent="0.35">
      <c r="A1123" s="160">
        <f t="shared" ref="A1123:A1186" si="0">SUMPRODUCT(($R$4:$R$1115=R5)*($Q$4:$Q$1115=Q5)*(ROW($R$4:$R$1115)&gt;ROW(R5)))</f>
        <v>0</v>
      </c>
      <c r="B1123" s="160">
        <f t="shared" ref="B1123:B1186" si="1">SUMPRODUCT(($K$4:$K$1115=K5)*($Q$4:$Q$1115=Q5)*(ROW($K$4:$K$1115)&gt;ROW(K5)))</f>
        <v>0</v>
      </c>
      <c r="C1123" s="160">
        <f t="shared" ref="C1123:C1186" si="2">SUM(A1123:B1123)</f>
        <v>0</v>
      </c>
      <c r="D1123" s="160">
        <f t="shared" ref="D1123:D1186" si="3">1/(1+C1123)</f>
        <v>1</v>
      </c>
      <c r="E1123" s="206"/>
      <c r="F1123" s="206"/>
      <c r="G1123" s="206"/>
      <c r="H1123" s="213" t="s">
        <v>550</v>
      </c>
      <c r="I1123" s="206">
        <v>52</v>
      </c>
      <c r="J1123" s="206">
        <v>82</v>
      </c>
      <c r="K1123" s="206">
        <v>2</v>
      </c>
      <c r="L1123" s="206">
        <v>13</v>
      </c>
      <c r="M1123" s="206">
        <v>44</v>
      </c>
      <c r="N1123" s="206">
        <v>2</v>
      </c>
      <c r="O1123" s="206">
        <v>3</v>
      </c>
      <c r="P1123" s="206">
        <v>23</v>
      </c>
      <c r="Q1123" s="206">
        <v>2</v>
      </c>
    </row>
    <row r="1124" spans="1:17" x14ac:dyDescent="0.35">
      <c r="A1124" s="160">
        <f t="shared" si="0"/>
        <v>7</v>
      </c>
      <c r="B1124" s="160">
        <f t="shared" si="1"/>
        <v>1</v>
      </c>
      <c r="C1124" s="160">
        <f t="shared" si="2"/>
        <v>8</v>
      </c>
      <c r="D1124" s="160">
        <f t="shared" si="3"/>
        <v>0.1111111111111111</v>
      </c>
      <c r="E1124" s="206"/>
      <c r="F1124" s="206"/>
      <c r="G1124" s="206"/>
      <c r="H1124" s="213" t="s">
        <v>551</v>
      </c>
      <c r="I1124" s="206">
        <v>40</v>
      </c>
      <c r="J1124" s="206">
        <v>33</v>
      </c>
      <c r="K1124" s="206">
        <v>4</v>
      </c>
      <c r="L1124" s="206">
        <v>17</v>
      </c>
      <c r="M1124" s="206">
        <v>27</v>
      </c>
      <c r="N1124" s="206">
        <v>1</v>
      </c>
      <c r="O1124" s="206">
        <v>7</v>
      </c>
      <c r="P1124" s="206">
        <v>17</v>
      </c>
      <c r="Q1124" s="206">
        <v>2</v>
      </c>
    </row>
    <row r="1125" spans="1:17" x14ac:dyDescent="0.35">
      <c r="A1125" s="160">
        <f t="shared" si="0"/>
        <v>1</v>
      </c>
      <c r="B1125" s="160">
        <f t="shared" si="1"/>
        <v>2</v>
      </c>
      <c r="C1125" s="160">
        <f t="shared" si="2"/>
        <v>3</v>
      </c>
      <c r="D1125" s="160">
        <f t="shared" si="3"/>
        <v>0.25</v>
      </c>
      <c r="E1125" s="206"/>
      <c r="F1125" s="206"/>
      <c r="G1125" s="206"/>
      <c r="H1125" s="206"/>
      <c r="I1125" s="206"/>
    </row>
    <row r="1126" spans="1:17" x14ac:dyDescent="0.35">
      <c r="A1126" s="160">
        <f t="shared" si="0"/>
        <v>2</v>
      </c>
      <c r="B1126" s="160">
        <f t="shared" si="1"/>
        <v>1</v>
      </c>
      <c r="C1126" s="160">
        <f t="shared" si="2"/>
        <v>3</v>
      </c>
      <c r="D1126" s="160">
        <f t="shared" si="3"/>
        <v>0.25</v>
      </c>
      <c r="E1126" s="206"/>
      <c r="F1126" s="206"/>
      <c r="G1126" s="206"/>
      <c r="H1126" s="322" t="s">
        <v>552</v>
      </c>
      <c r="I1126" s="322"/>
      <c r="J1126" s="322"/>
      <c r="K1126" s="322"/>
      <c r="L1126" s="322"/>
      <c r="M1126" s="322"/>
      <c r="N1126" s="322"/>
      <c r="O1126" s="322"/>
      <c r="P1126" s="322"/>
      <c r="Q1126" s="322"/>
    </row>
    <row r="1127" spans="1:17" x14ac:dyDescent="0.35">
      <c r="A1127" s="160">
        <f t="shared" si="0"/>
        <v>2</v>
      </c>
      <c r="B1127" s="160">
        <f t="shared" si="1"/>
        <v>1</v>
      </c>
      <c r="C1127" s="160">
        <f t="shared" si="2"/>
        <v>3</v>
      </c>
      <c r="D1127" s="160">
        <f t="shared" si="3"/>
        <v>0.25</v>
      </c>
      <c r="E1127" s="206"/>
      <c r="F1127" s="206"/>
      <c r="G1127" s="206"/>
      <c r="H1127" s="206"/>
      <c r="I1127" s="206"/>
    </row>
    <row r="1128" spans="1:17" x14ac:dyDescent="0.35">
      <c r="A1128" s="160">
        <f t="shared" si="0"/>
        <v>0</v>
      </c>
      <c r="B1128" s="160">
        <f t="shared" si="1"/>
        <v>0</v>
      </c>
      <c r="C1128" s="160">
        <f t="shared" si="2"/>
        <v>0</v>
      </c>
      <c r="D1128" s="160">
        <f t="shared" si="3"/>
        <v>1</v>
      </c>
      <c r="E1128" s="206"/>
      <c r="F1128" s="206"/>
      <c r="G1128" s="206"/>
      <c r="H1128" s="213" t="s">
        <v>553</v>
      </c>
      <c r="I1128" s="206">
        <v>52</v>
      </c>
      <c r="J1128" s="206">
        <v>82</v>
      </c>
      <c r="K1128" s="206">
        <v>2</v>
      </c>
      <c r="L1128" s="206">
        <v>13</v>
      </c>
      <c r="M1128" s="206">
        <v>44</v>
      </c>
      <c r="N1128" s="206">
        <v>1</v>
      </c>
      <c r="O1128" s="206">
        <v>7</v>
      </c>
      <c r="P1128" s="206">
        <v>17</v>
      </c>
      <c r="Q1128" s="206">
        <v>2</v>
      </c>
    </row>
    <row r="1129" spans="1:17" x14ac:dyDescent="0.35">
      <c r="A1129" s="160">
        <f t="shared" si="0"/>
        <v>0</v>
      </c>
      <c r="B1129" s="160">
        <f t="shared" si="1"/>
        <v>0</v>
      </c>
      <c r="C1129" s="160">
        <f t="shared" si="2"/>
        <v>0</v>
      </c>
      <c r="D1129" s="160">
        <f t="shared" si="3"/>
        <v>1</v>
      </c>
      <c r="E1129" s="206"/>
      <c r="F1129" s="206"/>
      <c r="G1129" s="206"/>
      <c r="H1129" s="213" t="s">
        <v>554</v>
      </c>
      <c r="I1129" s="206">
        <v>40</v>
      </c>
      <c r="J1129" s="206">
        <v>33</v>
      </c>
      <c r="K1129" s="206">
        <v>4</v>
      </c>
      <c r="L1129" s="206">
        <v>17</v>
      </c>
      <c r="M1129" s="206">
        <v>27</v>
      </c>
      <c r="N1129" s="206">
        <v>2</v>
      </c>
      <c r="O1129" s="206">
        <v>3</v>
      </c>
      <c r="P1129" s="206">
        <v>23</v>
      </c>
      <c r="Q1129" s="206">
        <v>2</v>
      </c>
    </row>
    <row r="1130" spans="1:17" x14ac:dyDescent="0.35">
      <c r="A1130" s="160">
        <f>SUMPRODUCT(($R$4:$R$1115=R12)*($Q$4:$Q$1115=Q12)*(ROW($R$4:$R$1115)&gt;ROW(R12)))</f>
        <v>7</v>
      </c>
      <c r="B1130" s="160">
        <f t="shared" si="1"/>
        <v>3</v>
      </c>
      <c r="C1130" s="160">
        <f t="shared" si="2"/>
        <v>10</v>
      </c>
      <c r="D1130" s="160">
        <f t="shared" si="3"/>
        <v>9.0909090909090912E-2</v>
      </c>
      <c r="E1130" s="206"/>
      <c r="F1130" s="206"/>
      <c r="G1130" s="206"/>
      <c r="H1130" s="206"/>
      <c r="I1130" s="206"/>
    </row>
    <row r="1131" spans="1:17" x14ac:dyDescent="0.35">
      <c r="A1131" s="160">
        <f t="shared" si="0"/>
        <v>6</v>
      </c>
      <c r="B1131" s="160">
        <f t="shared" si="1"/>
        <v>2</v>
      </c>
      <c r="C1131" s="160">
        <f t="shared" si="2"/>
        <v>8</v>
      </c>
      <c r="D1131" s="160">
        <f>1/(1+C1131)</f>
        <v>0.1111111111111111</v>
      </c>
      <c r="E1131" s="206"/>
      <c r="F1131" s="318" t="s">
        <v>555</v>
      </c>
      <c r="G1131" s="318"/>
      <c r="H1131" s="318"/>
      <c r="I1131" s="318"/>
      <c r="J1131" s="318"/>
      <c r="K1131" s="318"/>
      <c r="L1131" s="318"/>
      <c r="M1131" s="318"/>
      <c r="N1131" s="318"/>
      <c r="O1131" s="318"/>
      <c r="P1131" s="318"/>
      <c r="Q1131" s="318"/>
    </row>
    <row r="1132" spans="1:17" x14ac:dyDescent="0.35">
      <c r="A1132" s="160">
        <f t="shared" si="0"/>
        <v>6</v>
      </c>
      <c r="B1132" s="160">
        <f t="shared" si="1"/>
        <v>3</v>
      </c>
      <c r="C1132" s="160">
        <f t="shared" si="2"/>
        <v>9</v>
      </c>
      <c r="D1132" s="160">
        <f t="shared" si="3"/>
        <v>0.1</v>
      </c>
      <c r="E1132" s="206"/>
      <c r="F1132" s="206"/>
      <c r="G1132" s="206"/>
      <c r="H1132" s="206"/>
      <c r="I1132" s="206"/>
    </row>
    <row r="1133" spans="1:17" x14ac:dyDescent="0.35">
      <c r="A1133" s="160">
        <f t="shared" si="0"/>
        <v>2</v>
      </c>
      <c r="B1133" s="160">
        <f t="shared" si="1"/>
        <v>1</v>
      </c>
      <c r="C1133" s="160">
        <f t="shared" si="2"/>
        <v>3</v>
      </c>
      <c r="D1133" s="160">
        <f t="shared" si="3"/>
        <v>0.25</v>
      </c>
      <c r="E1133" s="206"/>
      <c r="F1133" s="317" t="s">
        <v>556</v>
      </c>
      <c r="G1133" s="317"/>
      <c r="H1133" s="317"/>
      <c r="I1133" s="317"/>
      <c r="J1133" s="317"/>
      <c r="K1133" s="317"/>
      <c r="L1133" s="317"/>
      <c r="M1133" s="317"/>
      <c r="N1133" s="317"/>
      <c r="O1133" s="317"/>
      <c r="P1133" s="317"/>
      <c r="Q1133" s="317"/>
    </row>
    <row r="1134" spans="1:17" x14ac:dyDescent="0.35">
      <c r="A1134" s="160">
        <f t="shared" si="0"/>
        <v>0</v>
      </c>
      <c r="B1134" s="160">
        <f t="shared" si="1"/>
        <v>0</v>
      </c>
      <c r="C1134" s="160">
        <f t="shared" si="2"/>
        <v>0</v>
      </c>
      <c r="D1134" s="160">
        <f t="shared" si="3"/>
        <v>1</v>
      </c>
      <c r="E1134" s="206"/>
      <c r="F1134" s="206"/>
      <c r="G1134" s="206"/>
      <c r="H1134" s="214"/>
      <c r="I1134" s="214"/>
      <c r="J1134" s="214"/>
      <c r="K1134" s="214"/>
      <c r="L1134" s="214"/>
      <c r="M1134" s="214"/>
      <c r="N1134" s="214"/>
      <c r="O1134" s="214"/>
      <c r="P1134" s="214"/>
      <c r="Q1134" s="214"/>
    </row>
    <row r="1135" spans="1:17" x14ac:dyDescent="0.35">
      <c r="A1135" s="160">
        <f t="shared" si="0"/>
        <v>0</v>
      </c>
      <c r="B1135" s="160">
        <f t="shared" si="1"/>
        <v>2</v>
      </c>
      <c r="C1135" s="160">
        <f t="shared" si="2"/>
        <v>2</v>
      </c>
      <c r="D1135" s="160">
        <f t="shared" si="3"/>
        <v>0.33333333333333331</v>
      </c>
      <c r="E1135" s="206"/>
      <c r="F1135" s="213" t="s">
        <v>557</v>
      </c>
      <c r="G1135" s="206">
        <v>52</v>
      </c>
      <c r="H1135" s="206">
        <v>82</v>
      </c>
      <c r="I1135" s="206">
        <v>2</v>
      </c>
      <c r="J1135" s="206">
        <v>13</v>
      </c>
      <c r="K1135" s="206">
        <v>44</v>
      </c>
      <c r="L1135" s="206">
        <v>1</v>
      </c>
      <c r="M1135" s="206">
        <v>7</v>
      </c>
      <c r="N1135" s="206">
        <v>17</v>
      </c>
      <c r="O1135" s="206">
        <v>2</v>
      </c>
    </row>
    <row r="1136" spans="1:17" x14ac:dyDescent="0.35">
      <c r="A1136" s="160">
        <f t="shared" si="0"/>
        <v>3</v>
      </c>
      <c r="B1136" s="160">
        <f t="shared" si="1"/>
        <v>2</v>
      </c>
      <c r="C1136" s="160">
        <f t="shared" si="2"/>
        <v>5</v>
      </c>
      <c r="D1136" s="160">
        <f t="shared" si="3"/>
        <v>0.16666666666666666</v>
      </c>
      <c r="E1136" s="206"/>
      <c r="F1136" s="213" t="s">
        <v>558</v>
      </c>
      <c r="G1136" s="206">
        <v>52</v>
      </c>
      <c r="H1136" s="206">
        <v>82</v>
      </c>
      <c r="I1136" s="206">
        <v>2</v>
      </c>
      <c r="J1136" s="206">
        <v>13</v>
      </c>
      <c r="K1136" s="206">
        <v>44</v>
      </c>
      <c r="L1136" s="206">
        <v>5</v>
      </c>
      <c r="M1136" s="206">
        <v>7</v>
      </c>
      <c r="N1136" s="206">
        <v>17</v>
      </c>
      <c r="O1136" s="206">
        <v>2</v>
      </c>
    </row>
    <row r="1137" spans="1:17" x14ac:dyDescent="0.35">
      <c r="A1137" s="160">
        <f t="shared" si="0"/>
        <v>4</v>
      </c>
      <c r="B1137" s="160">
        <f t="shared" si="1"/>
        <v>1</v>
      </c>
      <c r="C1137" s="160">
        <f t="shared" si="2"/>
        <v>5</v>
      </c>
      <c r="D1137" s="160">
        <f t="shared" si="3"/>
        <v>0.16666666666666666</v>
      </c>
      <c r="E1137" s="206"/>
      <c r="F1137" s="206"/>
      <c r="G1137" s="206"/>
      <c r="H1137" s="206"/>
      <c r="I1137" s="206"/>
    </row>
    <row r="1138" spans="1:17" x14ac:dyDescent="0.35">
      <c r="A1138" s="160">
        <f t="shared" si="0"/>
        <v>5</v>
      </c>
      <c r="B1138" s="160">
        <f t="shared" si="1"/>
        <v>0</v>
      </c>
      <c r="C1138" s="160">
        <f t="shared" si="2"/>
        <v>5</v>
      </c>
      <c r="D1138" s="160">
        <f t="shared" si="3"/>
        <v>0.16666666666666666</v>
      </c>
      <c r="E1138" s="206"/>
      <c r="F1138" s="318" t="s">
        <v>559</v>
      </c>
      <c r="G1138" s="318"/>
      <c r="H1138" s="318"/>
      <c r="I1138" s="318"/>
      <c r="J1138" s="318"/>
      <c r="K1138" s="318"/>
      <c r="L1138" s="318"/>
      <c r="M1138" s="318"/>
      <c r="N1138" s="318"/>
      <c r="O1138" s="318"/>
      <c r="P1138" s="318"/>
      <c r="Q1138" s="318"/>
    </row>
    <row r="1139" spans="1:17" x14ac:dyDescent="0.35">
      <c r="A1139" s="160">
        <f t="shared" si="0"/>
        <v>2</v>
      </c>
      <c r="B1139" s="160">
        <f t="shared" si="1"/>
        <v>1</v>
      </c>
      <c r="C1139" s="160">
        <f t="shared" si="2"/>
        <v>3</v>
      </c>
      <c r="D1139" s="160">
        <f t="shared" si="3"/>
        <v>0.25</v>
      </c>
      <c r="E1139" s="206"/>
      <c r="F1139" s="206"/>
      <c r="G1139" s="206"/>
      <c r="H1139" s="206"/>
      <c r="I1139" s="206"/>
    </row>
    <row r="1140" spans="1:17" x14ac:dyDescent="0.35">
      <c r="A1140" s="160">
        <f t="shared" si="0"/>
        <v>5</v>
      </c>
      <c r="B1140" s="160">
        <f t="shared" si="1"/>
        <v>5</v>
      </c>
      <c r="C1140" s="160">
        <f t="shared" si="2"/>
        <v>10</v>
      </c>
      <c r="D1140" s="160">
        <f t="shared" si="3"/>
        <v>9.0909090909090912E-2</v>
      </c>
      <c r="E1140" s="206"/>
      <c r="F1140" s="317" t="s">
        <v>560</v>
      </c>
      <c r="G1140" s="316"/>
      <c r="H1140" s="316"/>
      <c r="I1140" s="316"/>
      <c r="J1140" s="316"/>
      <c r="K1140" s="316"/>
      <c r="L1140" s="316"/>
      <c r="M1140" s="316"/>
      <c r="N1140" s="316"/>
      <c r="O1140" s="316"/>
      <c r="P1140" s="316"/>
      <c r="Q1140" s="316"/>
    </row>
    <row r="1141" spans="1:17" x14ac:dyDescent="0.35">
      <c r="A1141" s="160">
        <f t="shared" si="0"/>
        <v>2</v>
      </c>
      <c r="B1141" s="160">
        <f t="shared" si="1"/>
        <v>0</v>
      </c>
      <c r="C1141" s="160">
        <f t="shared" si="2"/>
        <v>2</v>
      </c>
      <c r="D1141" s="160">
        <f t="shared" si="3"/>
        <v>0.33333333333333331</v>
      </c>
      <c r="E1141" s="206"/>
      <c r="F1141" s="206"/>
      <c r="G1141" s="206"/>
      <c r="H1141" s="206"/>
      <c r="I1141" s="206"/>
    </row>
    <row r="1142" spans="1:17" x14ac:dyDescent="0.35">
      <c r="A1142" s="160">
        <f t="shared" si="0"/>
        <v>0</v>
      </c>
      <c r="B1142" s="160">
        <f t="shared" si="1"/>
        <v>4</v>
      </c>
      <c r="C1142" s="160">
        <f t="shared" si="2"/>
        <v>4</v>
      </c>
      <c r="D1142" s="160">
        <f t="shared" si="3"/>
        <v>0.2</v>
      </c>
      <c r="E1142" s="206"/>
      <c r="F1142" s="208" t="s">
        <v>561</v>
      </c>
      <c r="G1142" s="208" t="s">
        <v>513</v>
      </c>
      <c r="H1142" s="208" t="s">
        <v>514</v>
      </c>
      <c r="I1142" s="208" t="s">
        <v>10</v>
      </c>
      <c r="J1142" s="208" t="s">
        <v>11</v>
      </c>
      <c r="K1142" s="208" t="s">
        <v>12</v>
      </c>
      <c r="L1142" s="208" t="s">
        <v>16</v>
      </c>
      <c r="M1142" s="208" t="s">
        <v>17</v>
      </c>
      <c r="N1142" s="208" t="s">
        <v>18</v>
      </c>
      <c r="O1142" s="208" t="s">
        <v>19</v>
      </c>
      <c r="P1142" s="208" t="s">
        <v>541</v>
      </c>
      <c r="Q1142" s="208" t="s">
        <v>542</v>
      </c>
    </row>
    <row r="1143" spans="1:17" x14ac:dyDescent="0.35">
      <c r="A1143" s="160">
        <f t="shared" si="0"/>
        <v>4</v>
      </c>
      <c r="B1143" s="160">
        <f t="shared" si="1"/>
        <v>4</v>
      </c>
      <c r="C1143" s="160">
        <f t="shared" si="2"/>
        <v>8</v>
      </c>
      <c r="D1143" s="160">
        <f t="shared" si="3"/>
        <v>0.1111111111111111</v>
      </c>
      <c r="E1143" s="206"/>
      <c r="F1143" s="215" t="s">
        <v>562</v>
      </c>
      <c r="G1143" s="202">
        <v>52</v>
      </c>
      <c r="H1143" s="202">
        <v>82</v>
      </c>
      <c r="I1143" s="202">
        <v>2</v>
      </c>
      <c r="J1143" s="202">
        <v>13</v>
      </c>
      <c r="K1143" s="202">
        <v>44</v>
      </c>
      <c r="L1143" s="202">
        <v>1</v>
      </c>
      <c r="M1143" s="202">
        <v>7</v>
      </c>
      <c r="N1143" s="202">
        <v>17</v>
      </c>
      <c r="O1143" s="200">
        <v>2</v>
      </c>
      <c r="P1143" s="158">
        <f>SUMPRODUCT(($L$1143:$L$1144=L1143)*($M$1143:$M$1144=M1143)*($G$1143:$G$1144=G1143)*(ROW($L$1143:$L$1144)&gt;ROW(L1143)))
 + SUMPRODUCT(($L$1143:$L$1144=L1143)*($M$1143:$M$1144=M1143)*($N$1143:$N$1144=N1143)*(ROW($L$1143:$L$1144)&gt;ROW(L1144)))</f>
        <v>0</v>
      </c>
      <c r="Q1143" s="200">
        <f>1/(1+P1143)</f>
        <v>1</v>
      </c>
    </row>
    <row r="1144" spans="1:17" x14ac:dyDescent="0.35">
      <c r="A1144" s="160">
        <f t="shared" si="0"/>
        <v>1</v>
      </c>
      <c r="B1144" s="160">
        <f t="shared" si="1"/>
        <v>4</v>
      </c>
      <c r="C1144" s="160">
        <f t="shared" si="2"/>
        <v>5</v>
      </c>
      <c r="D1144" s="160">
        <f t="shared" si="3"/>
        <v>0.16666666666666666</v>
      </c>
      <c r="E1144" s="206"/>
      <c r="F1144" s="215" t="s">
        <v>563</v>
      </c>
      <c r="G1144" s="202">
        <v>52</v>
      </c>
      <c r="H1144" s="202">
        <v>82</v>
      </c>
      <c r="I1144" s="202">
        <v>2</v>
      </c>
      <c r="J1144" s="202">
        <v>13</v>
      </c>
      <c r="K1144" s="202">
        <v>44</v>
      </c>
      <c r="L1144" s="202">
        <v>5</v>
      </c>
      <c r="M1144" s="202">
        <v>7</v>
      </c>
      <c r="N1144" s="202">
        <v>17</v>
      </c>
      <c r="O1144" s="200">
        <v>2</v>
      </c>
      <c r="P1144" s="158">
        <f>SUMPRODUCT(($L$1143:$L$1144=L1144)*($M$1143:$M$1144=M1144)*($G$1143:$G$1144=G1144)*(ROW($L$1143:$L$1144)&gt;ROW(L1144)))</f>
        <v>0</v>
      </c>
      <c r="Q1144" s="200">
        <f>1/(1+P1144)</f>
        <v>1</v>
      </c>
    </row>
    <row r="1145" spans="1:17" x14ac:dyDescent="0.35">
      <c r="A1145" s="160">
        <f t="shared" si="0"/>
        <v>1</v>
      </c>
      <c r="B1145" s="160">
        <f t="shared" si="1"/>
        <v>1</v>
      </c>
      <c r="C1145" s="160">
        <f t="shared" si="2"/>
        <v>2</v>
      </c>
      <c r="D1145" s="160">
        <f t="shared" si="3"/>
        <v>0.33333333333333331</v>
      </c>
      <c r="E1145" s="206"/>
      <c r="F1145" s="206"/>
      <c r="G1145" s="206"/>
      <c r="H1145" s="206"/>
      <c r="I1145" s="206"/>
    </row>
    <row r="1146" spans="1:17" x14ac:dyDescent="0.35">
      <c r="A1146" s="160">
        <f t="shared" si="0"/>
        <v>4</v>
      </c>
      <c r="B1146" s="160">
        <f t="shared" si="1"/>
        <v>1</v>
      </c>
      <c r="C1146" s="160">
        <f t="shared" si="2"/>
        <v>5</v>
      </c>
      <c r="D1146" s="160">
        <f t="shared" si="3"/>
        <v>0.16666666666666666</v>
      </c>
      <c r="E1146" s="206"/>
      <c r="F1146" s="316"/>
      <c r="G1146" s="316"/>
      <c r="H1146" s="316"/>
      <c r="I1146" s="316"/>
      <c r="J1146" s="316"/>
      <c r="K1146" s="316"/>
      <c r="L1146" s="316"/>
      <c r="M1146" s="316"/>
      <c r="N1146" s="316"/>
      <c r="O1146" s="316"/>
      <c r="P1146" s="316"/>
      <c r="Q1146" s="316"/>
    </row>
    <row r="1147" spans="1:17" x14ac:dyDescent="0.35">
      <c r="A1147" s="160">
        <f t="shared" si="0"/>
        <v>5</v>
      </c>
      <c r="B1147" s="160">
        <f t="shared" si="1"/>
        <v>3</v>
      </c>
      <c r="C1147" s="160">
        <f t="shared" si="2"/>
        <v>8</v>
      </c>
      <c r="D1147" s="160">
        <f t="shared" si="3"/>
        <v>0.1111111111111111</v>
      </c>
      <c r="E1147" s="206"/>
      <c r="F1147" s="206"/>
      <c r="G1147" s="206"/>
      <c r="H1147" s="206"/>
      <c r="I1147" s="206"/>
    </row>
    <row r="1148" spans="1:17" x14ac:dyDescent="0.35">
      <c r="A1148" s="160">
        <f t="shared" si="0"/>
        <v>3</v>
      </c>
      <c r="B1148" s="160">
        <f t="shared" si="1"/>
        <v>2</v>
      </c>
      <c r="C1148" s="160">
        <f t="shared" si="2"/>
        <v>5</v>
      </c>
      <c r="D1148" s="160">
        <f t="shared" si="3"/>
        <v>0.16666666666666666</v>
      </c>
      <c r="E1148" s="206"/>
      <c r="F1148" s="206"/>
      <c r="G1148" s="206"/>
      <c r="H1148" s="206"/>
      <c r="I1148" s="206"/>
    </row>
    <row r="1149" spans="1:17" x14ac:dyDescent="0.35">
      <c r="A1149" s="160">
        <f t="shared" si="0"/>
        <v>1</v>
      </c>
      <c r="B1149" s="160">
        <f t="shared" si="1"/>
        <v>2</v>
      </c>
      <c r="C1149" s="160">
        <f t="shared" si="2"/>
        <v>3</v>
      </c>
      <c r="D1149" s="160">
        <f t="shared" si="3"/>
        <v>0.25</v>
      </c>
      <c r="E1149" s="206"/>
      <c r="F1149" s="206"/>
      <c r="G1149" s="206"/>
      <c r="H1149" s="206"/>
      <c r="I1149" s="206"/>
    </row>
    <row r="1150" spans="1:17" x14ac:dyDescent="0.35">
      <c r="A1150" s="160">
        <f t="shared" si="0"/>
        <v>3</v>
      </c>
      <c r="B1150" s="160">
        <f t="shared" si="1"/>
        <v>2</v>
      </c>
      <c r="C1150" s="160">
        <f t="shared" si="2"/>
        <v>5</v>
      </c>
      <c r="D1150" s="160">
        <f t="shared" si="3"/>
        <v>0.16666666666666666</v>
      </c>
      <c r="E1150" s="206"/>
      <c r="F1150" s="206"/>
      <c r="G1150" s="206"/>
      <c r="H1150" s="206"/>
      <c r="I1150" s="206"/>
    </row>
    <row r="1151" spans="1:17" x14ac:dyDescent="0.35">
      <c r="A1151" s="160">
        <f t="shared" si="0"/>
        <v>6</v>
      </c>
      <c r="B1151" s="160">
        <f t="shared" si="1"/>
        <v>1</v>
      </c>
      <c r="C1151" s="160">
        <f t="shared" si="2"/>
        <v>7</v>
      </c>
      <c r="D1151" s="160">
        <f t="shared" si="3"/>
        <v>0.125</v>
      </c>
      <c r="E1151" s="206"/>
      <c r="F1151" s="206"/>
      <c r="G1151" s="206"/>
      <c r="H1151" s="206"/>
      <c r="I1151" s="206"/>
    </row>
    <row r="1152" spans="1:17" x14ac:dyDescent="0.35">
      <c r="A1152" s="160">
        <f t="shared" si="0"/>
        <v>13</v>
      </c>
      <c r="B1152" s="160">
        <f t="shared" si="1"/>
        <v>4</v>
      </c>
      <c r="C1152" s="160">
        <f t="shared" si="2"/>
        <v>17</v>
      </c>
      <c r="D1152" s="160">
        <f t="shared" si="3"/>
        <v>5.5555555555555552E-2</v>
      </c>
      <c r="E1152" s="206"/>
      <c r="F1152" s="206"/>
      <c r="G1152" s="206"/>
      <c r="H1152" s="206"/>
      <c r="I1152" s="206"/>
    </row>
    <row r="1153" spans="1:9" x14ac:dyDescent="0.35">
      <c r="A1153" s="160">
        <f t="shared" si="0"/>
        <v>8</v>
      </c>
      <c r="B1153" s="160">
        <f t="shared" si="1"/>
        <v>2</v>
      </c>
      <c r="C1153" s="160">
        <f t="shared" si="2"/>
        <v>10</v>
      </c>
      <c r="D1153" s="160">
        <f t="shared" si="3"/>
        <v>9.0909090909090912E-2</v>
      </c>
      <c r="E1153" s="206"/>
      <c r="F1153" s="206"/>
      <c r="G1153" s="206"/>
      <c r="H1153" s="206"/>
      <c r="I1153" s="206"/>
    </row>
    <row r="1154" spans="1:9" x14ac:dyDescent="0.35">
      <c r="A1154" s="160">
        <f t="shared" si="0"/>
        <v>4</v>
      </c>
      <c r="B1154" s="160">
        <f t="shared" si="1"/>
        <v>2</v>
      </c>
      <c r="C1154" s="160">
        <f t="shared" si="2"/>
        <v>6</v>
      </c>
      <c r="D1154" s="160">
        <f t="shared" si="3"/>
        <v>0.14285714285714285</v>
      </c>
      <c r="E1154" s="206"/>
      <c r="F1154" s="206"/>
      <c r="G1154" s="206"/>
      <c r="H1154" s="206"/>
      <c r="I1154" s="206"/>
    </row>
    <row r="1155" spans="1:9" x14ac:dyDescent="0.35">
      <c r="A1155" s="160">
        <f t="shared" si="0"/>
        <v>4</v>
      </c>
      <c r="B1155" s="160">
        <f t="shared" si="1"/>
        <v>3</v>
      </c>
      <c r="C1155" s="160">
        <f t="shared" si="2"/>
        <v>7</v>
      </c>
      <c r="D1155" s="160">
        <f t="shared" si="3"/>
        <v>0.125</v>
      </c>
      <c r="E1155" s="206"/>
      <c r="F1155" s="206"/>
      <c r="G1155" s="206"/>
      <c r="H1155" s="206"/>
      <c r="I1155" s="206"/>
    </row>
    <row r="1156" spans="1:9" x14ac:dyDescent="0.35">
      <c r="A1156" s="160">
        <f t="shared" si="0"/>
        <v>2</v>
      </c>
      <c r="B1156" s="160">
        <f t="shared" si="1"/>
        <v>1</v>
      </c>
      <c r="C1156" s="160">
        <f t="shared" si="2"/>
        <v>3</v>
      </c>
      <c r="D1156" s="160">
        <f t="shared" si="3"/>
        <v>0.25</v>
      </c>
      <c r="E1156" s="206"/>
      <c r="F1156" s="206"/>
      <c r="G1156" s="206"/>
      <c r="H1156" s="206"/>
      <c r="I1156" s="206"/>
    </row>
    <row r="1157" spans="1:9" x14ac:dyDescent="0.35">
      <c r="A1157" s="160">
        <f t="shared" si="0"/>
        <v>2</v>
      </c>
      <c r="B1157" s="160">
        <f t="shared" si="1"/>
        <v>0</v>
      </c>
      <c r="C1157" s="160">
        <f t="shared" si="2"/>
        <v>2</v>
      </c>
      <c r="D1157" s="160">
        <f t="shared" si="3"/>
        <v>0.33333333333333331</v>
      </c>
      <c r="E1157" s="206"/>
      <c r="F1157" s="206"/>
      <c r="G1157" s="206"/>
      <c r="H1157" s="206"/>
      <c r="I1157" s="206"/>
    </row>
    <row r="1158" spans="1:9" x14ac:dyDescent="0.35">
      <c r="A1158" s="160">
        <f t="shared" si="0"/>
        <v>0</v>
      </c>
      <c r="B1158" s="160">
        <f t="shared" si="1"/>
        <v>1</v>
      </c>
      <c r="C1158" s="160">
        <f t="shared" si="2"/>
        <v>1</v>
      </c>
      <c r="D1158" s="160">
        <f t="shared" si="3"/>
        <v>0.5</v>
      </c>
      <c r="E1158" s="206"/>
      <c r="F1158" s="206"/>
      <c r="G1158" s="206"/>
      <c r="H1158" s="206"/>
      <c r="I1158" s="206"/>
    </row>
    <row r="1159" spans="1:9" x14ac:dyDescent="0.35">
      <c r="A1159" s="160">
        <f t="shared" si="0"/>
        <v>2</v>
      </c>
      <c r="B1159" s="160">
        <f t="shared" si="1"/>
        <v>3</v>
      </c>
      <c r="C1159" s="160">
        <f t="shared" si="2"/>
        <v>5</v>
      </c>
      <c r="D1159" s="160">
        <f t="shared" si="3"/>
        <v>0.16666666666666666</v>
      </c>
      <c r="E1159" s="206"/>
      <c r="F1159" s="206"/>
      <c r="G1159" s="206"/>
      <c r="H1159" s="206"/>
      <c r="I1159" s="206"/>
    </row>
    <row r="1160" spans="1:9" x14ac:dyDescent="0.35">
      <c r="A1160" s="160">
        <f t="shared" si="0"/>
        <v>0</v>
      </c>
      <c r="B1160" s="160">
        <f t="shared" si="1"/>
        <v>0</v>
      </c>
      <c r="C1160" s="160">
        <f t="shared" si="2"/>
        <v>0</v>
      </c>
      <c r="D1160" s="160">
        <f t="shared" si="3"/>
        <v>1</v>
      </c>
      <c r="E1160" s="206"/>
      <c r="F1160" s="206"/>
      <c r="G1160" s="206"/>
      <c r="H1160" s="206"/>
      <c r="I1160" s="206"/>
    </row>
    <row r="1161" spans="1:9" x14ac:dyDescent="0.35">
      <c r="A1161" s="160">
        <f t="shared" si="0"/>
        <v>4</v>
      </c>
      <c r="B1161" s="160">
        <f t="shared" si="1"/>
        <v>5</v>
      </c>
      <c r="C1161" s="160">
        <f t="shared" si="2"/>
        <v>9</v>
      </c>
      <c r="D1161" s="160">
        <f t="shared" si="3"/>
        <v>0.1</v>
      </c>
      <c r="E1161" s="206"/>
      <c r="F1161" s="206"/>
      <c r="G1161" s="206"/>
      <c r="H1161" s="206"/>
      <c r="I1161" s="206"/>
    </row>
    <row r="1162" spans="1:9" x14ac:dyDescent="0.35">
      <c r="A1162" s="160">
        <f t="shared" si="0"/>
        <v>0</v>
      </c>
      <c r="B1162" s="160">
        <f t="shared" si="1"/>
        <v>2</v>
      </c>
      <c r="C1162" s="160">
        <f t="shared" si="2"/>
        <v>2</v>
      </c>
      <c r="D1162" s="160">
        <f t="shared" si="3"/>
        <v>0.33333333333333331</v>
      </c>
      <c r="E1162" s="206"/>
      <c r="F1162" s="206"/>
      <c r="G1162" s="206"/>
      <c r="H1162" s="206"/>
      <c r="I1162" s="206"/>
    </row>
    <row r="1163" spans="1:9" x14ac:dyDescent="0.35">
      <c r="A1163" s="160">
        <f t="shared" si="0"/>
        <v>1</v>
      </c>
      <c r="B1163" s="160">
        <f t="shared" si="1"/>
        <v>0</v>
      </c>
      <c r="C1163" s="160">
        <f t="shared" si="2"/>
        <v>1</v>
      </c>
      <c r="D1163" s="160">
        <f t="shared" si="3"/>
        <v>0.5</v>
      </c>
      <c r="E1163" s="206"/>
      <c r="F1163" s="206"/>
      <c r="G1163" s="206"/>
      <c r="H1163" s="206"/>
      <c r="I1163" s="206"/>
    </row>
    <row r="1164" spans="1:9" x14ac:dyDescent="0.35">
      <c r="A1164" s="160">
        <f t="shared" si="0"/>
        <v>2</v>
      </c>
      <c r="B1164" s="160">
        <f t="shared" si="1"/>
        <v>1</v>
      </c>
      <c r="C1164" s="160">
        <f t="shared" si="2"/>
        <v>3</v>
      </c>
      <c r="D1164" s="160">
        <f t="shared" si="3"/>
        <v>0.25</v>
      </c>
      <c r="E1164" s="206"/>
      <c r="F1164" s="206"/>
      <c r="G1164" s="206"/>
      <c r="H1164" s="206"/>
      <c r="I1164" s="206"/>
    </row>
    <row r="1165" spans="1:9" x14ac:dyDescent="0.35">
      <c r="A1165" s="160">
        <f t="shared" si="0"/>
        <v>0</v>
      </c>
      <c r="B1165" s="160">
        <f t="shared" si="1"/>
        <v>1</v>
      </c>
      <c r="C1165" s="160">
        <f t="shared" si="2"/>
        <v>1</v>
      </c>
      <c r="D1165" s="160">
        <f t="shared" si="3"/>
        <v>0.5</v>
      </c>
      <c r="E1165" s="206"/>
      <c r="F1165" s="206"/>
      <c r="G1165" s="206"/>
      <c r="H1165" s="206"/>
      <c r="I1165" s="206"/>
    </row>
    <row r="1166" spans="1:9" x14ac:dyDescent="0.35">
      <c r="A1166" s="160">
        <f t="shared" si="0"/>
        <v>0</v>
      </c>
      <c r="B1166" s="160">
        <f t="shared" si="1"/>
        <v>0</v>
      </c>
      <c r="C1166" s="160">
        <f t="shared" si="2"/>
        <v>0</v>
      </c>
      <c r="D1166" s="160">
        <f t="shared" si="3"/>
        <v>1</v>
      </c>
      <c r="E1166" s="206"/>
      <c r="F1166" s="206"/>
      <c r="G1166" s="206"/>
      <c r="H1166" s="206"/>
      <c r="I1166" s="206"/>
    </row>
    <row r="1167" spans="1:9" x14ac:dyDescent="0.35">
      <c r="A1167" s="160">
        <f t="shared" si="0"/>
        <v>5</v>
      </c>
      <c r="B1167" s="160">
        <f t="shared" si="1"/>
        <v>3</v>
      </c>
      <c r="C1167" s="160">
        <f t="shared" si="2"/>
        <v>8</v>
      </c>
      <c r="D1167" s="160">
        <f t="shared" si="3"/>
        <v>0.1111111111111111</v>
      </c>
      <c r="E1167" s="206"/>
      <c r="F1167" s="206"/>
      <c r="G1167" s="206"/>
      <c r="H1167" s="206"/>
      <c r="I1167" s="206"/>
    </row>
    <row r="1168" spans="1:9" x14ac:dyDescent="0.35">
      <c r="A1168" s="160">
        <f t="shared" si="0"/>
        <v>12</v>
      </c>
      <c r="B1168" s="160">
        <f t="shared" si="1"/>
        <v>1</v>
      </c>
      <c r="C1168" s="160">
        <f t="shared" si="2"/>
        <v>13</v>
      </c>
      <c r="D1168" s="160">
        <f t="shared" si="3"/>
        <v>7.1428571428571425E-2</v>
      </c>
      <c r="E1168" s="206"/>
      <c r="F1168" s="206"/>
      <c r="G1168" s="206"/>
      <c r="H1168" s="206"/>
      <c r="I1168" s="206"/>
    </row>
    <row r="1169" spans="1:9" x14ac:dyDescent="0.35">
      <c r="A1169" s="160">
        <f t="shared" si="0"/>
        <v>2</v>
      </c>
      <c r="B1169" s="160">
        <f t="shared" si="1"/>
        <v>2</v>
      </c>
      <c r="C1169" s="160">
        <f t="shared" si="2"/>
        <v>4</v>
      </c>
      <c r="D1169" s="160">
        <f t="shared" si="3"/>
        <v>0.2</v>
      </c>
      <c r="E1169" s="206"/>
      <c r="F1169" s="206"/>
      <c r="G1169" s="206"/>
      <c r="H1169" s="206"/>
      <c r="I1169" s="206"/>
    </row>
    <row r="1170" spans="1:9" x14ac:dyDescent="0.35">
      <c r="A1170" s="160">
        <f t="shared" si="0"/>
        <v>0</v>
      </c>
      <c r="B1170" s="160">
        <f t="shared" si="1"/>
        <v>2</v>
      </c>
      <c r="C1170" s="160">
        <f t="shared" si="2"/>
        <v>2</v>
      </c>
      <c r="D1170" s="160">
        <f t="shared" si="3"/>
        <v>0.33333333333333331</v>
      </c>
      <c r="E1170" s="206"/>
      <c r="F1170" s="206"/>
      <c r="G1170" s="206"/>
      <c r="H1170" s="206"/>
      <c r="I1170" s="206"/>
    </row>
    <row r="1171" spans="1:9" x14ac:dyDescent="0.35">
      <c r="A1171" s="160">
        <f t="shared" si="0"/>
        <v>1</v>
      </c>
      <c r="B1171" s="160">
        <f t="shared" si="1"/>
        <v>0</v>
      </c>
      <c r="C1171" s="160">
        <f t="shared" si="2"/>
        <v>1</v>
      </c>
      <c r="D1171" s="160">
        <f t="shared" si="3"/>
        <v>0.5</v>
      </c>
      <c r="E1171" s="206"/>
      <c r="F1171" s="206"/>
      <c r="G1171" s="206"/>
      <c r="H1171" s="206"/>
      <c r="I1171" s="206"/>
    </row>
    <row r="1172" spans="1:9" x14ac:dyDescent="0.35">
      <c r="A1172" s="160">
        <f t="shared" si="0"/>
        <v>3</v>
      </c>
      <c r="B1172" s="160">
        <f t="shared" si="1"/>
        <v>1</v>
      </c>
      <c r="C1172" s="160">
        <f t="shared" si="2"/>
        <v>4</v>
      </c>
      <c r="D1172" s="160">
        <f t="shared" si="3"/>
        <v>0.2</v>
      </c>
      <c r="E1172" s="206"/>
      <c r="F1172" s="206"/>
      <c r="G1172" s="206"/>
      <c r="H1172" s="206"/>
      <c r="I1172" s="206"/>
    </row>
    <row r="1173" spans="1:9" x14ac:dyDescent="0.35">
      <c r="A1173" s="160">
        <f t="shared" si="0"/>
        <v>0</v>
      </c>
      <c r="B1173" s="160">
        <f t="shared" si="1"/>
        <v>5</v>
      </c>
      <c r="C1173" s="160">
        <f t="shared" si="2"/>
        <v>5</v>
      </c>
      <c r="D1173" s="160">
        <f t="shared" si="3"/>
        <v>0.16666666666666666</v>
      </c>
      <c r="E1173" s="206"/>
      <c r="F1173" s="206"/>
      <c r="G1173" s="206"/>
      <c r="H1173" s="206"/>
      <c r="I1173" s="206"/>
    </row>
    <row r="1174" spans="1:9" x14ac:dyDescent="0.35">
      <c r="A1174" s="160">
        <f t="shared" si="0"/>
        <v>1</v>
      </c>
      <c r="B1174" s="160">
        <f t="shared" si="1"/>
        <v>2</v>
      </c>
      <c r="C1174" s="160">
        <f t="shared" si="2"/>
        <v>3</v>
      </c>
      <c r="D1174" s="160">
        <f t="shared" si="3"/>
        <v>0.25</v>
      </c>
      <c r="E1174" s="206"/>
      <c r="F1174" s="206"/>
      <c r="G1174" s="206"/>
      <c r="H1174" s="206"/>
      <c r="I1174" s="206"/>
    </row>
    <row r="1175" spans="1:9" x14ac:dyDescent="0.35">
      <c r="A1175" s="160">
        <f t="shared" si="0"/>
        <v>3</v>
      </c>
      <c r="B1175" s="160">
        <f t="shared" si="1"/>
        <v>2</v>
      </c>
      <c r="C1175" s="160">
        <f t="shared" si="2"/>
        <v>5</v>
      </c>
      <c r="D1175" s="160">
        <f t="shared" si="3"/>
        <v>0.16666666666666666</v>
      </c>
      <c r="E1175" s="206"/>
      <c r="F1175" s="206"/>
      <c r="G1175" s="206"/>
      <c r="H1175" s="206"/>
      <c r="I1175" s="206"/>
    </row>
    <row r="1176" spans="1:9" x14ac:dyDescent="0.35">
      <c r="A1176" s="160">
        <f t="shared" si="0"/>
        <v>3</v>
      </c>
      <c r="B1176" s="160">
        <f t="shared" si="1"/>
        <v>0</v>
      </c>
      <c r="C1176" s="160">
        <f t="shared" si="2"/>
        <v>3</v>
      </c>
      <c r="D1176" s="160">
        <f t="shared" si="3"/>
        <v>0.25</v>
      </c>
      <c r="E1176" s="206"/>
      <c r="F1176" s="206"/>
      <c r="G1176" s="206"/>
      <c r="H1176" s="206"/>
      <c r="I1176" s="206"/>
    </row>
    <row r="1177" spans="1:9" x14ac:dyDescent="0.35">
      <c r="A1177" s="160">
        <f t="shared" si="0"/>
        <v>0</v>
      </c>
      <c r="B1177" s="160">
        <f t="shared" si="1"/>
        <v>1</v>
      </c>
      <c r="C1177" s="160">
        <f t="shared" si="2"/>
        <v>1</v>
      </c>
      <c r="D1177" s="160">
        <f t="shared" si="3"/>
        <v>0.5</v>
      </c>
      <c r="E1177" s="206"/>
      <c r="F1177" s="206"/>
      <c r="G1177" s="206"/>
      <c r="H1177" s="206"/>
      <c r="I1177" s="206"/>
    </row>
    <row r="1178" spans="1:9" x14ac:dyDescent="0.35">
      <c r="A1178" s="160">
        <f t="shared" si="0"/>
        <v>5</v>
      </c>
      <c r="B1178" s="160">
        <f t="shared" si="1"/>
        <v>5</v>
      </c>
      <c r="C1178" s="160">
        <f t="shared" si="2"/>
        <v>10</v>
      </c>
      <c r="D1178" s="160">
        <f t="shared" si="3"/>
        <v>9.0909090909090912E-2</v>
      </c>
      <c r="E1178" s="206"/>
      <c r="F1178" s="206"/>
      <c r="G1178" s="206"/>
      <c r="H1178" s="206"/>
      <c r="I1178" s="206"/>
    </row>
    <row r="1179" spans="1:9" x14ac:dyDescent="0.35">
      <c r="A1179" s="160">
        <f t="shared" si="0"/>
        <v>0</v>
      </c>
      <c r="B1179" s="160">
        <f t="shared" si="1"/>
        <v>0</v>
      </c>
      <c r="C1179" s="160">
        <f t="shared" si="2"/>
        <v>0</v>
      </c>
      <c r="D1179" s="160">
        <f t="shared" si="3"/>
        <v>1</v>
      </c>
      <c r="E1179" s="206"/>
      <c r="F1179" s="206"/>
      <c r="G1179" s="206"/>
      <c r="H1179" s="206"/>
      <c r="I1179" s="206"/>
    </row>
    <row r="1180" spans="1:9" x14ac:dyDescent="0.35">
      <c r="A1180" s="160">
        <f t="shared" si="0"/>
        <v>0</v>
      </c>
      <c r="B1180" s="160">
        <f t="shared" si="1"/>
        <v>0</v>
      </c>
      <c r="C1180" s="160">
        <f t="shared" si="2"/>
        <v>0</v>
      </c>
      <c r="D1180" s="160">
        <f t="shared" si="3"/>
        <v>1</v>
      </c>
      <c r="E1180" s="206"/>
      <c r="F1180" s="206"/>
      <c r="G1180" s="206"/>
      <c r="H1180" s="206"/>
      <c r="I1180" s="206"/>
    </row>
    <row r="1181" spans="1:9" x14ac:dyDescent="0.35">
      <c r="A1181" s="160">
        <f t="shared" si="0"/>
        <v>1</v>
      </c>
      <c r="B1181" s="160">
        <f t="shared" si="1"/>
        <v>0</v>
      </c>
      <c r="C1181" s="160">
        <f t="shared" si="2"/>
        <v>1</v>
      </c>
      <c r="D1181" s="160">
        <f t="shared" si="3"/>
        <v>0.5</v>
      </c>
      <c r="E1181" s="206"/>
      <c r="F1181" s="206"/>
      <c r="G1181" s="206"/>
      <c r="H1181" s="206"/>
      <c r="I1181" s="206"/>
    </row>
    <row r="1182" spans="1:9" x14ac:dyDescent="0.35">
      <c r="A1182" s="160">
        <f t="shared" si="0"/>
        <v>1</v>
      </c>
      <c r="B1182" s="160">
        <f t="shared" si="1"/>
        <v>1</v>
      </c>
      <c r="C1182" s="160">
        <f t="shared" si="2"/>
        <v>2</v>
      </c>
      <c r="D1182" s="160">
        <f t="shared" si="3"/>
        <v>0.33333333333333331</v>
      </c>
      <c r="E1182" s="206"/>
      <c r="F1182" s="206"/>
      <c r="G1182" s="206"/>
      <c r="H1182" s="206"/>
      <c r="I1182" s="206"/>
    </row>
    <row r="1183" spans="1:9" x14ac:dyDescent="0.35">
      <c r="A1183" s="160">
        <f t="shared" si="0"/>
        <v>0</v>
      </c>
      <c r="B1183" s="160">
        <f t="shared" si="1"/>
        <v>0</v>
      </c>
      <c r="C1183" s="160">
        <f t="shared" si="2"/>
        <v>0</v>
      </c>
      <c r="D1183" s="160">
        <f t="shared" si="3"/>
        <v>1</v>
      </c>
      <c r="E1183" s="206"/>
      <c r="F1183" s="206"/>
      <c r="G1183" s="206"/>
      <c r="H1183" s="206"/>
      <c r="I1183" s="206"/>
    </row>
    <row r="1184" spans="1:9" x14ac:dyDescent="0.35">
      <c r="A1184" s="160">
        <f t="shared" si="0"/>
        <v>0</v>
      </c>
      <c r="B1184" s="160">
        <f t="shared" si="1"/>
        <v>0</v>
      </c>
      <c r="C1184" s="160">
        <f t="shared" si="2"/>
        <v>0</v>
      </c>
      <c r="D1184" s="160">
        <f t="shared" si="3"/>
        <v>1</v>
      </c>
      <c r="E1184" s="206"/>
      <c r="F1184" s="206"/>
      <c r="G1184" s="206"/>
      <c r="H1184" s="206"/>
      <c r="I1184" s="206"/>
    </row>
    <row r="1185" spans="1:9" x14ac:dyDescent="0.35">
      <c r="A1185" s="160">
        <f t="shared" si="0"/>
        <v>9</v>
      </c>
      <c r="B1185" s="160">
        <f t="shared" si="1"/>
        <v>0</v>
      </c>
      <c r="C1185" s="160">
        <f t="shared" si="2"/>
        <v>9</v>
      </c>
      <c r="D1185" s="160">
        <f t="shared" si="3"/>
        <v>0.1</v>
      </c>
      <c r="E1185" s="206"/>
      <c r="F1185" s="206"/>
      <c r="G1185" s="206"/>
      <c r="H1185" s="206"/>
      <c r="I1185" s="206"/>
    </row>
    <row r="1186" spans="1:9" x14ac:dyDescent="0.35">
      <c r="A1186" s="160">
        <f t="shared" si="0"/>
        <v>4</v>
      </c>
      <c r="B1186" s="160">
        <f t="shared" si="1"/>
        <v>3</v>
      </c>
      <c r="C1186" s="160">
        <f t="shared" si="2"/>
        <v>7</v>
      </c>
      <c r="D1186" s="160">
        <f t="shared" si="3"/>
        <v>0.125</v>
      </c>
      <c r="E1186" s="206"/>
      <c r="F1186" s="206"/>
      <c r="G1186" s="206"/>
      <c r="H1186" s="206"/>
      <c r="I1186" s="206"/>
    </row>
    <row r="1187" spans="1:9" x14ac:dyDescent="0.35">
      <c r="A1187" s="160">
        <f t="shared" ref="A1187:A1250" si="4">SUMPRODUCT(($R$4:$R$1115=R69)*($Q$4:$Q$1115=Q69)*(ROW($R$4:$R$1115)&gt;ROW(R69)))</f>
        <v>1</v>
      </c>
      <c r="B1187" s="160">
        <f t="shared" ref="B1187:B1250" si="5">SUMPRODUCT(($K$4:$K$1115=K69)*($Q$4:$Q$1115=Q69)*(ROW($K$4:$K$1115)&gt;ROW(K69)))</f>
        <v>2</v>
      </c>
      <c r="C1187" s="160">
        <f t="shared" ref="C1187:C1250" si="6">SUM(A1187:B1187)</f>
        <v>3</v>
      </c>
      <c r="D1187" s="160">
        <f t="shared" ref="D1187:D1250" si="7">1/(1+C1187)</f>
        <v>0.25</v>
      </c>
      <c r="E1187" s="206"/>
      <c r="F1187" s="206"/>
      <c r="G1187" s="206"/>
      <c r="H1187" s="206"/>
      <c r="I1187" s="206"/>
    </row>
    <row r="1188" spans="1:9" x14ac:dyDescent="0.35">
      <c r="A1188" s="160">
        <f t="shared" si="4"/>
        <v>4</v>
      </c>
      <c r="B1188" s="160">
        <f t="shared" si="5"/>
        <v>2</v>
      </c>
      <c r="C1188" s="160">
        <f t="shared" si="6"/>
        <v>6</v>
      </c>
      <c r="D1188" s="160">
        <f t="shared" si="7"/>
        <v>0.14285714285714285</v>
      </c>
      <c r="E1188" s="206"/>
      <c r="F1188" s="206"/>
      <c r="G1188" s="206"/>
      <c r="H1188" s="206"/>
      <c r="I1188" s="206"/>
    </row>
    <row r="1189" spans="1:9" x14ac:dyDescent="0.35">
      <c r="A1189" s="160">
        <f t="shared" si="4"/>
        <v>1</v>
      </c>
      <c r="B1189" s="160">
        <f t="shared" si="5"/>
        <v>1</v>
      </c>
      <c r="C1189" s="160">
        <f t="shared" si="6"/>
        <v>2</v>
      </c>
      <c r="D1189" s="160">
        <f t="shared" si="7"/>
        <v>0.33333333333333331</v>
      </c>
      <c r="E1189" s="206"/>
      <c r="F1189" s="206"/>
      <c r="G1189" s="206"/>
      <c r="H1189" s="206"/>
      <c r="I1189" s="206"/>
    </row>
    <row r="1190" spans="1:9" x14ac:dyDescent="0.35">
      <c r="A1190" s="160">
        <f t="shared" si="4"/>
        <v>3</v>
      </c>
      <c r="B1190" s="160">
        <f t="shared" si="5"/>
        <v>4</v>
      </c>
      <c r="C1190" s="160">
        <f t="shared" si="6"/>
        <v>7</v>
      </c>
      <c r="D1190" s="160">
        <f t="shared" si="7"/>
        <v>0.125</v>
      </c>
      <c r="E1190" s="206"/>
      <c r="F1190" s="206"/>
      <c r="G1190" s="206"/>
      <c r="H1190" s="206"/>
      <c r="I1190" s="206"/>
    </row>
    <row r="1191" spans="1:9" x14ac:dyDescent="0.35">
      <c r="A1191" s="160">
        <f t="shared" si="4"/>
        <v>6</v>
      </c>
      <c r="B1191" s="160">
        <f t="shared" si="5"/>
        <v>2</v>
      </c>
      <c r="C1191" s="160">
        <f t="shared" si="6"/>
        <v>8</v>
      </c>
      <c r="D1191" s="160">
        <f t="shared" si="7"/>
        <v>0.1111111111111111</v>
      </c>
      <c r="E1191" s="206"/>
      <c r="F1191" s="206"/>
      <c r="G1191" s="206"/>
      <c r="H1191" s="206"/>
      <c r="I1191" s="206"/>
    </row>
    <row r="1192" spans="1:9" x14ac:dyDescent="0.35">
      <c r="A1192" s="160">
        <f t="shared" si="4"/>
        <v>3</v>
      </c>
      <c r="B1192" s="160">
        <f t="shared" si="5"/>
        <v>0</v>
      </c>
      <c r="C1192" s="160">
        <f t="shared" si="6"/>
        <v>3</v>
      </c>
      <c r="D1192" s="160">
        <f t="shared" si="7"/>
        <v>0.25</v>
      </c>
      <c r="E1192" s="206"/>
      <c r="F1192" s="206"/>
      <c r="G1192" s="206"/>
      <c r="H1192" s="206"/>
      <c r="I1192" s="206"/>
    </row>
    <row r="1193" spans="1:9" x14ac:dyDescent="0.35">
      <c r="A1193" s="160">
        <f t="shared" si="4"/>
        <v>1</v>
      </c>
      <c r="B1193" s="160">
        <f t="shared" si="5"/>
        <v>0</v>
      </c>
      <c r="C1193" s="160">
        <f t="shared" si="6"/>
        <v>1</v>
      </c>
      <c r="D1193" s="160">
        <f t="shared" si="7"/>
        <v>0.5</v>
      </c>
      <c r="E1193" s="206"/>
      <c r="F1193" s="206"/>
      <c r="G1193" s="206"/>
      <c r="H1193" s="206"/>
      <c r="I1193" s="206"/>
    </row>
    <row r="1194" spans="1:9" x14ac:dyDescent="0.35">
      <c r="A1194" s="160">
        <f t="shared" si="4"/>
        <v>0</v>
      </c>
      <c r="B1194" s="160">
        <f t="shared" si="5"/>
        <v>0</v>
      </c>
      <c r="C1194" s="160">
        <f t="shared" si="6"/>
        <v>0</v>
      </c>
      <c r="D1194" s="160">
        <f t="shared" si="7"/>
        <v>1</v>
      </c>
      <c r="E1194" s="206"/>
      <c r="F1194" s="206"/>
      <c r="G1194" s="206"/>
      <c r="H1194" s="206"/>
      <c r="I1194" s="206"/>
    </row>
    <row r="1195" spans="1:9" x14ac:dyDescent="0.35">
      <c r="A1195" s="160">
        <f t="shared" si="4"/>
        <v>1</v>
      </c>
      <c r="B1195" s="160">
        <f t="shared" si="5"/>
        <v>1</v>
      </c>
      <c r="C1195" s="160">
        <f t="shared" si="6"/>
        <v>2</v>
      </c>
      <c r="D1195" s="160">
        <f t="shared" si="7"/>
        <v>0.33333333333333331</v>
      </c>
      <c r="E1195" s="206"/>
      <c r="F1195" s="206"/>
      <c r="G1195" s="206"/>
      <c r="H1195" s="206"/>
      <c r="I1195" s="206"/>
    </row>
    <row r="1196" spans="1:9" x14ac:dyDescent="0.35">
      <c r="A1196" s="160">
        <f t="shared" si="4"/>
        <v>6</v>
      </c>
      <c r="B1196" s="160">
        <f t="shared" si="5"/>
        <v>2</v>
      </c>
      <c r="C1196" s="160">
        <f t="shared" si="6"/>
        <v>8</v>
      </c>
      <c r="D1196" s="160">
        <f t="shared" si="7"/>
        <v>0.1111111111111111</v>
      </c>
      <c r="E1196" s="206"/>
      <c r="F1196" s="206"/>
      <c r="G1196" s="206"/>
      <c r="H1196" s="206"/>
      <c r="I1196" s="206"/>
    </row>
    <row r="1197" spans="1:9" x14ac:dyDescent="0.35">
      <c r="A1197" s="160">
        <f t="shared" si="4"/>
        <v>2</v>
      </c>
      <c r="B1197" s="160">
        <f t="shared" si="5"/>
        <v>0</v>
      </c>
      <c r="C1197" s="160">
        <f t="shared" si="6"/>
        <v>2</v>
      </c>
      <c r="D1197" s="160">
        <f t="shared" si="7"/>
        <v>0.33333333333333331</v>
      </c>
      <c r="E1197" s="206"/>
      <c r="F1197" s="206"/>
      <c r="G1197" s="206"/>
      <c r="H1197" s="206"/>
      <c r="I1197" s="206"/>
    </row>
    <row r="1198" spans="1:9" x14ac:dyDescent="0.35">
      <c r="A1198" s="160">
        <f t="shared" si="4"/>
        <v>0</v>
      </c>
      <c r="B1198" s="160">
        <f t="shared" si="5"/>
        <v>0</v>
      </c>
      <c r="C1198" s="160">
        <f t="shared" si="6"/>
        <v>0</v>
      </c>
      <c r="D1198" s="160">
        <f t="shared" si="7"/>
        <v>1</v>
      </c>
      <c r="E1198" s="206"/>
      <c r="F1198" s="206"/>
      <c r="G1198" s="206"/>
      <c r="H1198" s="206"/>
      <c r="I1198" s="206"/>
    </row>
    <row r="1199" spans="1:9" x14ac:dyDescent="0.35">
      <c r="A1199" s="160">
        <f t="shared" si="4"/>
        <v>5</v>
      </c>
      <c r="B1199" s="160">
        <f t="shared" si="5"/>
        <v>2</v>
      </c>
      <c r="C1199" s="160">
        <f t="shared" si="6"/>
        <v>7</v>
      </c>
      <c r="D1199" s="160">
        <f t="shared" si="7"/>
        <v>0.125</v>
      </c>
      <c r="E1199" s="206"/>
      <c r="F1199" s="206"/>
      <c r="G1199" s="206"/>
      <c r="H1199" s="206"/>
      <c r="I1199" s="206"/>
    </row>
    <row r="1200" spans="1:9" x14ac:dyDescent="0.35">
      <c r="A1200" s="160">
        <f t="shared" si="4"/>
        <v>0</v>
      </c>
      <c r="B1200" s="160">
        <f t="shared" si="5"/>
        <v>0</v>
      </c>
      <c r="C1200" s="160">
        <f t="shared" si="6"/>
        <v>0</v>
      </c>
      <c r="D1200" s="160">
        <f t="shared" si="7"/>
        <v>1</v>
      </c>
      <c r="E1200" s="206"/>
      <c r="F1200" s="206"/>
      <c r="G1200" s="206"/>
      <c r="H1200" s="206"/>
      <c r="I1200" s="206"/>
    </row>
    <row r="1201" spans="1:9" x14ac:dyDescent="0.35">
      <c r="A1201" s="160">
        <f t="shared" si="4"/>
        <v>3</v>
      </c>
      <c r="B1201" s="160">
        <f t="shared" si="5"/>
        <v>1</v>
      </c>
      <c r="C1201" s="160">
        <f t="shared" si="6"/>
        <v>4</v>
      </c>
      <c r="D1201" s="160">
        <f t="shared" si="7"/>
        <v>0.2</v>
      </c>
      <c r="E1201" s="206"/>
      <c r="F1201" s="206"/>
      <c r="G1201" s="206"/>
      <c r="H1201" s="206"/>
      <c r="I1201" s="206"/>
    </row>
    <row r="1202" spans="1:9" x14ac:dyDescent="0.35">
      <c r="A1202" s="160">
        <f t="shared" si="4"/>
        <v>1</v>
      </c>
      <c r="B1202" s="160">
        <f t="shared" si="5"/>
        <v>2</v>
      </c>
      <c r="C1202" s="160">
        <f t="shared" si="6"/>
        <v>3</v>
      </c>
      <c r="D1202" s="160">
        <f t="shared" si="7"/>
        <v>0.25</v>
      </c>
      <c r="E1202" s="206"/>
      <c r="F1202" s="206"/>
      <c r="G1202" s="206"/>
      <c r="H1202" s="206"/>
      <c r="I1202" s="206"/>
    </row>
    <row r="1203" spans="1:9" x14ac:dyDescent="0.35">
      <c r="A1203" s="160">
        <f t="shared" si="4"/>
        <v>2</v>
      </c>
      <c r="B1203" s="160">
        <f t="shared" si="5"/>
        <v>0</v>
      </c>
      <c r="C1203" s="160">
        <f t="shared" si="6"/>
        <v>2</v>
      </c>
      <c r="D1203" s="160">
        <f t="shared" si="7"/>
        <v>0.33333333333333331</v>
      </c>
      <c r="E1203" s="206"/>
      <c r="F1203" s="206"/>
      <c r="G1203" s="206"/>
      <c r="H1203" s="206"/>
      <c r="I1203" s="206"/>
    </row>
    <row r="1204" spans="1:9" x14ac:dyDescent="0.35">
      <c r="A1204" s="160">
        <f t="shared" si="4"/>
        <v>1</v>
      </c>
      <c r="B1204" s="160">
        <f t="shared" si="5"/>
        <v>1</v>
      </c>
      <c r="C1204" s="160">
        <f t="shared" si="6"/>
        <v>2</v>
      </c>
      <c r="D1204" s="160">
        <f t="shared" si="7"/>
        <v>0.33333333333333331</v>
      </c>
      <c r="E1204" s="206"/>
      <c r="F1204" s="206"/>
      <c r="G1204" s="206"/>
      <c r="H1204" s="206"/>
      <c r="I1204" s="206"/>
    </row>
    <row r="1205" spans="1:9" x14ac:dyDescent="0.35">
      <c r="A1205" s="160">
        <f t="shared" si="4"/>
        <v>2</v>
      </c>
      <c r="B1205" s="160">
        <f t="shared" si="5"/>
        <v>0</v>
      </c>
      <c r="C1205" s="160">
        <f t="shared" si="6"/>
        <v>2</v>
      </c>
      <c r="D1205" s="160">
        <f t="shared" si="7"/>
        <v>0.33333333333333331</v>
      </c>
      <c r="E1205" s="206"/>
      <c r="F1205" s="206"/>
      <c r="G1205" s="206"/>
      <c r="H1205" s="206"/>
      <c r="I1205" s="206"/>
    </row>
    <row r="1206" spans="1:9" x14ac:dyDescent="0.35">
      <c r="A1206" s="160">
        <f t="shared" si="4"/>
        <v>1</v>
      </c>
      <c r="B1206" s="160">
        <f t="shared" si="5"/>
        <v>5</v>
      </c>
      <c r="C1206" s="160">
        <f t="shared" si="6"/>
        <v>6</v>
      </c>
      <c r="D1206" s="160">
        <f t="shared" si="7"/>
        <v>0.14285714285714285</v>
      </c>
      <c r="E1206" s="206"/>
      <c r="F1206" s="206"/>
      <c r="G1206" s="206"/>
      <c r="H1206" s="206"/>
      <c r="I1206" s="206"/>
    </row>
    <row r="1207" spans="1:9" x14ac:dyDescent="0.35">
      <c r="A1207" s="160">
        <f t="shared" si="4"/>
        <v>2</v>
      </c>
      <c r="B1207" s="160">
        <f t="shared" si="5"/>
        <v>1</v>
      </c>
      <c r="C1207" s="160">
        <f t="shared" si="6"/>
        <v>3</v>
      </c>
      <c r="D1207" s="160">
        <f t="shared" si="7"/>
        <v>0.25</v>
      </c>
      <c r="E1207" s="206"/>
      <c r="F1207" s="206"/>
      <c r="G1207" s="206"/>
      <c r="H1207" s="206"/>
      <c r="I1207" s="206"/>
    </row>
    <row r="1208" spans="1:9" x14ac:dyDescent="0.35">
      <c r="A1208" s="160">
        <f t="shared" si="4"/>
        <v>3</v>
      </c>
      <c r="B1208" s="160">
        <f t="shared" si="5"/>
        <v>0</v>
      </c>
      <c r="C1208" s="160">
        <f t="shared" si="6"/>
        <v>3</v>
      </c>
      <c r="D1208" s="160">
        <f t="shared" si="7"/>
        <v>0.25</v>
      </c>
      <c r="E1208" s="206"/>
      <c r="F1208" s="206"/>
      <c r="G1208" s="206"/>
      <c r="H1208" s="206"/>
      <c r="I1208" s="206"/>
    </row>
    <row r="1209" spans="1:9" x14ac:dyDescent="0.35">
      <c r="A1209" s="160">
        <f t="shared" si="4"/>
        <v>0</v>
      </c>
      <c r="B1209" s="160">
        <f t="shared" si="5"/>
        <v>0</v>
      </c>
      <c r="C1209" s="160">
        <f t="shared" si="6"/>
        <v>0</v>
      </c>
      <c r="D1209" s="160">
        <f t="shared" si="7"/>
        <v>1</v>
      </c>
      <c r="E1209" s="206"/>
      <c r="F1209" s="206"/>
      <c r="G1209" s="206"/>
      <c r="H1209" s="206"/>
      <c r="I1209" s="206"/>
    </row>
    <row r="1210" spans="1:9" x14ac:dyDescent="0.35">
      <c r="A1210" s="160">
        <f t="shared" si="4"/>
        <v>0</v>
      </c>
      <c r="B1210" s="160">
        <f t="shared" si="5"/>
        <v>0</v>
      </c>
      <c r="C1210" s="160">
        <f t="shared" si="6"/>
        <v>0</v>
      </c>
      <c r="D1210" s="160">
        <f t="shared" si="7"/>
        <v>1</v>
      </c>
      <c r="E1210" s="206"/>
      <c r="F1210" s="206"/>
      <c r="G1210" s="206"/>
      <c r="H1210" s="206"/>
      <c r="I1210" s="206"/>
    </row>
    <row r="1211" spans="1:9" x14ac:dyDescent="0.35">
      <c r="A1211" s="160">
        <f t="shared" si="4"/>
        <v>0</v>
      </c>
      <c r="B1211" s="160">
        <f t="shared" si="5"/>
        <v>0</v>
      </c>
      <c r="C1211" s="160">
        <f t="shared" si="6"/>
        <v>0</v>
      </c>
      <c r="D1211" s="160">
        <f t="shared" si="7"/>
        <v>1</v>
      </c>
      <c r="E1211" s="206"/>
      <c r="F1211" s="206"/>
      <c r="G1211" s="206"/>
      <c r="H1211" s="206"/>
      <c r="I1211" s="206"/>
    </row>
    <row r="1212" spans="1:9" x14ac:dyDescent="0.35">
      <c r="A1212" s="160">
        <f t="shared" si="4"/>
        <v>4</v>
      </c>
      <c r="B1212" s="160">
        <f t="shared" si="5"/>
        <v>1</v>
      </c>
      <c r="C1212" s="160">
        <f t="shared" si="6"/>
        <v>5</v>
      </c>
      <c r="D1212" s="160">
        <f t="shared" si="7"/>
        <v>0.16666666666666666</v>
      </c>
      <c r="E1212" s="206"/>
      <c r="F1212" s="206"/>
      <c r="G1212" s="206"/>
      <c r="H1212" s="206"/>
      <c r="I1212" s="206"/>
    </row>
    <row r="1213" spans="1:9" x14ac:dyDescent="0.35">
      <c r="A1213" s="160">
        <f t="shared" si="4"/>
        <v>5</v>
      </c>
      <c r="B1213" s="160">
        <f t="shared" si="5"/>
        <v>3</v>
      </c>
      <c r="C1213" s="160">
        <f t="shared" si="6"/>
        <v>8</v>
      </c>
      <c r="D1213" s="160">
        <f t="shared" si="7"/>
        <v>0.1111111111111111</v>
      </c>
      <c r="E1213" s="206"/>
      <c r="F1213" s="206"/>
      <c r="G1213" s="206"/>
      <c r="H1213" s="206"/>
      <c r="I1213" s="206"/>
    </row>
    <row r="1214" spans="1:9" x14ac:dyDescent="0.35">
      <c r="A1214" s="160">
        <f t="shared" si="4"/>
        <v>8</v>
      </c>
      <c r="B1214" s="160">
        <f t="shared" si="5"/>
        <v>0</v>
      </c>
      <c r="C1214" s="160">
        <f t="shared" si="6"/>
        <v>8</v>
      </c>
      <c r="D1214" s="160">
        <f t="shared" si="7"/>
        <v>0.1111111111111111</v>
      </c>
      <c r="E1214" s="206"/>
      <c r="F1214" s="206"/>
      <c r="G1214" s="206"/>
      <c r="H1214" s="206"/>
      <c r="I1214" s="206"/>
    </row>
    <row r="1215" spans="1:9" x14ac:dyDescent="0.35">
      <c r="A1215" s="160">
        <f t="shared" si="4"/>
        <v>2</v>
      </c>
      <c r="B1215" s="160">
        <f t="shared" si="5"/>
        <v>0</v>
      </c>
      <c r="C1215" s="160">
        <f t="shared" si="6"/>
        <v>2</v>
      </c>
      <c r="D1215" s="160">
        <f t="shared" si="7"/>
        <v>0.33333333333333331</v>
      </c>
      <c r="E1215" s="206"/>
      <c r="F1215" s="206"/>
      <c r="G1215" s="206"/>
      <c r="H1215" s="206"/>
      <c r="I1215" s="206"/>
    </row>
    <row r="1216" spans="1:9" x14ac:dyDescent="0.35">
      <c r="A1216" s="160">
        <f t="shared" si="4"/>
        <v>3</v>
      </c>
      <c r="B1216" s="160">
        <f t="shared" si="5"/>
        <v>2</v>
      </c>
      <c r="C1216" s="160">
        <f t="shared" si="6"/>
        <v>5</v>
      </c>
      <c r="D1216" s="160">
        <f t="shared" si="7"/>
        <v>0.16666666666666666</v>
      </c>
      <c r="E1216" s="206"/>
      <c r="F1216" s="206"/>
      <c r="G1216" s="206"/>
      <c r="H1216" s="206"/>
      <c r="I1216" s="206"/>
    </row>
    <row r="1217" spans="1:9" x14ac:dyDescent="0.35">
      <c r="A1217" s="160">
        <f t="shared" si="4"/>
        <v>1</v>
      </c>
      <c r="B1217" s="160">
        <f t="shared" si="5"/>
        <v>1</v>
      </c>
      <c r="C1217" s="160">
        <f t="shared" si="6"/>
        <v>2</v>
      </c>
      <c r="D1217" s="160">
        <f t="shared" si="7"/>
        <v>0.33333333333333331</v>
      </c>
      <c r="E1217" s="206"/>
      <c r="F1217" s="206"/>
      <c r="G1217" s="206"/>
      <c r="H1217" s="206"/>
      <c r="I1217" s="206"/>
    </row>
    <row r="1218" spans="1:9" x14ac:dyDescent="0.35">
      <c r="A1218" s="160">
        <f t="shared" si="4"/>
        <v>0</v>
      </c>
      <c r="B1218" s="160">
        <f t="shared" si="5"/>
        <v>1</v>
      </c>
      <c r="C1218" s="160">
        <f t="shared" si="6"/>
        <v>1</v>
      </c>
      <c r="D1218" s="160">
        <f t="shared" si="7"/>
        <v>0.5</v>
      </c>
      <c r="E1218" s="206"/>
      <c r="F1218" s="206"/>
      <c r="G1218" s="206"/>
      <c r="H1218" s="206"/>
      <c r="I1218" s="206"/>
    </row>
    <row r="1219" spans="1:9" x14ac:dyDescent="0.35">
      <c r="A1219" s="160">
        <f t="shared" si="4"/>
        <v>3</v>
      </c>
      <c r="B1219" s="160">
        <f t="shared" si="5"/>
        <v>1</v>
      </c>
      <c r="C1219" s="160">
        <f t="shared" si="6"/>
        <v>4</v>
      </c>
      <c r="D1219" s="160">
        <f t="shared" si="7"/>
        <v>0.2</v>
      </c>
      <c r="E1219" s="206"/>
      <c r="F1219" s="206"/>
      <c r="G1219" s="206"/>
      <c r="H1219" s="206"/>
      <c r="I1219" s="206"/>
    </row>
    <row r="1220" spans="1:9" x14ac:dyDescent="0.35">
      <c r="A1220" s="160">
        <f t="shared" si="4"/>
        <v>0</v>
      </c>
      <c r="B1220" s="160">
        <f t="shared" si="5"/>
        <v>0</v>
      </c>
      <c r="C1220" s="160">
        <f t="shared" si="6"/>
        <v>0</v>
      </c>
      <c r="D1220" s="160">
        <f t="shared" si="7"/>
        <v>1</v>
      </c>
      <c r="E1220" s="206"/>
      <c r="F1220" s="206"/>
      <c r="G1220" s="206"/>
      <c r="H1220" s="206"/>
      <c r="I1220" s="206"/>
    </row>
    <row r="1221" spans="1:9" x14ac:dyDescent="0.35">
      <c r="A1221" s="160">
        <f t="shared" si="4"/>
        <v>0</v>
      </c>
      <c r="B1221" s="160">
        <f t="shared" si="5"/>
        <v>1</v>
      </c>
      <c r="C1221" s="160">
        <f t="shared" si="6"/>
        <v>1</v>
      </c>
      <c r="D1221" s="160">
        <f t="shared" si="7"/>
        <v>0.5</v>
      </c>
      <c r="E1221" s="206"/>
      <c r="F1221" s="206"/>
      <c r="G1221" s="206"/>
      <c r="H1221" s="206"/>
      <c r="I1221" s="206"/>
    </row>
    <row r="1222" spans="1:9" x14ac:dyDescent="0.35">
      <c r="A1222" s="160">
        <f t="shared" si="4"/>
        <v>5</v>
      </c>
      <c r="B1222" s="160">
        <f t="shared" si="5"/>
        <v>3</v>
      </c>
      <c r="C1222" s="160">
        <f t="shared" si="6"/>
        <v>8</v>
      </c>
      <c r="D1222" s="160">
        <f t="shared" si="7"/>
        <v>0.1111111111111111</v>
      </c>
      <c r="E1222" s="206"/>
      <c r="F1222" s="206"/>
      <c r="G1222" s="206"/>
      <c r="H1222" s="206"/>
      <c r="I1222" s="206"/>
    </row>
    <row r="1223" spans="1:9" x14ac:dyDescent="0.35">
      <c r="A1223" s="160">
        <f t="shared" si="4"/>
        <v>6</v>
      </c>
      <c r="B1223" s="160">
        <f t="shared" si="5"/>
        <v>1</v>
      </c>
      <c r="C1223" s="160">
        <f t="shared" si="6"/>
        <v>7</v>
      </c>
      <c r="D1223" s="160">
        <f t="shared" si="7"/>
        <v>0.125</v>
      </c>
      <c r="E1223" s="206"/>
      <c r="F1223" s="206"/>
      <c r="G1223" s="206"/>
      <c r="H1223" s="206"/>
      <c r="I1223" s="206"/>
    </row>
    <row r="1224" spans="1:9" x14ac:dyDescent="0.35">
      <c r="A1224" s="160">
        <f t="shared" si="4"/>
        <v>5</v>
      </c>
      <c r="B1224" s="160">
        <f t="shared" si="5"/>
        <v>0</v>
      </c>
      <c r="C1224" s="160">
        <f t="shared" si="6"/>
        <v>5</v>
      </c>
      <c r="D1224" s="160">
        <f t="shared" si="7"/>
        <v>0.16666666666666666</v>
      </c>
      <c r="E1224" s="206"/>
      <c r="F1224" s="206"/>
      <c r="G1224" s="206"/>
      <c r="H1224" s="206"/>
      <c r="I1224" s="206"/>
    </row>
    <row r="1225" spans="1:9" x14ac:dyDescent="0.35">
      <c r="A1225" s="160">
        <f t="shared" si="4"/>
        <v>3</v>
      </c>
      <c r="B1225" s="160">
        <f t="shared" si="5"/>
        <v>1</v>
      </c>
      <c r="C1225" s="160">
        <f t="shared" si="6"/>
        <v>4</v>
      </c>
      <c r="D1225" s="160">
        <f t="shared" si="7"/>
        <v>0.2</v>
      </c>
      <c r="E1225" s="206"/>
      <c r="F1225" s="206"/>
      <c r="G1225" s="206"/>
      <c r="H1225" s="206"/>
      <c r="I1225" s="206"/>
    </row>
    <row r="1226" spans="1:9" x14ac:dyDescent="0.35">
      <c r="A1226" s="160">
        <f t="shared" si="4"/>
        <v>2</v>
      </c>
      <c r="B1226" s="160">
        <f t="shared" si="5"/>
        <v>2</v>
      </c>
      <c r="C1226" s="160">
        <f t="shared" si="6"/>
        <v>4</v>
      </c>
      <c r="D1226" s="160">
        <f t="shared" si="7"/>
        <v>0.2</v>
      </c>
      <c r="E1226" s="206"/>
      <c r="F1226" s="206"/>
      <c r="G1226" s="206"/>
      <c r="H1226" s="206"/>
      <c r="I1226" s="206"/>
    </row>
    <row r="1227" spans="1:9" x14ac:dyDescent="0.35">
      <c r="A1227" s="160">
        <f t="shared" si="4"/>
        <v>11</v>
      </c>
      <c r="B1227" s="160">
        <f t="shared" si="5"/>
        <v>2</v>
      </c>
      <c r="C1227" s="160">
        <f t="shared" si="6"/>
        <v>13</v>
      </c>
      <c r="D1227" s="160">
        <f t="shared" si="7"/>
        <v>7.1428571428571425E-2</v>
      </c>
      <c r="E1227" s="206"/>
      <c r="F1227" s="206"/>
      <c r="G1227" s="206"/>
      <c r="H1227" s="206"/>
      <c r="I1227" s="206"/>
    </row>
    <row r="1228" spans="1:9" x14ac:dyDescent="0.35">
      <c r="A1228" s="160">
        <f t="shared" si="4"/>
        <v>2</v>
      </c>
      <c r="B1228" s="160">
        <f t="shared" si="5"/>
        <v>1</v>
      </c>
      <c r="C1228" s="160">
        <f t="shared" si="6"/>
        <v>3</v>
      </c>
      <c r="D1228" s="160">
        <f t="shared" si="7"/>
        <v>0.25</v>
      </c>
      <c r="E1228" s="206"/>
      <c r="F1228" s="206"/>
      <c r="G1228" s="206"/>
      <c r="H1228" s="206"/>
      <c r="I1228" s="206"/>
    </row>
    <row r="1229" spans="1:9" x14ac:dyDescent="0.35">
      <c r="A1229" s="160">
        <f t="shared" si="4"/>
        <v>0</v>
      </c>
      <c r="B1229" s="160">
        <f t="shared" si="5"/>
        <v>0</v>
      </c>
      <c r="C1229" s="160">
        <f t="shared" si="6"/>
        <v>0</v>
      </c>
      <c r="D1229" s="160">
        <f t="shared" si="7"/>
        <v>1</v>
      </c>
      <c r="E1229" s="206"/>
      <c r="F1229" s="206"/>
      <c r="G1229" s="206"/>
      <c r="H1229" s="206"/>
      <c r="I1229" s="206"/>
    </row>
    <row r="1230" spans="1:9" x14ac:dyDescent="0.35">
      <c r="A1230" s="160">
        <f t="shared" si="4"/>
        <v>2</v>
      </c>
      <c r="B1230" s="160">
        <f t="shared" si="5"/>
        <v>1</v>
      </c>
      <c r="C1230" s="160">
        <f t="shared" si="6"/>
        <v>3</v>
      </c>
      <c r="D1230" s="160">
        <f t="shared" si="7"/>
        <v>0.25</v>
      </c>
      <c r="E1230" s="206"/>
      <c r="F1230" s="206"/>
      <c r="G1230" s="206"/>
      <c r="H1230" s="206"/>
      <c r="I1230" s="206"/>
    </row>
    <row r="1231" spans="1:9" x14ac:dyDescent="0.35">
      <c r="A1231" s="160">
        <f t="shared" si="4"/>
        <v>1</v>
      </c>
      <c r="B1231" s="160">
        <f t="shared" si="5"/>
        <v>0</v>
      </c>
      <c r="C1231" s="160">
        <f t="shared" si="6"/>
        <v>1</v>
      </c>
      <c r="D1231" s="160">
        <f t="shared" si="7"/>
        <v>0.5</v>
      </c>
      <c r="E1231" s="206"/>
      <c r="F1231" s="206"/>
      <c r="G1231" s="206"/>
      <c r="H1231" s="206"/>
      <c r="I1231" s="206"/>
    </row>
    <row r="1232" spans="1:9" x14ac:dyDescent="0.35">
      <c r="A1232" s="160">
        <f t="shared" si="4"/>
        <v>4</v>
      </c>
      <c r="B1232" s="160">
        <f t="shared" si="5"/>
        <v>7</v>
      </c>
      <c r="C1232" s="160">
        <f t="shared" si="6"/>
        <v>11</v>
      </c>
      <c r="D1232" s="160">
        <f t="shared" si="7"/>
        <v>8.3333333333333329E-2</v>
      </c>
      <c r="E1232" s="206"/>
      <c r="F1232" s="206"/>
      <c r="G1232" s="206"/>
      <c r="H1232" s="206"/>
      <c r="I1232" s="206"/>
    </row>
    <row r="1233" spans="1:9" x14ac:dyDescent="0.35">
      <c r="A1233" s="160">
        <f t="shared" si="4"/>
        <v>3</v>
      </c>
      <c r="B1233" s="160">
        <f t="shared" si="5"/>
        <v>1</v>
      </c>
      <c r="C1233" s="160">
        <f t="shared" si="6"/>
        <v>4</v>
      </c>
      <c r="D1233" s="160">
        <f t="shared" si="7"/>
        <v>0.2</v>
      </c>
      <c r="E1233" s="206"/>
      <c r="F1233" s="206"/>
      <c r="G1233" s="206"/>
      <c r="H1233" s="206"/>
      <c r="I1233" s="206"/>
    </row>
    <row r="1234" spans="1:9" x14ac:dyDescent="0.35">
      <c r="A1234" s="160">
        <f t="shared" si="4"/>
        <v>1</v>
      </c>
      <c r="B1234" s="160">
        <f t="shared" si="5"/>
        <v>1</v>
      </c>
      <c r="C1234" s="160">
        <f t="shared" si="6"/>
        <v>2</v>
      </c>
      <c r="D1234" s="160">
        <f t="shared" si="7"/>
        <v>0.33333333333333331</v>
      </c>
      <c r="E1234" s="206"/>
      <c r="F1234" s="206"/>
      <c r="G1234" s="206"/>
      <c r="H1234" s="206"/>
      <c r="I1234" s="206"/>
    </row>
    <row r="1235" spans="1:9" x14ac:dyDescent="0.35">
      <c r="A1235" s="160">
        <f t="shared" si="4"/>
        <v>3</v>
      </c>
      <c r="B1235" s="160">
        <f t="shared" si="5"/>
        <v>1</v>
      </c>
      <c r="C1235" s="160">
        <f t="shared" si="6"/>
        <v>4</v>
      </c>
      <c r="D1235" s="160">
        <f t="shared" si="7"/>
        <v>0.2</v>
      </c>
      <c r="E1235" s="206"/>
      <c r="F1235" s="206"/>
      <c r="G1235" s="206"/>
      <c r="H1235" s="206"/>
      <c r="I1235" s="206"/>
    </row>
    <row r="1236" spans="1:9" x14ac:dyDescent="0.35">
      <c r="A1236" s="160">
        <f t="shared" si="4"/>
        <v>1</v>
      </c>
      <c r="B1236" s="160">
        <f t="shared" si="5"/>
        <v>0</v>
      </c>
      <c r="C1236" s="160">
        <f t="shared" si="6"/>
        <v>1</v>
      </c>
      <c r="D1236" s="160">
        <f t="shared" si="7"/>
        <v>0.5</v>
      </c>
      <c r="E1236" s="206"/>
      <c r="F1236" s="206"/>
      <c r="G1236" s="206"/>
      <c r="H1236" s="206"/>
      <c r="I1236" s="206"/>
    </row>
    <row r="1237" spans="1:9" x14ac:dyDescent="0.35">
      <c r="A1237" s="160">
        <f t="shared" si="4"/>
        <v>2</v>
      </c>
      <c r="B1237" s="160">
        <f t="shared" si="5"/>
        <v>3</v>
      </c>
      <c r="C1237" s="160">
        <f t="shared" si="6"/>
        <v>5</v>
      </c>
      <c r="D1237" s="160">
        <f t="shared" si="7"/>
        <v>0.16666666666666666</v>
      </c>
      <c r="E1237" s="206"/>
      <c r="F1237" s="206"/>
      <c r="G1237" s="206"/>
      <c r="H1237" s="206"/>
      <c r="I1237" s="206"/>
    </row>
    <row r="1238" spans="1:9" x14ac:dyDescent="0.35">
      <c r="A1238" s="160">
        <f t="shared" si="4"/>
        <v>2</v>
      </c>
      <c r="B1238" s="160">
        <f t="shared" si="5"/>
        <v>3</v>
      </c>
      <c r="C1238" s="160">
        <f t="shared" si="6"/>
        <v>5</v>
      </c>
      <c r="D1238" s="160">
        <f t="shared" si="7"/>
        <v>0.16666666666666666</v>
      </c>
      <c r="E1238" s="206"/>
      <c r="F1238" s="206"/>
      <c r="G1238" s="206"/>
      <c r="H1238" s="206"/>
      <c r="I1238" s="206"/>
    </row>
    <row r="1239" spans="1:9" x14ac:dyDescent="0.35">
      <c r="A1239" s="160">
        <f t="shared" si="4"/>
        <v>3</v>
      </c>
      <c r="B1239" s="160">
        <f t="shared" si="5"/>
        <v>3</v>
      </c>
      <c r="C1239" s="160">
        <f t="shared" si="6"/>
        <v>6</v>
      </c>
      <c r="D1239" s="160">
        <f t="shared" si="7"/>
        <v>0.14285714285714285</v>
      </c>
      <c r="E1239" s="206"/>
      <c r="F1239" s="206"/>
      <c r="G1239" s="206"/>
      <c r="H1239" s="206"/>
      <c r="I1239" s="206"/>
    </row>
    <row r="1240" spans="1:9" x14ac:dyDescent="0.35">
      <c r="A1240" s="160">
        <f t="shared" si="4"/>
        <v>4</v>
      </c>
      <c r="B1240" s="160">
        <f t="shared" si="5"/>
        <v>1</v>
      </c>
      <c r="C1240" s="160">
        <f t="shared" si="6"/>
        <v>5</v>
      </c>
      <c r="D1240" s="160">
        <f t="shared" si="7"/>
        <v>0.16666666666666666</v>
      </c>
      <c r="E1240" s="206"/>
      <c r="F1240" s="206"/>
      <c r="G1240" s="206"/>
      <c r="H1240" s="206"/>
      <c r="I1240" s="206"/>
    </row>
    <row r="1241" spans="1:9" x14ac:dyDescent="0.35">
      <c r="A1241" s="160">
        <f t="shared" si="4"/>
        <v>7</v>
      </c>
      <c r="B1241" s="160">
        <f t="shared" si="5"/>
        <v>0</v>
      </c>
      <c r="C1241" s="160">
        <f t="shared" si="6"/>
        <v>7</v>
      </c>
      <c r="D1241" s="160">
        <f t="shared" si="7"/>
        <v>0.125</v>
      </c>
      <c r="E1241" s="206"/>
      <c r="F1241" s="206"/>
      <c r="G1241" s="206"/>
      <c r="H1241" s="206"/>
      <c r="I1241" s="206"/>
    </row>
    <row r="1242" spans="1:9" x14ac:dyDescent="0.35">
      <c r="A1242" s="160">
        <f t="shared" si="4"/>
        <v>1</v>
      </c>
      <c r="B1242" s="160">
        <f t="shared" si="5"/>
        <v>1</v>
      </c>
      <c r="C1242" s="160">
        <f t="shared" si="6"/>
        <v>2</v>
      </c>
      <c r="D1242" s="160">
        <f t="shared" si="7"/>
        <v>0.33333333333333331</v>
      </c>
      <c r="E1242" s="206"/>
      <c r="F1242" s="206"/>
      <c r="G1242" s="206"/>
      <c r="H1242" s="206"/>
      <c r="I1242" s="206"/>
    </row>
    <row r="1243" spans="1:9" x14ac:dyDescent="0.35">
      <c r="A1243" s="160">
        <f t="shared" si="4"/>
        <v>4</v>
      </c>
      <c r="B1243" s="160">
        <f t="shared" si="5"/>
        <v>0</v>
      </c>
      <c r="C1243" s="160">
        <f t="shared" si="6"/>
        <v>4</v>
      </c>
      <c r="D1243" s="160">
        <f t="shared" si="7"/>
        <v>0.2</v>
      </c>
      <c r="E1243" s="206"/>
      <c r="F1243" s="206"/>
      <c r="G1243" s="206"/>
      <c r="H1243" s="206"/>
      <c r="I1243" s="206"/>
    </row>
    <row r="1244" spans="1:9" x14ac:dyDescent="0.35">
      <c r="A1244" s="160">
        <f t="shared" si="4"/>
        <v>1</v>
      </c>
      <c r="B1244" s="160">
        <f t="shared" si="5"/>
        <v>0</v>
      </c>
      <c r="C1244" s="160">
        <f t="shared" si="6"/>
        <v>1</v>
      </c>
      <c r="D1244" s="160">
        <f t="shared" si="7"/>
        <v>0.5</v>
      </c>
      <c r="E1244" s="206"/>
      <c r="F1244" s="206"/>
      <c r="G1244" s="206"/>
      <c r="H1244" s="206"/>
      <c r="I1244" s="206"/>
    </row>
    <row r="1245" spans="1:9" x14ac:dyDescent="0.35">
      <c r="A1245" s="160">
        <f t="shared" si="4"/>
        <v>1</v>
      </c>
      <c r="B1245" s="160">
        <f t="shared" si="5"/>
        <v>0</v>
      </c>
      <c r="C1245" s="160">
        <f t="shared" si="6"/>
        <v>1</v>
      </c>
      <c r="D1245" s="160">
        <f t="shared" si="7"/>
        <v>0.5</v>
      </c>
      <c r="E1245" s="206"/>
      <c r="F1245" s="206"/>
      <c r="G1245" s="206"/>
      <c r="H1245" s="206"/>
      <c r="I1245" s="206"/>
    </row>
    <row r="1246" spans="1:9" x14ac:dyDescent="0.35">
      <c r="A1246" s="160">
        <f t="shared" si="4"/>
        <v>3</v>
      </c>
      <c r="B1246" s="160">
        <f t="shared" si="5"/>
        <v>3</v>
      </c>
      <c r="C1246" s="160">
        <f t="shared" si="6"/>
        <v>6</v>
      </c>
      <c r="D1246" s="160">
        <f t="shared" si="7"/>
        <v>0.14285714285714285</v>
      </c>
      <c r="E1246" s="206"/>
      <c r="F1246" s="206"/>
      <c r="G1246" s="206"/>
      <c r="H1246" s="206"/>
      <c r="I1246" s="206"/>
    </row>
    <row r="1247" spans="1:9" x14ac:dyDescent="0.35">
      <c r="A1247" s="160">
        <f t="shared" si="4"/>
        <v>3</v>
      </c>
      <c r="B1247" s="160">
        <f t="shared" si="5"/>
        <v>2</v>
      </c>
      <c r="C1247" s="160">
        <f t="shared" si="6"/>
        <v>5</v>
      </c>
      <c r="D1247" s="160">
        <f t="shared" si="7"/>
        <v>0.16666666666666666</v>
      </c>
      <c r="E1247" s="206"/>
      <c r="F1247" s="206"/>
      <c r="G1247" s="206"/>
      <c r="H1247" s="206"/>
      <c r="I1247" s="206"/>
    </row>
    <row r="1248" spans="1:9" x14ac:dyDescent="0.35">
      <c r="A1248" s="160">
        <f t="shared" si="4"/>
        <v>4</v>
      </c>
      <c r="B1248" s="160">
        <f t="shared" si="5"/>
        <v>0</v>
      </c>
      <c r="C1248" s="160">
        <f t="shared" si="6"/>
        <v>4</v>
      </c>
      <c r="D1248" s="160">
        <f t="shared" si="7"/>
        <v>0.2</v>
      </c>
      <c r="E1248" s="206"/>
      <c r="F1248" s="206"/>
      <c r="G1248" s="206"/>
      <c r="H1248" s="206"/>
      <c r="I1248" s="206"/>
    </row>
    <row r="1249" spans="1:9" x14ac:dyDescent="0.35">
      <c r="A1249" s="160">
        <f t="shared" si="4"/>
        <v>2</v>
      </c>
      <c r="B1249" s="160">
        <f t="shared" si="5"/>
        <v>2</v>
      </c>
      <c r="C1249" s="160">
        <f t="shared" si="6"/>
        <v>4</v>
      </c>
      <c r="D1249" s="160">
        <f t="shared" si="7"/>
        <v>0.2</v>
      </c>
      <c r="E1249" s="206"/>
      <c r="F1249" s="206"/>
      <c r="G1249" s="206"/>
      <c r="H1249" s="206"/>
      <c r="I1249" s="206"/>
    </row>
    <row r="1250" spans="1:9" x14ac:dyDescent="0.35">
      <c r="A1250" s="160">
        <f t="shared" si="4"/>
        <v>4</v>
      </c>
      <c r="B1250" s="160">
        <f t="shared" si="5"/>
        <v>1</v>
      </c>
      <c r="C1250" s="160">
        <f t="shared" si="6"/>
        <v>5</v>
      </c>
      <c r="D1250" s="160">
        <f t="shared" si="7"/>
        <v>0.16666666666666666</v>
      </c>
      <c r="E1250" s="206"/>
      <c r="F1250" s="206"/>
      <c r="G1250" s="206"/>
      <c r="H1250" s="206"/>
      <c r="I1250" s="206"/>
    </row>
    <row r="1251" spans="1:9" x14ac:dyDescent="0.35">
      <c r="A1251" s="160">
        <f t="shared" ref="A1251:A1314" si="8">SUMPRODUCT(($R$4:$R$1115=R133)*($Q$4:$Q$1115=Q133)*(ROW($R$4:$R$1115)&gt;ROW(R133)))</f>
        <v>1</v>
      </c>
      <c r="B1251" s="160">
        <f t="shared" ref="B1251:B1314" si="9">SUMPRODUCT(($K$4:$K$1115=K133)*($Q$4:$Q$1115=Q133)*(ROW($K$4:$K$1115)&gt;ROW(K133)))</f>
        <v>1</v>
      </c>
      <c r="C1251" s="160">
        <f t="shared" ref="C1251:C1314" si="10">SUM(A1251:B1251)</f>
        <v>2</v>
      </c>
      <c r="D1251" s="160">
        <f t="shared" ref="D1251:D1314" si="11">1/(1+C1251)</f>
        <v>0.33333333333333331</v>
      </c>
      <c r="E1251" s="206"/>
      <c r="F1251" s="206"/>
      <c r="G1251" s="206"/>
      <c r="H1251" s="206"/>
      <c r="I1251" s="206"/>
    </row>
    <row r="1252" spans="1:9" x14ac:dyDescent="0.35">
      <c r="A1252" s="160">
        <f t="shared" si="8"/>
        <v>2</v>
      </c>
      <c r="B1252" s="160">
        <f t="shared" si="9"/>
        <v>0</v>
      </c>
      <c r="C1252" s="160">
        <f t="shared" si="10"/>
        <v>2</v>
      </c>
      <c r="D1252" s="160">
        <f t="shared" si="11"/>
        <v>0.33333333333333331</v>
      </c>
      <c r="E1252" s="206"/>
      <c r="F1252" s="206"/>
      <c r="G1252" s="206"/>
      <c r="H1252" s="206"/>
      <c r="I1252" s="206"/>
    </row>
    <row r="1253" spans="1:9" x14ac:dyDescent="0.35">
      <c r="A1253" s="160">
        <f t="shared" si="8"/>
        <v>10</v>
      </c>
      <c r="B1253" s="160">
        <f t="shared" si="9"/>
        <v>2</v>
      </c>
      <c r="C1253" s="160">
        <f t="shared" si="10"/>
        <v>12</v>
      </c>
      <c r="D1253" s="160">
        <f t="shared" si="11"/>
        <v>7.6923076923076927E-2</v>
      </c>
      <c r="E1253" s="206"/>
      <c r="F1253" s="206"/>
      <c r="G1253" s="206"/>
      <c r="H1253" s="206"/>
      <c r="I1253" s="206"/>
    </row>
    <row r="1254" spans="1:9" x14ac:dyDescent="0.35">
      <c r="A1254" s="160">
        <f t="shared" si="8"/>
        <v>0</v>
      </c>
      <c r="B1254" s="160">
        <f t="shared" si="9"/>
        <v>0</v>
      </c>
      <c r="C1254" s="160">
        <f t="shared" si="10"/>
        <v>0</v>
      </c>
      <c r="D1254" s="160">
        <f t="shared" si="11"/>
        <v>1</v>
      </c>
      <c r="E1254" s="206"/>
      <c r="F1254" s="206"/>
      <c r="G1254" s="206"/>
      <c r="H1254" s="206"/>
      <c r="I1254" s="206"/>
    </row>
    <row r="1255" spans="1:9" x14ac:dyDescent="0.35">
      <c r="A1255" s="160">
        <f t="shared" si="8"/>
        <v>0</v>
      </c>
      <c r="B1255" s="160">
        <f t="shared" si="9"/>
        <v>0</v>
      </c>
      <c r="C1255" s="160">
        <f t="shared" si="10"/>
        <v>0</v>
      </c>
      <c r="D1255" s="160">
        <f t="shared" si="11"/>
        <v>1</v>
      </c>
      <c r="E1255" s="206"/>
      <c r="F1255" s="206"/>
      <c r="G1255" s="206"/>
      <c r="H1255" s="206"/>
      <c r="I1255" s="206"/>
    </row>
    <row r="1256" spans="1:9" x14ac:dyDescent="0.35">
      <c r="A1256" s="160">
        <f t="shared" si="8"/>
        <v>2</v>
      </c>
      <c r="B1256" s="160">
        <f t="shared" si="9"/>
        <v>1</v>
      </c>
      <c r="C1256" s="160">
        <f t="shared" si="10"/>
        <v>3</v>
      </c>
      <c r="D1256" s="160">
        <f t="shared" si="11"/>
        <v>0.25</v>
      </c>
      <c r="E1256" s="206"/>
      <c r="F1256" s="206"/>
      <c r="G1256" s="206"/>
      <c r="H1256" s="206"/>
      <c r="I1256" s="206"/>
    </row>
    <row r="1257" spans="1:9" x14ac:dyDescent="0.35">
      <c r="A1257" s="160">
        <f t="shared" si="8"/>
        <v>2</v>
      </c>
      <c r="B1257" s="160">
        <f t="shared" si="9"/>
        <v>0</v>
      </c>
      <c r="C1257" s="160">
        <f t="shared" si="10"/>
        <v>2</v>
      </c>
      <c r="D1257" s="160">
        <f t="shared" si="11"/>
        <v>0.33333333333333331</v>
      </c>
      <c r="E1257" s="206"/>
      <c r="F1257" s="206"/>
      <c r="G1257" s="206"/>
      <c r="H1257" s="206"/>
      <c r="I1257" s="206"/>
    </row>
    <row r="1258" spans="1:9" x14ac:dyDescent="0.35">
      <c r="A1258" s="160">
        <f t="shared" si="8"/>
        <v>5</v>
      </c>
      <c r="B1258" s="160">
        <f t="shared" si="9"/>
        <v>2</v>
      </c>
      <c r="C1258" s="160">
        <f t="shared" si="10"/>
        <v>7</v>
      </c>
      <c r="D1258" s="160">
        <f t="shared" si="11"/>
        <v>0.125</v>
      </c>
      <c r="E1258" s="206"/>
      <c r="F1258" s="206"/>
      <c r="G1258" s="206"/>
      <c r="H1258" s="206"/>
      <c r="I1258" s="206"/>
    </row>
    <row r="1259" spans="1:9" x14ac:dyDescent="0.35">
      <c r="A1259" s="160">
        <f t="shared" si="8"/>
        <v>0</v>
      </c>
      <c r="B1259" s="160">
        <f t="shared" si="9"/>
        <v>0</v>
      </c>
      <c r="C1259" s="160">
        <f t="shared" si="10"/>
        <v>0</v>
      </c>
      <c r="D1259" s="160">
        <f t="shared" si="11"/>
        <v>1</v>
      </c>
      <c r="E1259" s="206"/>
      <c r="F1259" s="206"/>
      <c r="G1259" s="206"/>
      <c r="H1259" s="206"/>
      <c r="I1259" s="206"/>
    </row>
    <row r="1260" spans="1:9" x14ac:dyDescent="0.35">
      <c r="A1260" s="160">
        <f t="shared" si="8"/>
        <v>1</v>
      </c>
      <c r="B1260" s="160">
        <f t="shared" si="9"/>
        <v>0</v>
      </c>
      <c r="C1260" s="160">
        <f t="shared" si="10"/>
        <v>1</v>
      </c>
      <c r="D1260" s="160">
        <f t="shared" si="11"/>
        <v>0.5</v>
      </c>
      <c r="E1260" s="206"/>
      <c r="F1260" s="206"/>
      <c r="G1260" s="206"/>
      <c r="H1260" s="206"/>
      <c r="I1260" s="206"/>
    </row>
    <row r="1261" spans="1:9" x14ac:dyDescent="0.35">
      <c r="A1261" s="160">
        <f t="shared" si="8"/>
        <v>1</v>
      </c>
      <c r="B1261" s="160">
        <f t="shared" si="9"/>
        <v>2</v>
      </c>
      <c r="C1261" s="160">
        <f t="shared" si="10"/>
        <v>3</v>
      </c>
      <c r="D1261" s="160">
        <f t="shared" si="11"/>
        <v>0.25</v>
      </c>
      <c r="E1261" s="206"/>
      <c r="F1261" s="206"/>
      <c r="G1261" s="206"/>
      <c r="H1261" s="206"/>
      <c r="I1261" s="206"/>
    </row>
    <row r="1262" spans="1:9" x14ac:dyDescent="0.35">
      <c r="A1262" s="160">
        <f t="shared" si="8"/>
        <v>0</v>
      </c>
      <c r="B1262" s="160">
        <f t="shared" si="9"/>
        <v>1</v>
      </c>
      <c r="C1262" s="160">
        <f t="shared" si="10"/>
        <v>1</v>
      </c>
      <c r="D1262" s="160">
        <f t="shared" si="11"/>
        <v>0.5</v>
      </c>
      <c r="E1262" s="206"/>
      <c r="F1262" s="206"/>
      <c r="G1262" s="206"/>
      <c r="H1262" s="206"/>
      <c r="I1262" s="206"/>
    </row>
    <row r="1263" spans="1:9" x14ac:dyDescent="0.35">
      <c r="A1263" s="160">
        <f t="shared" si="8"/>
        <v>2</v>
      </c>
      <c r="B1263" s="160">
        <f t="shared" si="9"/>
        <v>4</v>
      </c>
      <c r="C1263" s="160">
        <f t="shared" si="10"/>
        <v>6</v>
      </c>
      <c r="D1263" s="160">
        <f t="shared" si="11"/>
        <v>0.14285714285714285</v>
      </c>
      <c r="E1263" s="206"/>
      <c r="F1263" s="206"/>
      <c r="G1263" s="206"/>
      <c r="H1263" s="206"/>
      <c r="I1263" s="206"/>
    </row>
    <row r="1264" spans="1:9" x14ac:dyDescent="0.35">
      <c r="A1264" s="160">
        <f t="shared" si="8"/>
        <v>0</v>
      </c>
      <c r="B1264" s="160">
        <f t="shared" si="9"/>
        <v>0</v>
      </c>
      <c r="C1264" s="160">
        <f t="shared" si="10"/>
        <v>0</v>
      </c>
      <c r="D1264" s="160">
        <f t="shared" si="11"/>
        <v>1</v>
      </c>
      <c r="E1264" s="206"/>
      <c r="F1264" s="206"/>
      <c r="G1264" s="206"/>
      <c r="H1264" s="206"/>
      <c r="I1264" s="206"/>
    </row>
    <row r="1265" spans="1:9" x14ac:dyDescent="0.35">
      <c r="A1265" s="160">
        <f t="shared" si="8"/>
        <v>2</v>
      </c>
      <c r="B1265" s="160">
        <f t="shared" si="9"/>
        <v>2</v>
      </c>
      <c r="C1265" s="160">
        <f t="shared" si="10"/>
        <v>4</v>
      </c>
      <c r="D1265" s="160">
        <f t="shared" si="11"/>
        <v>0.2</v>
      </c>
      <c r="E1265" s="206"/>
      <c r="F1265" s="206"/>
      <c r="G1265" s="206"/>
      <c r="H1265" s="206"/>
      <c r="I1265" s="206"/>
    </row>
    <row r="1266" spans="1:9" x14ac:dyDescent="0.35">
      <c r="A1266" s="160">
        <f t="shared" si="8"/>
        <v>7</v>
      </c>
      <c r="B1266" s="160">
        <f t="shared" si="9"/>
        <v>2</v>
      </c>
      <c r="C1266" s="160">
        <f t="shared" si="10"/>
        <v>9</v>
      </c>
      <c r="D1266" s="160">
        <f t="shared" si="11"/>
        <v>0.1</v>
      </c>
      <c r="E1266" s="206"/>
      <c r="F1266" s="206"/>
      <c r="G1266" s="206"/>
      <c r="H1266" s="206"/>
      <c r="I1266" s="206"/>
    </row>
    <row r="1267" spans="1:9" x14ac:dyDescent="0.35">
      <c r="A1267" s="160">
        <f t="shared" si="8"/>
        <v>6</v>
      </c>
      <c r="B1267" s="160">
        <f t="shared" si="9"/>
        <v>2</v>
      </c>
      <c r="C1267" s="160">
        <f t="shared" si="10"/>
        <v>8</v>
      </c>
      <c r="D1267" s="160">
        <f t="shared" si="11"/>
        <v>0.1111111111111111</v>
      </c>
      <c r="E1267" s="206"/>
      <c r="F1267" s="206"/>
      <c r="G1267" s="206"/>
      <c r="H1267" s="206"/>
      <c r="I1267" s="206"/>
    </row>
    <row r="1268" spans="1:9" x14ac:dyDescent="0.35">
      <c r="A1268" s="160">
        <f t="shared" si="8"/>
        <v>2</v>
      </c>
      <c r="B1268" s="160">
        <f t="shared" si="9"/>
        <v>0</v>
      </c>
      <c r="C1268" s="160">
        <f t="shared" si="10"/>
        <v>2</v>
      </c>
      <c r="D1268" s="160">
        <f t="shared" si="11"/>
        <v>0.33333333333333331</v>
      </c>
      <c r="E1268" s="206"/>
      <c r="F1268" s="206"/>
      <c r="G1268" s="206"/>
      <c r="H1268" s="206"/>
      <c r="I1268" s="206"/>
    </row>
    <row r="1269" spans="1:9" x14ac:dyDescent="0.35">
      <c r="A1269" s="160">
        <f t="shared" si="8"/>
        <v>3</v>
      </c>
      <c r="B1269" s="160">
        <f t="shared" si="9"/>
        <v>1</v>
      </c>
      <c r="C1269" s="160">
        <f t="shared" si="10"/>
        <v>4</v>
      </c>
      <c r="D1269" s="160">
        <f t="shared" si="11"/>
        <v>0.2</v>
      </c>
      <c r="E1269" s="206"/>
      <c r="F1269" s="206"/>
      <c r="G1269" s="206"/>
      <c r="H1269" s="206"/>
      <c r="I1269" s="206"/>
    </row>
    <row r="1270" spans="1:9" x14ac:dyDescent="0.35">
      <c r="A1270" s="160">
        <f t="shared" si="8"/>
        <v>1</v>
      </c>
      <c r="B1270" s="160">
        <f t="shared" si="9"/>
        <v>2</v>
      </c>
      <c r="C1270" s="160">
        <f t="shared" si="10"/>
        <v>3</v>
      </c>
      <c r="D1270" s="160">
        <f t="shared" si="11"/>
        <v>0.25</v>
      </c>
      <c r="E1270" s="206"/>
      <c r="F1270" s="206"/>
      <c r="G1270" s="206"/>
      <c r="H1270" s="206"/>
      <c r="I1270" s="206"/>
    </row>
    <row r="1271" spans="1:9" x14ac:dyDescent="0.35">
      <c r="A1271" s="160">
        <f t="shared" si="8"/>
        <v>4</v>
      </c>
      <c r="B1271" s="160">
        <f t="shared" si="9"/>
        <v>1</v>
      </c>
      <c r="C1271" s="160">
        <f t="shared" si="10"/>
        <v>5</v>
      </c>
      <c r="D1271" s="160">
        <f t="shared" si="11"/>
        <v>0.16666666666666666</v>
      </c>
      <c r="E1271" s="206"/>
      <c r="F1271" s="206"/>
      <c r="G1271" s="206"/>
      <c r="H1271" s="206"/>
      <c r="I1271" s="206"/>
    </row>
    <row r="1272" spans="1:9" x14ac:dyDescent="0.35">
      <c r="A1272" s="160">
        <f t="shared" si="8"/>
        <v>0</v>
      </c>
      <c r="B1272" s="160">
        <f t="shared" si="9"/>
        <v>0</v>
      </c>
      <c r="C1272" s="160">
        <f t="shared" si="10"/>
        <v>0</v>
      </c>
      <c r="D1272" s="160">
        <f t="shared" si="11"/>
        <v>1</v>
      </c>
      <c r="E1272" s="206"/>
      <c r="F1272" s="206"/>
      <c r="G1272" s="206"/>
      <c r="H1272" s="206"/>
      <c r="I1272" s="206"/>
    </row>
    <row r="1273" spans="1:9" x14ac:dyDescent="0.35">
      <c r="A1273" s="160">
        <f t="shared" si="8"/>
        <v>1</v>
      </c>
      <c r="B1273" s="160">
        <f t="shared" si="9"/>
        <v>0</v>
      </c>
      <c r="C1273" s="160">
        <f t="shared" si="10"/>
        <v>1</v>
      </c>
      <c r="D1273" s="160">
        <f t="shared" si="11"/>
        <v>0.5</v>
      </c>
      <c r="E1273" s="206"/>
      <c r="F1273" s="206"/>
      <c r="G1273" s="206"/>
      <c r="H1273" s="206"/>
      <c r="I1273" s="206"/>
    </row>
    <row r="1274" spans="1:9" x14ac:dyDescent="0.35">
      <c r="A1274" s="160">
        <f t="shared" si="8"/>
        <v>4</v>
      </c>
      <c r="B1274" s="160">
        <f t="shared" si="9"/>
        <v>3</v>
      </c>
      <c r="C1274" s="160">
        <f t="shared" si="10"/>
        <v>7</v>
      </c>
      <c r="D1274" s="160">
        <f t="shared" si="11"/>
        <v>0.125</v>
      </c>
      <c r="E1274" s="206"/>
      <c r="F1274" s="206"/>
      <c r="G1274" s="206"/>
      <c r="H1274" s="206"/>
      <c r="I1274" s="206"/>
    </row>
    <row r="1275" spans="1:9" x14ac:dyDescent="0.35">
      <c r="A1275" s="160">
        <f t="shared" si="8"/>
        <v>2</v>
      </c>
      <c r="B1275" s="160">
        <f t="shared" si="9"/>
        <v>0</v>
      </c>
      <c r="C1275" s="160">
        <f t="shared" si="10"/>
        <v>2</v>
      </c>
      <c r="D1275" s="160">
        <f t="shared" si="11"/>
        <v>0.33333333333333331</v>
      </c>
      <c r="E1275" s="206"/>
      <c r="F1275" s="206"/>
      <c r="G1275" s="206"/>
      <c r="H1275" s="206"/>
      <c r="I1275" s="206"/>
    </row>
    <row r="1276" spans="1:9" x14ac:dyDescent="0.35">
      <c r="A1276" s="160">
        <f t="shared" si="8"/>
        <v>2</v>
      </c>
      <c r="B1276" s="160">
        <f t="shared" si="9"/>
        <v>1</v>
      </c>
      <c r="C1276" s="160">
        <f t="shared" si="10"/>
        <v>3</v>
      </c>
      <c r="D1276" s="160">
        <f t="shared" si="11"/>
        <v>0.25</v>
      </c>
      <c r="E1276" s="206"/>
      <c r="F1276" s="206"/>
      <c r="G1276" s="206"/>
      <c r="H1276" s="206"/>
      <c r="I1276" s="206"/>
    </row>
    <row r="1277" spans="1:9" x14ac:dyDescent="0.35">
      <c r="A1277" s="160">
        <f t="shared" si="8"/>
        <v>1</v>
      </c>
      <c r="B1277" s="160">
        <f t="shared" si="9"/>
        <v>0</v>
      </c>
      <c r="C1277" s="160">
        <f t="shared" si="10"/>
        <v>1</v>
      </c>
      <c r="D1277" s="160">
        <f t="shared" si="11"/>
        <v>0.5</v>
      </c>
      <c r="E1277" s="206"/>
      <c r="F1277" s="206"/>
      <c r="G1277" s="206"/>
      <c r="H1277" s="206"/>
      <c r="I1277" s="206"/>
    </row>
    <row r="1278" spans="1:9" x14ac:dyDescent="0.35">
      <c r="A1278" s="160">
        <f t="shared" si="8"/>
        <v>1</v>
      </c>
      <c r="B1278" s="160">
        <f t="shared" si="9"/>
        <v>0</v>
      </c>
      <c r="C1278" s="160">
        <f t="shared" si="10"/>
        <v>1</v>
      </c>
      <c r="D1278" s="160">
        <f t="shared" si="11"/>
        <v>0.5</v>
      </c>
      <c r="E1278" s="206"/>
      <c r="F1278" s="206"/>
      <c r="G1278" s="206"/>
      <c r="H1278" s="206"/>
      <c r="I1278" s="206"/>
    </row>
    <row r="1279" spans="1:9" x14ac:dyDescent="0.35">
      <c r="A1279" s="160">
        <f t="shared" si="8"/>
        <v>1</v>
      </c>
      <c r="B1279" s="160">
        <f t="shared" si="9"/>
        <v>0</v>
      </c>
      <c r="C1279" s="160">
        <f t="shared" si="10"/>
        <v>1</v>
      </c>
      <c r="D1279" s="160">
        <f t="shared" si="11"/>
        <v>0.5</v>
      </c>
      <c r="E1279" s="206"/>
      <c r="F1279" s="206"/>
      <c r="G1279" s="206"/>
      <c r="H1279" s="206"/>
      <c r="I1279" s="206"/>
    </row>
    <row r="1280" spans="1:9" x14ac:dyDescent="0.35">
      <c r="A1280" s="160">
        <f t="shared" si="8"/>
        <v>1</v>
      </c>
      <c r="B1280" s="160">
        <f t="shared" si="9"/>
        <v>1</v>
      </c>
      <c r="C1280" s="160">
        <f t="shared" si="10"/>
        <v>2</v>
      </c>
      <c r="D1280" s="160">
        <f t="shared" si="11"/>
        <v>0.33333333333333331</v>
      </c>
      <c r="E1280" s="206"/>
      <c r="F1280" s="206"/>
      <c r="G1280" s="206"/>
      <c r="H1280" s="206"/>
      <c r="I1280" s="206"/>
    </row>
    <row r="1281" spans="1:9" x14ac:dyDescent="0.35">
      <c r="A1281" s="160">
        <f t="shared" si="8"/>
        <v>5</v>
      </c>
      <c r="B1281" s="160">
        <f t="shared" si="9"/>
        <v>4</v>
      </c>
      <c r="C1281" s="160">
        <f t="shared" si="10"/>
        <v>9</v>
      </c>
      <c r="D1281" s="160">
        <f t="shared" si="11"/>
        <v>0.1</v>
      </c>
      <c r="E1281" s="206"/>
      <c r="F1281" s="206"/>
      <c r="G1281" s="206"/>
      <c r="H1281" s="206"/>
      <c r="I1281" s="206"/>
    </row>
    <row r="1282" spans="1:9" x14ac:dyDescent="0.35">
      <c r="A1282" s="160">
        <f t="shared" si="8"/>
        <v>1</v>
      </c>
      <c r="B1282" s="160">
        <f t="shared" si="9"/>
        <v>0</v>
      </c>
      <c r="C1282" s="160">
        <f t="shared" si="10"/>
        <v>1</v>
      </c>
      <c r="D1282" s="160">
        <f t="shared" si="11"/>
        <v>0.5</v>
      </c>
      <c r="E1282" s="206"/>
      <c r="F1282" s="206"/>
      <c r="G1282" s="206"/>
      <c r="H1282" s="206"/>
      <c r="I1282" s="206"/>
    </row>
    <row r="1283" spans="1:9" x14ac:dyDescent="0.35">
      <c r="A1283" s="160">
        <f t="shared" si="8"/>
        <v>5</v>
      </c>
      <c r="B1283" s="160">
        <f t="shared" si="9"/>
        <v>2</v>
      </c>
      <c r="C1283" s="160">
        <f t="shared" si="10"/>
        <v>7</v>
      </c>
      <c r="D1283" s="160">
        <f t="shared" si="11"/>
        <v>0.125</v>
      </c>
      <c r="E1283" s="206"/>
      <c r="F1283" s="206"/>
      <c r="G1283" s="206"/>
      <c r="H1283" s="206"/>
      <c r="I1283" s="206"/>
    </row>
    <row r="1284" spans="1:9" x14ac:dyDescent="0.35">
      <c r="A1284" s="160">
        <f t="shared" si="8"/>
        <v>1</v>
      </c>
      <c r="B1284" s="160">
        <f t="shared" si="9"/>
        <v>4</v>
      </c>
      <c r="C1284" s="160">
        <f t="shared" si="10"/>
        <v>5</v>
      </c>
      <c r="D1284" s="160">
        <f t="shared" si="11"/>
        <v>0.16666666666666666</v>
      </c>
      <c r="E1284" s="206"/>
      <c r="F1284" s="206"/>
      <c r="G1284" s="206"/>
      <c r="H1284" s="206"/>
      <c r="I1284" s="206"/>
    </row>
    <row r="1285" spans="1:9" x14ac:dyDescent="0.35">
      <c r="A1285" s="160">
        <f t="shared" si="8"/>
        <v>7</v>
      </c>
      <c r="B1285" s="160">
        <f t="shared" si="9"/>
        <v>1</v>
      </c>
      <c r="C1285" s="160">
        <f t="shared" si="10"/>
        <v>8</v>
      </c>
      <c r="D1285" s="160">
        <f t="shared" si="11"/>
        <v>0.1111111111111111</v>
      </c>
      <c r="E1285" s="206"/>
      <c r="F1285" s="206"/>
      <c r="G1285" s="206"/>
      <c r="H1285" s="206"/>
      <c r="I1285" s="206"/>
    </row>
    <row r="1286" spans="1:9" x14ac:dyDescent="0.35">
      <c r="A1286" s="160">
        <f t="shared" si="8"/>
        <v>0</v>
      </c>
      <c r="B1286" s="160">
        <f t="shared" si="9"/>
        <v>2</v>
      </c>
      <c r="C1286" s="160">
        <f t="shared" si="10"/>
        <v>2</v>
      </c>
      <c r="D1286" s="160">
        <f t="shared" si="11"/>
        <v>0.33333333333333331</v>
      </c>
      <c r="E1286" s="206"/>
      <c r="F1286" s="206"/>
      <c r="G1286" s="206"/>
      <c r="H1286" s="206"/>
      <c r="I1286" s="206"/>
    </row>
    <row r="1287" spans="1:9" x14ac:dyDescent="0.35">
      <c r="A1287" s="160">
        <f t="shared" si="8"/>
        <v>1</v>
      </c>
      <c r="B1287" s="160">
        <f t="shared" si="9"/>
        <v>0</v>
      </c>
      <c r="C1287" s="160">
        <f t="shared" si="10"/>
        <v>1</v>
      </c>
      <c r="D1287" s="160">
        <f t="shared" si="11"/>
        <v>0.5</v>
      </c>
      <c r="E1287" s="206"/>
      <c r="F1287" s="206"/>
      <c r="G1287" s="206"/>
      <c r="H1287" s="206"/>
      <c r="I1287" s="206"/>
    </row>
    <row r="1288" spans="1:9" x14ac:dyDescent="0.35">
      <c r="A1288" s="160">
        <f t="shared" si="8"/>
        <v>1</v>
      </c>
      <c r="B1288" s="160">
        <f t="shared" si="9"/>
        <v>0</v>
      </c>
      <c r="C1288" s="160">
        <f t="shared" si="10"/>
        <v>1</v>
      </c>
      <c r="D1288" s="160">
        <f t="shared" si="11"/>
        <v>0.5</v>
      </c>
      <c r="E1288" s="206"/>
      <c r="F1288" s="206"/>
      <c r="G1288" s="206"/>
      <c r="H1288" s="206"/>
      <c r="I1288" s="206"/>
    </row>
    <row r="1289" spans="1:9" x14ac:dyDescent="0.35">
      <c r="A1289" s="160">
        <f t="shared" si="8"/>
        <v>0</v>
      </c>
      <c r="B1289" s="160">
        <f t="shared" si="9"/>
        <v>0</v>
      </c>
      <c r="C1289" s="160">
        <f t="shared" si="10"/>
        <v>0</v>
      </c>
      <c r="D1289" s="160">
        <f t="shared" si="11"/>
        <v>1</v>
      </c>
      <c r="E1289" s="206"/>
      <c r="F1289" s="206"/>
      <c r="G1289" s="206"/>
      <c r="H1289" s="206"/>
      <c r="I1289" s="206"/>
    </row>
    <row r="1290" spans="1:9" x14ac:dyDescent="0.35">
      <c r="A1290" s="160">
        <f t="shared" si="8"/>
        <v>2</v>
      </c>
      <c r="B1290" s="160">
        <f t="shared" si="9"/>
        <v>2</v>
      </c>
      <c r="C1290" s="160">
        <f t="shared" si="10"/>
        <v>4</v>
      </c>
      <c r="D1290" s="160">
        <f t="shared" si="11"/>
        <v>0.2</v>
      </c>
      <c r="E1290" s="206"/>
      <c r="F1290" s="206"/>
      <c r="G1290" s="206"/>
      <c r="H1290" s="206"/>
      <c r="I1290" s="206"/>
    </row>
    <row r="1291" spans="1:9" x14ac:dyDescent="0.35">
      <c r="A1291" s="160">
        <f t="shared" si="8"/>
        <v>0</v>
      </c>
      <c r="B1291" s="160">
        <f t="shared" si="9"/>
        <v>2</v>
      </c>
      <c r="C1291" s="160">
        <f t="shared" si="10"/>
        <v>2</v>
      </c>
      <c r="D1291" s="160">
        <f t="shared" si="11"/>
        <v>0.33333333333333331</v>
      </c>
      <c r="E1291" s="206"/>
      <c r="F1291" s="206"/>
      <c r="G1291" s="206"/>
      <c r="H1291" s="206"/>
      <c r="I1291" s="206"/>
    </row>
    <row r="1292" spans="1:9" x14ac:dyDescent="0.35">
      <c r="A1292" s="160">
        <f t="shared" si="8"/>
        <v>0</v>
      </c>
      <c r="B1292" s="160">
        <f t="shared" si="9"/>
        <v>2</v>
      </c>
      <c r="C1292" s="160">
        <f t="shared" si="10"/>
        <v>2</v>
      </c>
      <c r="D1292" s="160">
        <f t="shared" si="11"/>
        <v>0.33333333333333331</v>
      </c>
      <c r="E1292" s="206"/>
      <c r="F1292" s="206"/>
      <c r="G1292" s="206"/>
      <c r="H1292" s="206"/>
      <c r="I1292" s="206"/>
    </row>
    <row r="1293" spans="1:9" x14ac:dyDescent="0.35">
      <c r="A1293" s="160">
        <f t="shared" si="8"/>
        <v>0</v>
      </c>
      <c r="B1293" s="160">
        <f t="shared" si="9"/>
        <v>1</v>
      </c>
      <c r="C1293" s="160">
        <f t="shared" si="10"/>
        <v>1</v>
      </c>
      <c r="D1293" s="160">
        <f t="shared" si="11"/>
        <v>0.5</v>
      </c>
      <c r="E1293" s="206"/>
      <c r="F1293" s="206"/>
      <c r="G1293" s="206"/>
      <c r="H1293" s="206"/>
      <c r="I1293" s="206"/>
    </row>
    <row r="1294" spans="1:9" x14ac:dyDescent="0.35">
      <c r="A1294" s="160">
        <f t="shared" si="8"/>
        <v>0</v>
      </c>
      <c r="B1294" s="160">
        <f t="shared" si="9"/>
        <v>0</v>
      </c>
      <c r="C1294" s="160">
        <f t="shared" si="10"/>
        <v>0</v>
      </c>
      <c r="D1294" s="160">
        <f t="shared" si="11"/>
        <v>1</v>
      </c>
      <c r="E1294" s="206"/>
      <c r="F1294" s="206"/>
      <c r="G1294" s="206"/>
      <c r="H1294" s="206"/>
      <c r="I1294" s="206"/>
    </row>
    <row r="1295" spans="1:9" x14ac:dyDescent="0.35">
      <c r="A1295" s="160">
        <f t="shared" si="8"/>
        <v>2</v>
      </c>
      <c r="B1295" s="160">
        <f t="shared" si="9"/>
        <v>0</v>
      </c>
      <c r="C1295" s="160">
        <f t="shared" si="10"/>
        <v>2</v>
      </c>
      <c r="D1295" s="160">
        <f t="shared" si="11"/>
        <v>0.33333333333333331</v>
      </c>
      <c r="E1295" s="206"/>
      <c r="F1295" s="206"/>
      <c r="G1295" s="206"/>
      <c r="H1295" s="206"/>
      <c r="I1295" s="206"/>
    </row>
    <row r="1296" spans="1:9" x14ac:dyDescent="0.35">
      <c r="A1296" s="160">
        <f t="shared" si="8"/>
        <v>4</v>
      </c>
      <c r="B1296" s="160">
        <f t="shared" si="9"/>
        <v>0</v>
      </c>
      <c r="C1296" s="160">
        <f t="shared" si="10"/>
        <v>4</v>
      </c>
      <c r="D1296" s="160">
        <f t="shared" si="11"/>
        <v>0.2</v>
      </c>
      <c r="E1296" s="206"/>
      <c r="F1296" s="206"/>
      <c r="G1296" s="206"/>
      <c r="H1296" s="206"/>
      <c r="I1296" s="206"/>
    </row>
    <row r="1297" spans="1:9" x14ac:dyDescent="0.35">
      <c r="A1297" s="160">
        <f t="shared" si="8"/>
        <v>1</v>
      </c>
      <c r="B1297" s="160">
        <f t="shared" si="9"/>
        <v>1</v>
      </c>
      <c r="C1297" s="160">
        <f t="shared" si="10"/>
        <v>2</v>
      </c>
      <c r="D1297" s="160">
        <f t="shared" si="11"/>
        <v>0.33333333333333331</v>
      </c>
      <c r="E1297" s="206"/>
      <c r="F1297" s="206"/>
      <c r="G1297" s="206"/>
      <c r="H1297" s="206"/>
      <c r="I1297" s="206"/>
    </row>
    <row r="1298" spans="1:9" x14ac:dyDescent="0.35">
      <c r="A1298" s="160">
        <f t="shared" si="8"/>
        <v>0</v>
      </c>
      <c r="B1298" s="160">
        <f t="shared" si="9"/>
        <v>2</v>
      </c>
      <c r="C1298" s="160">
        <f t="shared" si="10"/>
        <v>2</v>
      </c>
      <c r="D1298" s="160">
        <f t="shared" si="11"/>
        <v>0.33333333333333331</v>
      </c>
      <c r="E1298" s="206"/>
      <c r="F1298" s="206"/>
      <c r="G1298" s="206"/>
      <c r="H1298" s="206"/>
      <c r="I1298" s="206"/>
    </row>
    <row r="1299" spans="1:9" x14ac:dyDescent="0.35">
      <c r="A1299" s="160">
        <f t="shared" si="8"/>
        <v>6</v>
      </c>
      <c r="B1299" s="160">
        <f t="shared" si="9"/>
        <v>1</v>
      </c>
      <c r="C1299" s="160">
        <f t="shared" si="10"/>
        <v>7</v>
      </c>
      <c r="D1299" s="160">
        <f t="shared" si="11"/>
        <v>0.125</v>
      </c>
      <c r="E1299" s="206"/>
      <c r="F1299" s="206"/>
      <c r="G1299" s="206"/>
      <c r="H1299" s="206"/>
      <c r="I1299" s="206"/>
    </row>
    <row r="1300" spans="1:9" x14ac:dyDescent="0.35">
      <c r="A1300" s="160">
        <f t="shared" si="8"/>
        <v>0</v>
      </c>
      <c r="B1300" s="160">
        <f t="shared" si="9"/>
        <v>0</v>
      </c>
      <c r="C1300" s="160">
        <f t="shared" si="10"/>
        <v>0</v>
      </c>
      <c r="D1300" s="160">
        <f t="shared" si="11"/>
        <v>1</v>
      </c>
      <c r="E1300" s="206"/>
      <c r="F1300" s="206"/>
      <c r="G1300" s="206"/>
      <c r="H1300" s="206"/>
      <c r="I1300" s="206"/>
    </row>
    <row r="1301" spans="1:9" x14ac:dyDescent="0.35">
      <c r="A1301" s="160">
        <f t="shared" si="8"/>
        <v>0</v>
      </c>
      <c r="B1301" s="160">
        <f t="shared" si="9"/>
        <v>1</v>
      </c>
      <c r="C1301" s="160">
        <f t="shared" si="10"/>
        <v>1</v>
      </c>
      <c r="D1301" s="160">
        <f t="shared" si="11"/>
        <v>0.5</v>
      </c>
      <c r="E1301" s="206"/>
      <c r="F1301" s="206"/>
      <c r="G1301" s="206"/>
      <c r="H1301" s="206"/>
      <c r="I1301" s="206"/>
    </row>
    <row r="1302" spans="1:9" x14ac:dyDescent="0.35">
      <c r="A1302" s="160">
        <f t="shared" si="8"/>
        <v>3</v>
      </c>
      <c r="B1302" s="160">
        <f t="shared" si="9"/>
        <v>2</v>
      </c>
      <c r="C1302" s="160">
        <f t="shared" si="10"/>
        <v>5</v>
      </c>
      <c r="D1302" s="160">
        <f t="shared" si="11"/>
        <v>0.16666666666666666</v>
      </c>
      <c r="E1302" s="206"/>
      <c r="F1302" s="206"/>
      <c r="G1302" s="206"/>
      <c r="H1302" s="206"/>
      <c r="I1302" s="206"/>
    </row>
    <row r="1303" spans="1:9" x14ac:dyDescent="0.35">
      <c r="A1303" s="160">
        <f t="shared" si="8"/>
        <v>0</v>
      </c>
      <c r="B1303" s="160">
        <f t="shared" si="9"/>
        <v>0</v>
      </c>
      <c r="C1303" s="160">
        <f t="shared" si="10"/>
        <v>0</v>
      </c>
      <c r="D1303" s="160">
        <f t="shared" si="11"/>
        <v>1</v>
      </c>
      <c r="E1303" s="206"/>
      <c r="F1303" s="206"/>
      <c r="G1303" s="206"/>
      <c r="H1303" s="206"/>
      <c r="I1303" s="206"/>
    </row>
    <row r="1304" spans="1:9" x14ac:dyDescent="0.35">
      <c r="A1304" s="160">
        <f t="shared" si="8"/>
        <v>1</v>
      </c>
      <c r="B1304" s="160">
        <f t="shared" si="9"/>
        <v>0</v>
      </c>
      <c r="C1304" s="160">
        <f t="shared" si="10"/>
        <v>1</v>
      </c>
      <c r="D1304" s="160">
        <f t="shared" si="11"/>
        <v>0.5</v>
      </c>
      <c r="E1304" s="206"/>
      <c r="F1304" s="206"/>
      <c r="G1304" s="206"/>
      <c r="H1304" s="206"/>
      <c r="I1304" s="206"/>
    </row>
    <row r="1305" spans="1:9" x14ac:dyDescent="0.35">
      <c r="A1305" s="160">
        <f t="shared" si="8"/>
        <v>0</v>
      </c>
      <c r="B1305" s="160">
        <f t="shared" si="9"/>
        <v>1</v>
      </c>
      <c r="C1305" s="160">
        <f t="shared" si="10"/>
        <v>1</v>
      </c>
      <c r="D1305" s="160">
        <f t="shared" si="11"/>
        <v>0.5</v>
      </c>
      <c r="E1305" s="206"/>
      <c r="F1305" s="206"/>
      <c r="G1305" s="206"/>
      <c r="H1305" s="206"/>
      <c r="I1305" s="206"/>
    </row>
    <row r="1306" spans="1:9" x14ac:dyDescent="0.35">
      <c r="A1306" s="160">
        <f t="shared" si="8"/>
        <v>1</v>
      </c>
      <c r="B1306" s="160">
        <f t="shared" si="9"/>
        <v>0</v>
      </c>
      <c r="C1306" s="160">
        <f t="shared" si="10"/>
        <v>1</v>
      </c>
      <c r="D1306" s="160">
        <f t="shared" si="11"/>
        <v>0.5</v>
      </c>
      <c r="E1306" s="206"/>
      <c r="F1306" s="206"/>
      <c r="G1306" s="206"/>
      <c r="H1306" s="206"/>
      <c r="I1306" s="206"/>
    </row>
    <row r="1307" spans="1:9" x14ac:dyDescent="0.35">
      <c r="A1307" s="160">
        <f t="shared" si="8"/>
        <v>1</v>
      </c>
      <c r="B1307" s="160">
        <f t="shared" si="9"/>
        <v>1</v>
      </c>
      <c r="C1307" s="160">
        <f t="shared" si="10"/>
        <v>2</v>
      </c>
      <c r="D1307" s="160">
        <f t="shared" si="11"/>
        <v>0.33333333333333331</v>
      </c>
      <c r="E1307" s="206"/>
      <c r="F1307" s="206"/>
      <c r="G1307" s="206"/>
      <c r="H1307" s="206"/>
      <c r="I1307" s="206"/>
    </row>
    <row r="1308" spans="1:9" x14ac:dyDescent="0.35">
      <c r="A1308" s="160">
        <f t="shared" si="8"/>
        <v>5</v>
      </c>
      <c r="B1308" s="160">
        <f t="shared" si="9"/>
        <v>0</v>
      </c>
      <c r="C1308" s="160">
        <f t="shared" si="10"/>
        <v>5</v>
      </c>
      <c r="D1308" s="160">
        <f t="shared" si="11"/>
        <v>0.16666666666666666</v>
      </c>
      <c r="E1308" s="206"/>
      <c r="F1308" s="206"/>
      <c r="G1308" s="206"/>
      <c r="H1308" s="206"/>
      <c r="I1308" s="206"/>
    </row>
    <row r="1309" spans="1:9" x14ac:dyDescent="0.35">
      <c r="A1309" s="160">
        <f t="shared" si="8"/>
        <v>4</v>
      </c>
      <c r="B1309" s="160">
        <f t="shared" si="9"/>
        <v>1</v>
      </c>
      <c r="C1309" s="160">
        <f t="shared" si="10"/>
        <v>5</v>
      </c>
      <c r="D1309" s="160">
        <f t="shared" si="11"/>
        <v>0.16666666666666666</v>
      </c>
      <c r="E1309" s="206"/>
      <c r="F1309" s="206"/>
      <c r="G1309" s="206"/>
      <c r="H1309" s="206"/>
      <c r="I1309" s="206"/>
    </row>
    <row r="1310" spans="1:9" x14ac:dyDescent="0.35">
      <c r="A1310" s="160">
        <f t="shared" si="8"/>
        <v>3</v>
      </c>
      <c r="B1310" s="160">
        <f t="shared" si="9"/>
        <v>2</v>
      </c>
      <c r="C1310" s="160">
        <f t="shared" si="10"/>
        <v>5</v>
      </c>
      <c r="D1310" s="160">
        <f t="shared" si="11"/>
        <v>0.16666666666666666</v>
      </c>
      <c r="E1310" s="206"/>
      <c r="F1310" s="206"/>
      <c r="G1310" s="206"/>
      <c r="H1310" s="206"/>
      <c r="I1310" s="206"/>
    </row>
    <row r="1311" spans="1:9" x14ac:dyDescent="0.35">
      <c r="A1311" s="160">
        <f t="shared" si="8"/>
        <v>1</v>
      </c>
      <c r="B1311" s="160">
        <f t="shared" si="9"/>
        <v>0</v>
      </c>
      <c r="C1311" s="160">
        <f t="shared" si="10"/>
        <v>1</v>
      </c>
      <c r="D1311" s="160">
        <f t="shared" si="11"/>
        <v>0.5</v>
      </c>
      <c r="E1311" s="206"/>
      <c r="F1311" s="206"/>
      <c r="G1311" s="206"/>
      <c r="H1311" s="206"/>
      <c r="I1311" s="206"/>
    </row>
    <row r="1312" spans="1:9" x14ac:dyDescent="0.35">
      <c r="A1312" s="160">
        <f t="shared" si="8"/>
        <v>0</v>
      </c>
      <c r="B1312" s="160">
        <f t="shared" si="9"/>
        <v>0</v>
      </c>
      <c r="C1312" s="160">
        <f t="shared" si="10"/>
        <v>0</v>
      </c>
      <c r="D1312" s="160">
        <f t="shared" si="11"/>
        <v>1</v>
      </c>
      <c r="E1312" s="206"/>
      <c r="F1312" s="206"/>
      <c r="G1312" s="206"/>
      <c r="H1312" s="206"/>
      <c r="I1312" s="206"/>
    </row>
    <row r="1313" spans="1:9" x14ac:dyDescent="0.35">
      <c r="A1313" s="160">
        <f t="shared" si="8"/>
        <v>2</v>
      </c>
      <c r="B1313" s="160">
        <f t="shared" si="9"/>
        <v>0</v>
      </c>
      <c r="C1313" s="160">
        <f t="shared" si="10"/>
        <v>2</v>
      </c>
      <c r="D1313" s="160">
        <f t="shared" si="11"/>
        <v>0.33333333333333331</v>
      </c>
      <c r="E1313" s="206"/>
      <c r="F1313" s="206"/>
      <c r="G1313" s="206"/>
      <c r="H1313" s="206"/>
      <c r="I1313" s="206"/>
    </row>
    <row r="1314" spans="1:9" x14ac:dyDescent="0.35">
      <c r="A1314" s="160">
        <f t="shared" si="8"/>
        <v>0</v>
      </c>
      <c r="B1314" s="160">
        <f t="shared" si="9"/>
        <v>0</v>
      </c>
      <c r="C1314" s="160">
        <f t="shared" si="10"/>
        <v>0</v>
      </c>
      <c r="D1314" s="160">
        <f t="shared" si="11"/>
        <v>1</v>
      </c>
      <c r="E1314" s="206"/>
      <c r="F1314" s="206"/>
      <c r="G1314" s="206"/>
      <c r="H1314" s="206"/>
      <c r="I1314" s="206"/>
    </row>
    <row r="1315" spans="1:9" x14ac:dyDescent="0.35">
      <c r="A1315" s="160">
        <f t="shared" ref="A1315:A1378" si="12">SUMPRODUCT(($R$4:$R$1115=R197)*($Q$4:$Q$1115=Q197)*(ROW($R$4:$R$1115)&gt;ROW(R197)))</f>
        <v>1</v>
      </c>
      <c r="B1315" s="160">
        <f t="shared" ref="B1315:B1378" si="13">SUMPRODUCT(($K$4:$K$1115=K197)*($Q$4:$Q$1115=Q197)*(ROW($K$4:$K$1115)&gt;ROW(K197)))</f>
        <v>2</v>
      </c>
      <c r="C1315" s="160">
        <f t="shared" ref="C1315:C1378" si="14">SUM(A1315:B1315)</f>
        <v>3</v>
      </c>
      <c r="D1315" s="160">
        <f t="shared" ref="D1315:D1378" si="15">1/(1+C1315)</f>
        <v>0.25</v>
      </c>
      <c r="E1315" s="206"/>
      <c r="F1315" s="206"/>
      <c r="G1315" s="206"/>
      <c r="H1315" s="206"/>
      <c r="I1315" s="206"/>
    </row>
    <row r="1316" spans="1:9" x14ac:dyDescent="0.35">
      <c r="A1316" s="160">
        <f t="shared" si="12"/>
        <v>1</v>
      </c>
      <c r="B1316" s="160">
        <f t="shared" si="13"/>
        <v>0</v>
      </c>
      <c r="C1316" s="160">
        <f t="shared" si="14"/>
        <v>1</v>
      </c>
      <c r="D1316" s="160">
        <f t="shared" si="15"/>
        <v>0.5</v>
      </c>
      <c r="E1316" s="206"/>
      <c r="F1316" s="206"/>
      <c r="G1316" s="206"/>
      <c r="H1316" s="206"/>
      <c r="I1316" s="206"/>
    </row>
    <row r="1317" spans="1:9" x14ac:dyDescent="0.35">
      <c r="A1317" s="160">
        <f t="shared" si="12"/>
        <v>0</v>
      </c>
      <c r="B1317" s="160">
        <f t="shared" si="13"/>
        <v>2</v>
      </c>
      <c r="C1317" s="160">
        <f t="shared" si="14"/>
        <v>2</v>
      </c>
      <c r="D1317" s="160">
        <f t="shared" si="15"/>
        <v>0.33333333333333331</v>
      </c>
      <c r="E1317" s="206"/>
      <c r="F1317" s="206"/>
      <c r="G1317" s="206"/>
      <c r="H1317" s="206"/>
      <c r="I1317" s="206"/>
    </row>
    <row r="1318" spans="1:9" x14ac:dyDescent="0.35">
      <c r="A1318" s="160">
        <f t="shared" si="12"/>
        <v>2</v>
      </c>
      <c r="B1318" s="160">
        <f t="shared" si="13"/>
        <v>0</v>
      </c>
      <c r="C1318" s="160">
        <f t="shared" si="14"/>
        <v>2</v>
      </c>
      <c r="D1318" s="160">
        <f t="shared" si="15"/>
        <v>0.33333333333333331</v>
      </c>
      <c r="E1318" s="206"/>
      <c r="F1318" s="206"/>
      <c r="G1318" s="206"/>
      <c r="H1318" s="206"/>
      <c r="I1318" s="206"/>
    </row>
    <row r="1319" spans="1:9" x14ac:dyDescent="0.35">
      <c r="A1319" s="160">
        <f t="shared" si="12"/>
        <v>0</v>
      </c>
      <c r="B1319" s="160">
        <f t="shared" si="13"/>
        <v>0</v>
      </c>
      <c r="C1319" s="160">
        <f t="shared" si="14"/>
        <v>0</v>
      </c>
      <c r="D1319" s="160">
        <f t="shared" si="15"/>
        <v>1</v>
      </c>
      <c r="E1319" s="206"/>
      <c r="F1319" s="206"/>
      <c r="G1319" s="206"/>
      <c r="H1319" s="206"/>
      <c r="I1319" s="206"/>
    </row>
    <row r="1320" spans="1:9" x14ac:dyDescent="0.35">
      <c r="A1320" s="160">
        <f t="shared" si="12"/>
        <v>2</v>
      </c>
      <c r="B1320" s="160">
        <f t="shared" si="13"/>
        <v>0</v>
      </c>
      <c r="C1320" s="160">
        <f t="shared" si="14"/>
        <v>2</v>
      </c>
      <c r="D1320" s="160">
        <f t="shared" si="15"/>
        <v>0.33333333333333331</v>
      </c>
      <c r="E1320" s="206"/>
      <c r="F1320" s="206"/>
      <c r="G1320" s="206"/>
      <c r="H1320" s="206"/>
      <c r="I1320" s="206"/>
    </row>
    <row r="1321" spans="1:9" x14ac:dyDescent="0.35">
      <c r="A1321" s="160">
        <f t="shared" si="12"/>
        <v>2</v>
      </c>
      <c r="B1321" s="160">
        <f t="shared" si="13"/>
        <v>3</v>
      </c>
      <c r="C1321" s="160">
        <f t="shared" si="14"/>
        <v>5</v>
      </c>
      <c r="D1321" s="160">
        <f t="shared" si="15"/>
        <v>0.16666666666666666</v>
      </c>
      <c r="E1321" s="206"/>
      <c r="F1321" s="206"/>
      <c r="G1321" s="206"/>
      <c r="H1321" s="206"/>
      <c r="I1321" s="206"/>
    </row>
    <row r="1322" spans="1:9" x14ac:dyDescent="0.35">
      <c r="A1322" s="160">
        <f t="shared" si="12"/>
        <v>4</v>
      </c>
      <c r="B1322" s="160">
        <f t="shared" si="13"/>
        <v>3</v>
      </c>
      <c r="C1322" s="160">
        <f t="shared" si="14"/>
        <v>7</v>
      </c>
      <c r="D1322" s="160">
        <f t="shared" si="15"/>
        <v>0.125</v>
      </c>
      <c r="E1322" s="206"/>
      <c r="F1322" s="206"/>
      <c r="G1322" s="206"/>
      <c r="H1322" s="206"/>
      <c r="I1322" s="206"/>
    </row>
    <row r="1323" spans="1:9" x14ac:dyDescent="0.35">
      <c r="A1323" s="160">
        <f t="shared" si="12"/>
        <v>0</v>
      </c>
      <c r="B1323" s="160">
        <f t="shared" si="13"/>
        <v>0</v>
      </c>
      <c r="C1323" s="160">
        <f t="shared" si="14"/>
        <v>0</v>
      </c>
      <c r="D1323" s="160">
        <f t="shared" si="15"/>
        <v>1</v>
      </c>
      <c r="E1323" s="206"/>
      <c r="F1323" s="206"/>
      <c r="G1323" s="206"/>
      <c r="H1323" s="206"/>
      <c r="I1323" s="206"/>
    </row>
    <row r="1324" spans="1:9" x14ac:dyDescent="0.35">
      <c r="A1324" s="160">
        <f t="shared" si="12"/>
        <v>1</v>
      </c>
      <c r="B1324" s="160">
        <f t="shared" si="13"/>
        <v>4</v>
      </c>
      <c r="C1324" s="160">
        <f t="shared" si="14"/>
        <v>5</v>
      </c>
      <c r="D1324" s="160">
        <f t="shared" si="15"/>
        <v>0.16666666666666666</v>
      </c>
      <c r="E1324" s="206"/>
      <c r="F1324" s="206"/>
      <c r="G1324" s="206"/>
      <c r="H1324" s="206"/>
      <c r="I1324" s="206"/>
    </row>
    <row r="1325" spans="1:9" x14ac:dyDescent="0.35">
      <c r="A1325" s="160">
        <f t="shared" si="12"/>
        <v>1</v>
      </c>
      <c r="B1325" s="160">
        <f t="shared" si="13"/>
        <v>0</v>
      </c>
      <c r="C1325" s="160">
        <f t="shared" si="14"/>
        <v>1</v>
      </c>
      <c r="D1325" s="160">
        <f t="shared" si="15"/>
        <v>0.5</v>
      </c>
      <c r="E1325" s="206"/>
      <c r="F1325" s="206"/>
      <c r="G1325" s="206"/>
      <c r="H1325" s="206"/>
      <c r="I1325" s="206"/>
    </row>
    <row r="1326" spans="1:9" x14ac:dyDescent="0.35">
      <c r="A1326" s="160">
        <f t="shared" si="12"/>
        <v>2</v>
      </c>
      <c r="B1326" s="160">
        <f t="shared" si="13"/>
        <v>2</v>
      </c>
      <c r="C1326" s="160">
        <f t="shared" si="14"/>
        <v>4</v>
      </c>
      <c r="D1326" s="160">
        <f t="shared" si="15"/>
        <v>0.2</v>
      </c>
      <c r="E1326" s="206"/>
      <c r="F1326" s="206"/>
      <c r="G1326" s="206"/>
      <c r="H1326" s="206"/>
      <c r="I1326" s="206"/>
    </row>
    <row r="1327" spans="1:9" x14ac:dyDescent="0.35">
      <c r="A1327" s="160">
        <f t="shared" si="12"/>
        <v>2</v>
      </c>
      <c r="B1327" s="160">
        <f t="shared" si="13"/>
        <v>0</v>
      </c>
      <c r="C1327" s="160">
        <f t="shared" si="14"/>
        <v>2</v>
      </c>
      <c r="D1327" s="160">
        <f t="shared" si="15"/>
        <v>0.33333333333333331</v>
      </c>
      <c r="E1327" s="206"/>
      <c r="F1327" s="206"/>
      <c r="G1327" s="206"/>
      <c r="H1327" s="206"/>
      <c r="I1327" s="206"/>
    </row>
    <row r="1328" spans="1:9" x14ac:dyDescent="0.35">
      <c r="A1328" s="160">
        <f t="shared" si="12"/>
        <v>0</v>
      </c>
      <c r="B1328" s="160">
        <f t="shared" si="13"/>
        <v>0</v>
      </c>
      <c r="C1328" s="160">
        <f t="shared" si="14"/>
        <v>0</v>
      </c>
      <c r="D1328" s="160">
        <f t="shared" si="15"/>
        <v>1</v>
      </c>
      <c r="E1328" s="206"/>
      <c r="F1328" s="206"/>
      <c r="G1328" s="206"/>
      <c r="H1328" s="206"/>
      <c r="I1328" s="206"/>
    </row>
    <row r="1329" spans="1:9" x14ac:dyDescent="0.35">
      <c r="A1329" s="160">
        <f t="shared" si="12"/>
        <v>6</v>
      </c>
      <c r="B1329" s="160">
        <f t="shared" si="13"/>
        <v>1</v>
      </c>
      <c r="C1329" s="160">
        <f t="shared" si="14"/>
        <v>7</v>
      </c>
      <c r="D1329" s="160">
        <f t="shared" si="15"/>
        <v>0.125</v>
      </c>
      <c r="E1329" s="206"/>
      <c r="F1329" s="206"/>
      <c r="G1329" s="206"/>
      <c r="H1329" s="206"/>
      <c r="I1329" s="206"/>
    </row>
    <row r="1330" spans="1:9" x14ac:dyDescent="0.35">
      <c r="A1330" s="160">
        <f t="shared" si="12"/>
        <v>0</v>
      </c>
      <c r="B1330" s="160">
        <f t="shared" si="13"/>
        <v>0</v>
      </c>
      <c r="C1330" s="160">
        <f t="shared" si="14"/>
        <v>0</v>
      </c>
      <c r="D1330" s="160">
        <f t="shared" si="15"/>
        <v>1</v>
      </c>
      <c r="E1330" s="206"/>
      <c r="F1330" s="206"/>
      <c r="G1330" s="206"/>
      <c r="H1330" s="206"/>
      <c r="I1330" s="206"/>
    </row>
    <row r="1331" spans="1:9" x14ac:dyDescent="0.35">
      <c r="A1331" s="160">
        <f t="shared" si="12"/>
        <v>7</v>
      </c>
      <c r="B1331" s="160">
        <f t="shared" si="13"/>
        <v>3</v>
      </c>
      <c r="C1331" s="160">
        <f t="shared" si="14"/>
        <v>10</v>
      </c>
      <c r="D1331" s="160">
        <f t="shared" si="15"/>
        <v>9.0909090909090912E-2</v>
      </c>
      <c r="E1331" s="206"/>
      <c r="F1331" s="206"/>
      <c r="G1331" s="206"/>
      <c r="H1331" s="206"/>
      <c r="I1331" s="206"/>
    </row>
    <row r="1332" spans="1:9" x14ac:dyDescent="0.35">
      <c r="A1332" s="160">
        <f t="shared" si="12"/>
        <v>0</v>
      </c>
      <c r="B1332" s="160">
        <f t="shared" si="13"/>
        <v>0</v>
      </c>
      <c r="C1332" s="160">
        <f t="shared" si="14"/>
        <v>0</v>
      </c>
      <c r="D1332" s="160">
        <f t="shared" si="15"/>
        <v>1</v>
      </c>
      <c r="E1332" s="206"/>
      <c r="F1332" s="206"/>
      <c r="G1332" s="206"/>
      <c r="H1332" s="206"/>
      <c r="I1332" s="206"/>
    </row>
    <row r="1333" spans="1:9" x14ac:dyDescent="0.35">
      <c r="A1333" s="160">
        <f t="shared" si="12"/>
        <v>1</v>
      </c>
      <c r="B1333" s="160">
        <f t="shared" si="13"/>
        <v>1</v>
      </c>
      <c r="C1333" s="160">
        <f t="shared" si="14"/>
        <v>2</v>
      </c>
      <c r="D1333" s="160">
        <f t="shared" si="15"/>
        <v>0.33333333333333331</v>
      </c>
      <c r="E1333" s="206"/>
      <c r="F1333" s="206"/>
      <c r="G1333" s="206"/>
      <c r="H1333" s="206"/>
      <c r="I1333" s="206"/>
    </row>
    <row r="1334" spans="1:9" x14ac:dyDescent="0.35">
      <c r="A1334" s="160">
        <f t="shared" si="12"/>
        <v>1</v>
      </c>
      <c r="B1334" s="160">
        <f t="shared" si="13"/>
        <v>0</v>
      </c>
      <c r="C1334" s="160">
        <f t="shared" si="14"/>
        <v>1</v>
      </c>
      <c r="D1334" s="160">
        <f t="shared" si="15"/>
        <v>0.5</v>
      </c>
      <c r="E1334" s="206"/>
      <c r="F1334" s="206"/>
      <c r="G1334" s="206"/>
      <c r="H1334" s="206"/>
      <c r="I1334" s="206"/>
    </row>
    <row r="1335" spans="1:9" x14ac:dyDescent="0.35">
      <c r="A1335" s="160">
        <f t="shared" si="12"/>
        <v>0</v>
      </c>
      <c r="B1335" s="160">
        <f t="shared" si="13"/>
        <v>0</v>
      </c>
      <c r="C1335" s="160">
        <f t="shared" si="14"/>
        <v>0</v>
      </c>
      <c r="D1335" s="160">
        <f t="shared" si="15"/>
        <v>1</v>
      </c>
      <c r="E1335" s="206"/>
      <c r="F1335" s="206"/>
      <c r="G1335" s="206"/>
      <c r="H1335" s="206"/>
      <c r="I1335" s="206"/>
    </row>
    <row r="1336" spans="1:9" x14ac:dyDescent="0.35">
      <c r="A1336" s="160">
        <f t="shared" si="12"/>
        <v>0</v>
      </c>
      <c r="B1336" s="160">
        <f t="shared" si="13"/>
        <v>0</v>
      </c>
      <c r="C1336" s="160">
        <f t="shared" si="14"/>
        <v>0</v>
      </c>
      <c r="D1336" s="160">
        <f t="shared" si="15"/>
        <v>1</v>
      </c>
      <c r="E1336" s="206"/>
      <c r="F1336" s="206"/>
      <c r="G1336" s="206"/>
      <c r="H1336" s="206"/>
      <c r="I1336" s="206"/>
    </row>
    <row r="1337" spans="1:9" x14ac:dyDescent="0.35">
      <c r="A1337" s="160">
        <f t="shared" si="12"/>
        <v>0</v>
      </c>
      <c r="B1337" s="160">
        <f t="shared" si="13"/>
        <v>2</v>
      </c>
      <c r="C1337" s="160">
        <f t="shared" si="14"/>
        <v>2</v>
      </c>
      <c r="D1337" s="160">
        <f t="shared" si="15"/>
        <v>0.33333333333333331</v>
      </c>
      <c r="E1337" s="206"/>
      <c r="F1337" s="206"/>
      <c r="G1337" s="206"/>
      <c r="H1337" s="206"/>
      <c r="I1337" s="206"/>
    </row>
    <row r="1338" spans="1:9" x14ac:dyDescent="0.35">
      <c r="A1338" s="160">
        <f t="shared" si="12"/>
        <v>0</v>
      </c>
      <c r="B1338" s="160">
        <f t="shared" si="13"/>
        <v>1</v>
      </c>
      <c r="C1338" s="160">
        <f t="shared" si="14"/>
        <v>1</v>
      </c>
      <c r="D1338" s="160">
        <f t="shared" si="15"/>
        <v>0.5</v>
      </c>
      <c r="E1338" s="206"/>
      <c r="F1338" s="206"/>
      <c r="G1338" s="206"/>
      <c r="H1338" s="206"/>
      <c r="I1338" s="206"/>
    </row>
    <row r="1339" spans="1:9" x14ac:dyDescent="0.35">
      <c r="A1339" s="160">
        <f t="shared" si="12"/>
        <v>9</v>
      </c>
      <c r="B1339" s="160">
        <f t="shared" si="13"/>
        <v>2</v>
      </c>
      <c r="C1339" s="160">
        <f t="shared" si="14"/>
        <v>11</v>
      </c>
      <c r="D1339" s="160">
        <f t="shared" si="15"/>
        <v>8.3333333333333329E-2</v>
      </c>
      <c r="E1339" s="206"/>
      <c r="F1339" s="206"/>
      <c r="G1339" s="206"/>
      <c r="H1339" s="206"/>
      <c r="I1339" s="206"/>
    </row>
    <row r="1340" spans="1:9" x14ac:dyDescent="0.35">
      <c r="A1340" s="160">
        <f t="shared" si="12"/>
        <v>0</v>
      </c>
      <c r="B1340" s="160">
        <f t="shared" si="13"/>
        <v>2</v>
      </c>
      <c r="C1340" s="160">
        <f t="shared" si="14"/>
        <v>2</v>
      </c>
      <c r="D1340" s="160">
        <f t="shared" si="15"/>
        <v>0.33333333333333331</v>
      </c>
      <c r="E1340" s="206"/>
      <c r="F1340" s="206"/>
      <c r="G1340" s="206"/>
      <c r="H1340" s="206"/>
      <c r="I1340" s="206"/>
    </row>
    <row r="1341" spans="1:9" x14ac:dyDescent="0.35">
      <c r="A1341" s="160">
        <f t="shared" si="12"/>
        <v>3</v>
      </c>
      <c r="B1341" s="160">
        <f t="shared" si="13"/>
        <v>1</v>
      </c>
      <c r="C1341" s="160">
        <f t="shared" si="14"/>
        <v>4</v>
      </c>
      <c r="D1341" s="160">
        <f t="shared" si="15"/>
        <v>0.2</v>
      </c>
      <c r="E1341" s="206"/>
      <c r="F1341" s="206"/>
      <c r="G1341" s="206"/>
      <c r="H1341" s="206"/>
      <c r="I1341" s="206"/>
    </row>
    <row r="1342" spans="1:9" x14ac:dyDescent="0.35">
      <c r="A1342" s="160">
        <f t="shared" si="12"/>
        <v>3</v>
      </c>
      <c r="B1342" s="160">
        <f t="shared" si="13"/>
        <v>3</v>
      </c>
      <c r="C1342" s="160">
        <f t="shared" si="14"/>
        <v>6</v>
      </c>
      <c r="D1342" s="160">
        <f t="shared" si="15"/>
        <v>0.14285714285714285</v>
      </c>
      <c r="E1342" s="206"/>
      <c r="F1342" s="206"/>
      <c r="G1342" s="206"/>
      <c r="H1342" s="206"/>
      <c r="I1342" s="206"/>
    </row>
    <row r="1343" spans="1:9" x14ac:dyDescent="0.35">
      <c r="A1343" s="160">
        <f t="shared" si="12"/>
        <v>3</v>
      </c>
      <c r="B1343" s="160">
        <f t="shared" si="13"/>
        <v>2</v>
      </c>
      <c r="C1343" s="160">
        <f t="shared" si="14"/>
        <v>5</v>
      </c>
      <c r="D1343" s="160">
        <f t="shared" si="15"/>
        <v>0.16666666666666666</v>
      </c>
      <c r="E1343" s="206"/>
      <c r="F1343" s="206"/>
      <c r="G1343" s="206"/>
      <c r="H1343" s="206"/>
      <c r="I1343" s="206"/>
    </row>
    <row r="1344" spans="1:9" x14ac:dyDescent="0.35">
      <c r="A1344" s="160">
        <f t="shared" si="12"/>
        <v>0</v>
      </c>
      <c r="B1344" s="160">
        <f t="shared" si="13"/>
        <v>0</v>
      </c>
      <c r="C1344" s="160">
        <f t="shared" si="14"/>
        <v>0</v>
      </c>
      <c r="D1344" s="160">
        <f t="shared" si="15"/>
        <v>1</v>
      </c>
      <c r="E1344" s="206"/>
      <c r="F1344" s="206"/>
      <c r="G1344" s="206"/>
      <c r="H1344" s="206"/>
      <c r="I1344" s="206"/>
    </row>
    <row r="1345" spans="1:9" x14ac:dyDescent="0.35">
      <c r="A1345" s="160">
        <f t="shared" si="12"/>
        <v>0</v>
      </c>
      <c r="B1345" s="160">
        <f t="shared" si="13"/>
        <v>1</v>
      </c>
      <c r="C1345" s="160">
        <f t="shared" si="14"/>
        <v>1</v>
      </c>
      <c r="D1345" s="160">
        <f t="shared" si="15"/>
        <v>0.5</v>
      </c>
      <c r="E1345" s="206"/>
      <c r="F1345" s="206"/>
      <c r="G1345" s="206"/>
      <c r="H1345" s="206"/>
      <c r="I1345" s="206"/>
    </row>
    <row r="1346" spans="1:9" x14ac:dyDescent="0.35">
      <c r="A1346" s="160">
        <f t="shared" si="12"/>
        <v>0</v>
      </c>
      <c r="B1346" s="160">
        <f t="shared" si="13"/>
        <v>0</v>
      </c>
      <c r="C1346" s="160">
        <f t="shared" si="14"/>
        <v>0</v>
      </c>
      <c r="D1346" s="160">
        <f t="shared" si="15"/>
        <v>1</v>
      </c>
      <c r="E1346" s="206"/>
      <c r="F1346" s="206"/>
      <c r="G1346" s="206"/>
      <c r="H1346" s="206"/>
      <c r="I1346" s="206"/>
    </row>
    <row r="1347" spans="1:9" x14ac:dyDescent="0.35">
      <c r="A1347" s="160">
        <f t="shared" si="12"/>
        <v>1</v>
      </c>
      <c r="B1347" s="160">
        <f t="shared" si="13"/>
        <v>0</v>
      </c>
      <c r="C1347" s="160">
        <f t="shared" si="14"/>
        <v>1</v>
      </c>
      <c r="D1347" s="160">
        <f t="shared" si="15"/>
        <v>0.5</v>
      </c>
      <c r="E1347" s="206"/>
      <c r="F1347" s="206"/>
      <c r="G1347" s="206"/>
      <c r="H1347" s="206"/>
      <c r="I1347" s="206"/>
    </row>
    <row r="1348" spans="1:9" x14ac:dyDescent="0.35">
      <c r="A1348" s="160">
        <f t="shared" si="12"/>
        <v>1</v>
      </c>
      <c r="B1348" s="160">
        <f t="shared" si="13"/>
        <v>0</v>
      </c>
      <c r="C1348" s="160">
        <f t="shared" si="14"/>
        <v>1</v>
      </c>
      <c r="D1348" s="160">
        <f t="shared" si="15"/>
        <v>0.5</v>
      </c>
      <c r="E1348" s="206"/>
      <c r="F1348" s="206"/>
      <c r="G1348" s="206"/>
      <c r="H1348" s="206"/>
      <c r="I1348" s="206"/>
    </row>
    <row r="1349" spans="1:9" x14ac:dyDescent="0.35">
      <c r="A1349" s="160">
        <f t="shared" si="12"/>
        <v>0</v>
      </c>
      <c r="B1349" s="160">
        <f t="shared" si="13"/>
        <v>0</v>
      </c>
      <c r="C1349" s="160">
        <f t="shared" si="14"/>
        <v>0</v>
      </c>
      <c r="D1349" s="160">
        <f t="shared" si="15"/>
        <v>1</v>
      </c>
      <c r="E1349" s="206"/>
      <c r="F1349" s="206"/>
      <c r="G1349" s="206"/>
      <c r="H1349" s="206"/>
      <c r="I1349" s="206"/>
    </row>
    <row r="1350" spans="1:9" x14ac:dyDescent="0.35">
      <c r="A1350" s="160">
        <f t="shared" si="12"/>
        <v>6</v>
      </c>
      <c r="B1350" s="160">
        <f t="shared" si="13"/>
        <v>0</v>
      </c>
      <c r="C1350" s="160">
        <f t="shared" si="14"/>
        <v>6</v>
      </c>
      <c r="D1350" s="160">
        <f t="shared" si="15"/>
        <v>0.14285714285714285</v>
      </c>
      <c r="E1350" s="206"/>
      <c r="F1350" s="206"/>
      <c r="G1350" s="206"/>
      <c r="H1350" s="206"/>
      <c r="I1350" s="206"/>
    </row>
    <row r="1351" spans="1:9" x14ac:dyDescent="0.35">
      <c r="A1351" s="160">
        <f t="shared" si="12"/>
        <v>1</v>
      </c>
      <c r="B1351" s="160">
        <f t="shared" si="13"/>
        <v>1</v>
      </c>
      <c r="C1351" s="160">
        <f t="shared" si="14"/>
        <v>2</v>
      </c>
      <c r="D1351" s="160">
        <f t="shared" si="15"/>
        <v>0.33333333333333331</v>
      </c>
      <c r="E1351" s="206"/>
      <c r="F1351" s="206"/>
      <c r="G1351" s="206"/>
      <c r="H1351" s="206"/>
      <c r="I1351" s="206"/>
    </row>
    <row r="1352" spans="1:9" x14ac:dyDescent="0.35">
      <c r="A1352" s="160">
        <f t="shared" si="12"/>
        <v>3</v>
      </c>
      <c r="B1352" s="160">
        <f t="shared" si="13"/>
        <v>3</v>
      </c>
      <c r="C1352" s="160">
        <f t="shared" si="14"/>
        <v>6</v>
      </c>
      <c r="D1352" s="160">
        <f t="shared" si="15"/>
        <v>0.14285714285714285</v>
      </c>
      <c r="E1352" s="206"/>
      <c r="F1352" s="206"/>
      <c r="G1352" s="206"/>
      <c r="H1352" s="206"/>
      <c r="I1352" s="206"/>
    </row>
    <row r="1353" spans="1:9" x14ac:dyDescent="0.35">
      <c r="A1353" s="160">
        <f t="shared" si="12"/>
        <v>0</v>
      </c>
      <c r="B1353" s="160">
        <f t="shared" si="13"/>
        <v>0</v>
      </c>
      <c r="C1353" s="160">
        <f t="shared" si="14"/>
        <v>0</v>
      </c>
      <c r="D1353" s="160">
        <f t="shared" si="15"/>
        <v>1</v>
      </c>
      <c r="E1353" s="206"/>
      <c r="F1353" s="206"/>
      <c r="G1353" s="206"/>
      <c r="H1353" s="206"/>
      <c r="I1353" s="206"/>
    </row>
    <row r="1354" spans="1:9" x14ac:dyDescent="0.35">
      <c r="A1354" s="160">
        <f t="shared" si="12"/>
        <v>0</v>
      </c>
      <c r="B1354" s="160">
        <f t="shared" si="13"/>
        <v>0</v>
      </c>
      <c r="C1354" s="160">
        <f t="shared" si="14"/>
        <v>0</v>
      </c>
      <c r="D1354" s="160">
        <f t="shared" si="15"/>
        <v>1</v>
      </c>
      <c r="E1354" s="206"/>
      <c r="F1354" s="206"/>
      <c r="G1354" s="206"/>
      <c r="H1354" s="206"/>
      <c r="I1354" s="206"/>
    </row>
    <row r="1355" spans="1:9" x14ac:dyDescent="0.35">
      <c r="A1355" s="160">
        <f t="shared" si="12"/>
        <v>0</v>
      </c>
      <c r="B1355" s="160">
        <f t="shared" si="13"/>
        <v>0</v>
      </c>
      <c r="C1355" s="160">
        <f t="shared" si="14"/>
        <v>0</v>
      </c>
      <c r="D1355" s="160">
        <f t="shared" si="15"/>
        <v>1</v>
      </c>
      <c r="E1355" s="206"/>
      <c r="F1355" s="206"/>
      <c r="G1355" s="206"/>
      <c r="H1355" s="206"/>
      <c r="I1355" s="206"/>
    </row>
    <row r="1356" spans="1:9" x14ac:dyDescent="0.35">
      <c r="A1356" s="160">
        <f t="shared" si="12"/>
        <v>5</v>
      </c>
      <c r="B1356" s="160">
        <f t="shared" si="13"/>
        <v>1</v>
      </c>
      <c r="C1356" s="160">
        <f t="shared" si="14"/>
        <v>6</v>
      </c>
      <c r="D1356" s="160">
        <f t="shared" si="15"/>
        <v>0.14285714285714285</v>
      </c>
      <c r="E1356" s="206"/>
      <c r="F1356" s="206"/>
      <c r="G1356" s="206"/>
      <c r="H1356" s="206"/>
      <c r="I1356" s="206"/>
    </row>
    <row r="1357" spans="1:9" x14ac:dyDescent="0.35">
      <c r="A1357" s="160">
        <f t="shared" si="12"/>
        <v>0</v>
      </c>
      <c r="B1357" s="160">
        <f t="shared" si="13"/>
        <v>1</v>
      </c>
      <c r="C1357" s="160">
        <f t="shared" si="14"/>
        <v>1</v>
      </c>
      <c r="D1357" s="160">
        <f t="shared" si="15"/>
        <v>0.5</v>
      </c>
      <c r="E1357" s="206"/>
      <c r="F1357" s="206"/>
      <c r="G1357" s="206"/>
      <c r="H1357" s="206"/>
      <c r="I1357" s="206"/>
    </row>
    <row r="1358" spans="1:9" x14ac:dyDescent="0.35">
      <c r="A1358" s="160">
        <f t="shared" si="12"/>
        <v>0</v>
      </c>
      <c r="B1358" s="160">
        <f t="shared" si="13"/>
        <v>1</v>
      </c>
      <c r="C1358" s="160">
        <f t="shared" si="14"/>
        <v>1</v>
      </c>
      <c r="D1358" s="160">
        <f t="shared" si="15"/>
        <v>0.5</v>
      </c>
      <c r="E1358" s="206"/>
      <c r="F1358" s="206"/>
      <c r="G1358" s="206"/>
      <c r="H1358" s="206"/>
      <c r="I1358" s="206"/>
    </row>
    <row r="1359" spans="1:9" x14ac:dyDescent="0.35">
      <c r="A1359" s="160">
        <f t="shared" si="12"/>
        <v>2</v>
      </c>
      <c r="B1359" s="160">
        <f t="shared" si="13"/>
        <v>1</v>
      </c>
      <c r="C1359" s="160">
        <f t="shared" si="14"/>
        <v>3</v>
      </c>
      <c r="D1359" s="160">
        <f t="shared" si="15"/>
        <v>0.25</v>
      </c>
      <c r="E1359" s="206"/>
      <c r="F1359" s="206"/>
      <c r="G1359" s="206"/>
      <c r="H1359" s="206"/>
      <c r="I1359" s="206"/>
    </row>
    <row r="1360" spans="1:9" x14ac:dyDescent="0.35">
      <c r="A1360" s="160">
        <f t="shared" si="12"/>
        <v>0</v>
      </c>
      <c r="B1360" s="160">
        <f t="shared" si="13"/>
        <v>0</v>
      </c>
      <c r="C1360" s="160">
        <f t="shared" si="14"/>
        <v>0</v>
      </c>
      <c r="D1360" s="160">
        <f t="shared" si="15"/>
        <v>1</v>
      </c>
      <c r="E1360" s="206"/>
      <c r="F1360" s="206"/>
      <c r="G1360" s="206"/>
      <c r="H1360" s="206"/>
      <c r="I1360" s="206"/>
    </row>
    <row r="1361" spans="1:9" x14ac:dyDescent="0.35">
      <c r="A1361" s="160">
        <f t="shared" si="12"/>
        <v>1</v>
      </c>
      <c r="B1361" s="160">
        <f t="shared" si="13"/>
        <v>2</v>
      </c>
      <c r="C1361" s="160">
        <f t="shared" si="14"/>
        <v>3</v>
      </c>
      <c r="D1361" s="160">
        <f t="shared" si="15"/>
        <v>0.25</v>
      </c>
      <c r="E1361" s="206"/>
      <c r="F1361" s="206"/>
      <c r="G1361" s="206"/>
      <c r="H1361" s="206"/>
      <c r="I1361" s="206"/>
    </row>
    <row r="1362" spans="1:9" x14ac:dyDescent="0.35">
      <c r="A1362" s="160">
        <f t="shared" si="12"/>
        <v>1</v>
      </c>
      <c r="B1362" s="160">
        <f t="shared" si="13"/>
        <v>3</v>
      </c>
      <c r="C1362" s="160">
        <f t="shared" si="14"/>
        <v>4</v>
      </c>
      <c r="D1362" s="160">
        <f t="shared" si="15"/>
        <v>0.2</v>
      </c>
      <c r="E1362" s="206"/>
      <c r="F1362" s="206"/>
      <c r="G1362" s="206"/>
      <c r="H1362" s="206"/>
      <c r="I1362" s="206"/>
    </row>
    <row r="1363" spans="1:9" x14ac:dyDescent="0.35">
      <c r="A1363" s="160">
        <f t="shared" si="12"/>
        <v>1</v>
      </c>
      <c r="B1363" s="160">
        <f t="shared" si="13"/>
        <v>0</v>
      </c>
      <c r="C1363" s="160">
        <f t="shared" si="14"/>
        <v>1</v>
      </c>
      <c r="D1363" s="160">
        <f t="shared" si="15"/>
        <v>0.5</v>
      </c>
      <c r="E1363" s="206"/>
      <c r="F1363" s="206"/>
      <c r="G1363" s="206"/>
      <c r="H1363" s="206"/>
      <c r="I1363" s="206"/>
    </row>
    <row r="1364" spans="1:9" x14ac:dyDescent="0.35">
      <c r="A1364" s="160">
        <f t="shared" si="12"/>
        <v>2</v>
      </c>
      <c r="B1364" s="160">
        <f t="shared" si="13"/>
        <v>1</v>
      </c>
      <c r="C1364" s="160">
        <f t="shared" si="14"/>
        <v>3</v>
      </c>
      <c r="D1364" s="160">
        <f t="shared" si="15"/>
        <v>0.25</v>
      </c>
      <c r="E1364" s="206"/>
      <c r="F1364" s="206"/>
      <c r="G1364" s="206"/>
      <c r="H1364" s="206"/>
      <c r="I1364" s="206"/>
    </row>
    <row r="1365" spans="1:9" x14ac:dyDescent="0.35">
      <c r="A1365" s="160">
        <f t="shared" si="12"/>
        <v>2</v>
      </c>
      <c r="B1365" s="160">
        <f t="shared" si="13"/>
        <v>0</v>
      </c>
      <c r="C1365" s="160">
        <f t="shared" si="14"/>
        <v>2</v>
      </c>
      <c r="D1365" s="160">
        <f t="shared" si="15"/>
        <v>0.33333333333333331</v>
      </c>
      <c r="E1365" s="206"/>
      <c r="F1365" s="206"/>
      <c r="G1365" s="206"/>
      <c r="H1365" s="206"/>
      <c r="I1365" s="206"/>
    </row>
    <row r="1366" spans="1:9" x14ac:dyDescent="0.35">
      <c r="A1366" s="160">
        <f t="shared" si="12"/>
        <v>1</v>
      </c>
      <c r="B1366" s="160">
        <f t="shared" si="13"/>
        <v>0</v>
      </c>
      <c r="C1366" s="160">
        <f t="shared" si="14"/>
        <v>1</v>
      </c>
      <c r="D1366" s="160">
        <f t="shared" si="15"/>
        <v>0.5</v>
      </c>
      <c r="E1366" s="206"/>
      <c r="F1366" s="206"/>
      <c r="G1366" s="206"/>
      <c r="H1366" s="206"/>
      <c r="I1366" s="206"/>
    </row>
    <row r="1367" spans="1:9" x14ac:dyDescent="0.35">
      <c r="A1367" s="160">
        <f t="shared" si="12"/>
        <v>1</v>
      </c>
      <c r="B1367" s="160">
        <f t="shared" si="13"/>
        <v>0</v>
      </c>
      <c r="C1367" s="160">
        <f t="shared" si="14"/>
        <v>1</v>
      </c>
      <c r="D1367" s="160">
        <f t="shared" si="15"/>
        <v>0.5</v>
      </c>
      <c r="E1367" s="206"/>
      <c r="F1367" s="206"/>
      <c r="G1367" s="206"/>
      <c r="H1367" s="206"/>
      <c r="I1367" s="206"/>
    </row>
    <row r="1368" spans="1:9" x14ac:dyDescent="0.35">
      <c r="A1368" s="160">
        <f t="shared" si="12"/>
        <v>1</v>
      </c>
      <c r="B1368" s="160">
        <f t="shared" si="13"/>
        <v>0</v>
      </c>
      <c r="C1368" s="160">
        <f t="shared" si="14"/>
        <v>1</v>
      </c>
      <c r="D1368" s="160">
        <f t="shared" si="15"/>
        <v>0.5</v>
      </c>
      <c r="E1368" s="206"/>
      <c r="F1368" s="206"/>
      <c r="G1368" s="206"/>
      <c r="H1368" s="206"/>
      <c r="I1368" s="206"/>
    </row>
    <row r="1369" spans="1:9" x14ac:dyDescent="0.35">
      <c r="A1369" s="160">
        <f t="shared" si="12"/>
        <v>0</v>
      </c>
      <c r="B1369" s="160">
        <f t="shared" si="13"/>
        <v>2</v>
      </c>
      <c r="C1369" s="160">
        <f t="shared" si="14"/>
        <v>2</v>
      </c>
      <c r="D1369" s="160">
        <f t="shared" si="15"/>
        <v>0.33333333333333331</v>
      </c>
      <c r="E1369" s="206"/>
      <c r="F1369" s="206"/>
      <c r="G1369" s="206"/>
      <c r="H1369" s="206"/>
      <c r="I1369" s="206"/>
    </row>
    <row r="1370" spans="1:9" x14ac:dyDescent="0.35">
      <c r="A1370" s="160">
        <f t="shared" si="12"/>
        <v>3</v>
      </c>
      <c r="B1370" s="160">
        <f t="shared" si="13"/>
        <v>2</v>
      </c>
      <c r="C1370" s="160">
        <f t="shared" si="14"/>
        <v>5</v>
      </c>
      <c r="D1370" s="160">
        <f t="shared" si="15"/>
        <v>0.16666666666666666</v>
      </c>
      <c r="E1370" s="206"/>
      <c r="F1370" s="206"/>
      <c r="G1370" s="206"/>
      <c r="H1370" s="206"/>
      <c r="I1370" s="206"/>
    </row>
    <row r="1371" spans="1:9" x14ac:dyDescent="0.35">
      <c r="A1371" s="160">
        <f t="shared" si="12"/>
        <v>0</v>
      </c>
      <c r="B1371" s="160">
        <f t="shared" si="13"/>
        <v>4</v>
      </c>
      <c r="C1371" s="160">
        <f t="shared" si="14"/>
        <v>4</v>
      </c>
      <c r="D1371" s="160">
        <f t="shared" si="15"/>
        <v>0.2</v>
      </c>
      <c r="E1371" s="206"/>
      <c r="F1371" s="206"/>
      <c r="G1371" s="206"/>
      <c r="H1371" s="206"/>
      <c r="I1371" s="206"/>
    </row>
    <row r="1372" spans="1:9" x14ac:dyDescent="0.35">
      <c r="A1372" s="160">
        <f t="shared" si="12"/>
        <v>0</v>
      </c>
      <c r="B1372" s="160">
        <f t="shared" si="13"/>
        <v>0</v>
      </c>
      <c r="C1372" s="160">
        <f t="shared" si="14"/>
        <v>0</v>
      </c>
      <c r="D1372" s="160">
        <f t="shared" si="15"/>
        <v>1</v>
      </c>
      <c r="E1372" s="206"/>
      <c r="F1372" s="206"/>
      <c r="G1372" s="206"/>
      <c r="H1372" s="206"/>
      <c r="I1372" s="206"/>
    </row>
    <row r="1373" spans="1:9" x14ac:dyDescent="0.35">
      <c r="A1373" s="160">
        <f t="shared" si="12"/>
        <v>0</v>
      </c>
      <c r="B1373" s="160">
        <f t="shared" si="13"/>
        <v>3</v>
      </c>
      <c r="C1373" s="160">
        <f t="shared" si="14"/>
        <v>3</v>
      </c>
      <c r="D1373" s="160">
        <f t="shared" si="15"/>
        <v>0.25</v>
      </c>
      <c r="E1373" s="206"/>
      <c r="F1373" s="206"/>
      <c r="G1373" s="206"/>
      <c r="H1373" s="206"/>
      <c r="I1373" s="206"/>
    </row>
    <row r="1374" spans="1:9" x14ac:dyDescent="0.35">
      <c r="A1374" s="160">
        <f t="shared" si="12"/>
        <v>1</v>
      </c>
      <c r="B1374" s="160">
        <f t="shared" si="13"/>
        <v>1</v>
      </c>
      <c r="C1374" s="160">
        <f t="shared" si="14"/>
        <v>2</v>
      </c>
      <c r="D1374" s="160">
        <f t="shared" si="15"/>
        <v>0.33333333333333331</v>
      </c>
      <c r="E1374" s="206"/>
      <c r="F1374" s="206"/>
      <c r="G1374" s="206"/>
      <c r="H1374" s="206"/>
      <c r="I1374" s="206"/>
    </row>
    <row r="1375" spans="1:9" x14ac:dyDescent="0.35">
      <c r="A1375" s="160">
        <f t="shared" si="12"/>
        <v>0</v>
      </c>
      <c r="B1375" s="160">
        <f t="shared" si="13"/>
        <v>0</v>
      </c>
      <c r="C1375" s="160">
        <f t="shared" si="14"/>
        <v>0</v>
      </c>
      <c r="D1375" s="160">
        <f t="shared" si="15"/>
        <v>1</v>
      </c>
      <c r="E1375" s="206"/>
      <c r="F1375" s="206"/>
      <c r="G1375" s="206"/>
      <c r="H1375" s="206"/>
      <c r="I1375" s="206"/>
    </row>
    <row r="1376" spans="1:9" x14ac:dyDescent="0.35">
      <c r="A1376" s="160">
        <f t="shared" si="12"/>
        <v>0</v>
      </c>
      <c r="B1376" s="160">
        <f t="shared" si="13"/>
        <v>0</v>
      </c>
      <c r="C1376" s="160">
        <f t="shared" si="14"/>
        <v>0</v>
      </c>
      <c r="D1376" s="160">
        <f t="shared" si="15"/>
        <v>1</v>
      </c>
      <c r="E1376" s="206"/>
      <c r="F1376" s="206"/>
      <c r="G1376" s="206"/>
      <c r="H1376" s="206"/>
      <c r="I1376" s="206"/>
    </row>
    <row r="1377" spans="1:9" x14ac:dyDescent="0.35">
      <c r="A1377" s="160">
        <f t="shared" si="12"/>
        <v>6</v>
      </c>
      <c r="B1377" s="160">
        <f t="shared" si="13"/>
        <v>0</v>
      </c>
      <c r="C1377" s="160">
        <f t="shared" si="14"/>
        <v>6</v>
      </c>
      <c r="D1377" s="160">
        <f t="shared" si="15"/>
        <v>0.14285714285714285</v>
      </c>
      <c r="E1377" s="206"/>
      <c r="F1377" s="206"/>
      <c r="G1377" s="206"/>
      <c r="H1377" s="206"/>
      <c r="I1377" s="206"/>
    </row>
    <row r="1378" spans="1:9" x14ac:dyDescent="0.35">
      <c r="A1378" s="160">
        <f t="shared" si="12"/>
        <v>0</v>
      </c>
      <c r="B1378" s="160">
        <f t="shared" si="13"/>
        <v>0</v>
      </c>
      <c r="C1378" s="160">
        <f t="shared" si="14"/>
        <v>0</v>
      </c>
      <c r="D1378" s="160">
        <f t="shared" si="15"/>
        <v>1</v>
      </c>
      <c r="E1378" s="206"/>
      <c r="F1378" s="206"/>
      <c r="G1378" s="206"/>
      <c r="H1378" s="206"/>
      <c r="I1378" s="206"/>
    </row>
    <row r="1379" spans="1:9" x14ac:dyDescent="0.35">
      <c r="A1379" s="160">
        <f t="shared" ref="A1379:A1442" si="16">SUMPRODUCT(($R$4:$R$1115=R261)*($Q$4:$Q$1115=Q261)*(ROW($R$4:$R$1115)&gt;ROW(R261)))</f>
        <v>0</v>
      </c>
      <c r="B1379" s="160">
        <f t="shared" ref="B1379:B1442" si="17">SUMPRODUCT(($K$4:$K$1115=K261)*($Q$4:$Q$1115=Q261)*(ROW($K$4:$K$1115)&gt;ROW(K261)))</f>
        <v>0</v>
      </c>
      <c r="C1379" s="160">
        <f t="shared" ref="C1379:C1442" si="18">SUM(A1379:B1379)</f>
        <v>0</v>
      </c>
      <c r="D1379" s="160">
        <f t="shared" ref="D1379:D1442" si="19">1/(1+C1379)</f>
        <v>1</v>
      </c>
      <c r="E1379" s="206"/>
      <c r="F1379" s="206"/>
      <c r="G1379" s="206"/>
      <c r="H1379" s="206"/>
      <c r="I1379" s="206"/>
    </row>
    <row r="1380" spans="1:9" x14ac:dyDescent="0.35">
      <c r="A1380" s="160">
        <f t="shared" si="16"/>
        <v>1</v>
      </c>
      <c r="B1380" s="160">
        <f t="shared" si="17"/>
        <v>0</v>
      </c>
      <c r="C1380" s="160">
        <f t="shared" si="18"/>
        <v>1</v>
      </c>
      <c r="D1380" s="160">
        <f t="shared" si="19"/>
        <v>0.5</v>
      </c>
      <c r="E1380" s="206"/>
      <c r="F1380" s="206"/>
      <c r="G1380" s="206"/>
      <c r="H1380" s="206"/>
      <c r="I1380" s="206"/>
    </row>
    <row r="1381" spans="1:9" x14ac:dyDescent="0.35">
      <c r="A1381" s="160">
        <f t="shared" si="16"/>
        <v>0</v>
      </c>
      <c r="B1381" s="160">
        <f t="shared" si="17"/>
        <v>0</v>
      </c>
      <c r="C1381" s="160">
        <f t="shared" si="18"/>
        <v>0</v>
      </c>
      <c r="D1381" s="160">
        <f t="shared" si="19"/>
        <v>1</v>
      </c>
      <c r="E1381" s="206"/>
      <c r="F1381" s="206"/>
      <c r="G1381" s="206"/>
      <c r="H1381" s="206"/>
      <c r="I1381" s="206"/>
    </row>
    <row r="1382" spans="1:9" x14ac:dyDescent="0.35">
      <c r="A1382" s="160">
        <f t="shared" si="16"/>
        <v>2</v>
      </c>
      <c r="B1382" s="160">
        <f t="shared" si="17"/>
        <v>1</v>
      </c>
      <c r="C1382" s="160">
        <f t="shared" si="18"/>
        <v>3</v>
      </c>
      <c r="D1382" s="160">
        <f t="shared" si="19"/>
        <v>0.25</v>
      </c>
      <c r="E1382" s="206"/>
      <c r="F1382" s="206"/>
      <c r="G1382" s="206"/>
      <c r="H1382" s="206"/>
      <c r="I1382" s="206"/>
    </row>
    <row r="1383" spans="1:9" x14ac:dyDescent="0.35">
      <c r="A1383" s="160">
        <f t="shared" si="16"/>
        <v>5</v>
      </c>
      <c r="B1383" s="160">
        <f t="shared" si="17"/>
        <v>1</v>
      </c>
      <c r="C1383" s="160">
        <f t="shared" si="18"/>
        <v>6</v>
      </c>
      <c r="D1383" s="160">
        <f t="shared" si="19"/>
        <v>0.14285714285714285</v>
      </c>
      <c r="E1383" s="206"/>
      <c r="F1383" s="206"/>
      <c r="G1383" s="206"/>
      <c r="H1383" s="206"/>
      <c r="I1383" s="206"/>
    </row>
    <row r="1384" spans="1:9" x14ac:dyDescent="0.35">
      <c r="A1384" s="160">
        <f t="shared" si="16"/>
        <v>3</v>
      </c>
      <c r="B1384" s="160">
        <f t="shared" si="17"/>
        <v>1</v>
      </c>
      <c r="C1384" s="160">
        <f t="shared" si="18"/>
        <v>4</v>
      </c>
      <c r="D1384" s="160">
        <f t="shared" si="19"/>
        <v>0.2</v>
      </c>
      <c r="E1384" s="206"/>
      <c r="F1384" s="206"/>
      <c r="G1384" s="206"/>
      <c r="H1384" s="206"/>
      <c r="I1384" s="206"/>
    </row>
    <row r="1385" spans="1:9" x14ac:dyDescent="0.35">
      <c r="A1385" s="160">
        <f t="shared" si="16"/>
        <v>1</v>
      </c>
      <c r="B1385" s="160">
        <f t="shared" si="17"/>
        <v>2</v>
      </c>
      <c r="C1385" s="160">
        <f t="shared" si="18"/>
        <v>3</v>
      </c>
      <c r="D1385" s="160">
        <f t="shared" si="19"/>
        <v>0.25</v>
      </c>
      <c r="E1385" s="206"/>
      <c r="F1385" s="206"/>
      <c r="G1385" s="206"/>
      <c r="H1385" s="206"/>
      <c r="I1385" s="206"/>
    </row>
    <row r="1386" spans="1:9" x14ac:dyDescent="0.35">
      <c r="A1386" s="160">
        <f t="shared" si="16"/>
        <v>6</v>
      </c>
      <c r="B1386" s="160">
        <f t="shared" si="17"/>
        <v>0</v>
      </c>
      <c r="C1386" s="160">
        <f t="shared" si="18"/>
        <v>6</v>
      </c>
      <c r="D1386" s="160">
        <f t="shared" si="19"/>
        <v>0.14285714285714285</v>
      </c>
      <c r="E1386" s="206"/>
      <c r="F1386" s="206"/>
      <c r="G1386" s="206"/>
      <c r="H1386" s="206"/>
      <c r="I1386" s="206"/>
    </row>
    <row r="1387" spans="1:9" x14ac:dyDescent="0.35">
      <c r="A1387" s="160">
        <f t="shared" si="16"/>
        <v>3</v>
      </c>
      <c r="B1387" s="160">
        <f t="shared" si="17"/>
        <v>0</v>
      </c>
      <c r="C1387" s="160">
        <f t="shared" si="18"/>
        <v>3</v>
      </c>
      <c r="D1387" s="160">
        <f t="shared" si="19"/>
        <v>0.25</v>
      </c>
      <c r="E1387" s="206"/>
      <c r="F1387" s="206"/>
      <c r="G1387" s="206"/>
      <c r="H1387" s="206"/>
      <c r="I1387" s="206"/>
    </row>
    <row r="1388" spans="1:9" x14ac:dyDescent="0.35">
      <c r="A1388" s="160">
        <f t="shared" si="16"/>
        <v>3</v>
      </c>
      <c r="B1388" s="160">
        <f t="shared" si="17"/>
        <v>0</v>
      </c>
      <c r="C1388" s="160">
        <f t="shared" si="18"/>
        <v>3</v>
      </c>
      <c r="D1388" s="160">
        <f t="shared" si="19"/>
        <v>0.25</v>
      </c>
      <c r="E1388" s="206"/>
      <c r="F1388" s="206"/>
      <c r="G1388" s="206"/>
      <c r="H1388" s="206"/>
      <c r="I1388" s="206"/>
    </row>
    <row r="1389" spans="1:9" x14ac:dyDescent="0.35">
      <c r="A1389" s="160">
        <f t="shared" si="16"/>
        <v>1</v>
      </c>
      <c r="B1389" s="160">
        <f t="shared" si="17"/>
        <v>1</v>
      </c>
      <c r="C1389" s="160">
        <f t="shared" si="18"/>
        <v>2</v>
      </c>
      <c r="D1389" s="160">
        <f t="shared" si="19"/>
        <v>0.33333333333333331</v>
      </c>
      <c r="E1389" s="206"/>
      <c r="F1389" s="206"/>
      <c r="G1389" s="206"/>
      <c r="H1389" s="206"/>
      <c r="I1389" s="206"/>
    </row>
    <row r="1390" spans="1:9" x14ac:dyDescent="0.35">
      <c r="A1390" s="160">
        <f t="shared" si="16"/>
        <v>4</v>
      </c>
      <c r="B1390" s="160">
        <f t="shared" si="17"/>
        <v>3</v>
      </c>
      <c r="C1390" s="160">
        <f t="shared" si="18"/>
        <v>7</v>
      </c>
      <c r="D1390" s="160">
        <f t="shared" si="19"/>
        <v>0.125</v>
      </c>
      <c r="E1390" s="206"/>
      <c r="F1390" s="206"/>
      <c r="G1390" s="206"/>
      <c r="H1390" s="206"/>
      <c r="I1390" s="206"/>
    </row>
    <row r="1391" spans="1:9" x14ac:dyDescent="0.35">
      <c r="A1391" s="160">
        <f t="shared" si="16"/>
        <v>1</v>
      </c>
      <c r="B1391" s="160">
        <f t="shared" si="17"/>
        <v>1</v>
      </c>
      <c r="C1391" s="160">
        <f t="shared" si="18"/>
        <v>2</v>
      </c>
      <c r="D1391" s="160">
        <f t="shared" si="19"/>
        <v>0.33333333333333331</v>
      </c>
      <c r="E1391" s="206"/>
      <c r="F1391" s="206"/>
      <c r="G1391" s="206"/>
      <c r="H1391" s="206"/>
      <c r="I1391" s="206"/>
    </row>
    <row r="1392" spans="1:9" x14ac:dyDescent="0.35">
      <c r="A1392" s="160">
        <f t="shared" si="16"/>
        <v>2</v>
      </c>
      <c r="B1392" s="160">
        <f t="shared" si="17"/>
        <v>0</v>
      </c>
      <c r="C1392" s="160">
        <f t="shared" si="18"/>
        <v>2</v>
      </c>
      <c r="D1392" s="160">
        <f t="shared" si="19"/>
        <v>0.33333333333333331</v>
      </c>
      <c r="E1392" s="206"/>
      <c r="F1392" s="206"/>
      <c r="G1392" s="206"/>
      <c r="H1392" s="206"/>
      <c r="I1392" s="206"/>
    </row>
    <row r="1393" spans="1:9" x14ac:dyDescent="0.35">
      <c r="A1393" s="160">
        <f t="shared" si="16"/>
        <v>0</v>
      </c>
      <c r="B1393" s="160">
        <f t="shared" si="17"/>
        <v>0</v>
      </c>
      <c r="C1393" s="160">
        <f t="shared" si="18"/>
        <v>0</v>
      </c>
      <c r="D1393" s="160">
        <f t="shared" si="19"/>
        <v>1</v>
      </c>
      <c r="E1393" s="206"/>
      <c r="F1393" s="206"/>
      <c r="G1393" s="206"/>
      <c r="H1393" s="206"/>
      <c r="I1393" s="206"/>
    </row>
    <row r="1394" spans="1:9" x14ac:dyDescent="0.35">
      <c r="A1394" s="160">
        <f t="shared" si="16"/>
        <v>0</v>
      </c>
      <c r="B1394" s="160">
        <f t="shared" si="17"/>
        <v>0</v>
      </c>
      <c r="C1394" s="160">
        <f t="shared" si="18"/>
        <v>0</v>
      </c>
      <c r="D1394" s="160">
        <f t="shared" si="19"/>
        <v>1</v>
      </c>
      <c r="E1394" s="206"/>
      <c r="F1394" s="206"/>
      <c r="G1394" s="206"/>
      <c r="H1394" s="206"/>
      <c r="I1394" s="206"/>
    </row>
    <row r="1395" spans="1:9" x14ac:dyDescent="0.35">
      <c r="A1395" s="160">
        <f t="shared" si="16"/>
        <v>5</v>
      </c>
      <c r="B1395" s="160">
        <f t="shared" si="17"/>
        <v>2</v>
      </c>
      <c r="C1395" s="160">
        <f t="shared" si="18"/>
        <v>7</v>
      </c>
      <c r="D1395" s="160">
        <f t="shared" si="19"/>
        <v>0.125</v>
      </c>
      <c r="E1395" s="206"/>
      <c r="F1395" s="206"/>
      <c r="G1395" s="206"/>
      <c r="H1395" s="206"/>
      <c r="I1395" s="206"/>
    </row>
    <row r="1396" spans="1:9" x14ac:dyDescent="0.35">
      <c r="A1396" s="160">
        <f t="shared" si="16"/>
        <v>1</v>
      </c>
      <c r="B1396" s="160">
        <f t="shared" si="17"/>
        <v>2</v>
      </c>
      <c r="C1396" s="160">
        <f t="shared" si="18"/>
        <v>3</v>
      </c>
      <c r="D1396" s="160">
        <f t="shared" si="19"/>
        <v>0.25</v>
      </c>
      <c r="E1396" s="206"/>
      <c r="F1396" s="206"/>
      <c r="G1396" s="206"/>
      <c r="H1396" s="206"/>
      <c r="I1396" s="206"/>
    </row>
    <row r="1397" spans="1:9" x14ac:dyDescent="0.35">
      <c r="A1397" s="160">
        <f t="shared" si="16"/>
        <v>0</v>
      </c>
      <c r="B1397" s="160">
        <f t="shared" si="17"/>
        <v>1</v>
      </c>
      <c r="C1397" s="160">
        <f t="shared" si="18"/>
        <v>1</v>
      </c>
      <c r="D1397" s="160">
        <f t="shared" si="19"/>
        <v>0.5</v>
      </c>
      <c r="E1397" s="206"/>
      <c r="F1397" s="206"/>
      <c r="G1397" s="206"/>
      <c r="H1397" s="206"/>
      <c r="I1397" s="206"/>
    </row>
    <row r="1398" spans="1:9" x14ac:dyDescent="0.35">
      <c r="A1398" s="160">
        <f t="shared" si="16"/>
        <v>2</v>
      </c>
      <c r="B1398" s="160">
        <f t="shared" si="17"/>
        <v>0</v>
      </c>
      <c r="C1398" s="160">
        <f t="shared" si="18"/>
        <v>2</v>
      </c>
      <c r="D1398" s="160">
        <f t="shared" si="19"/>
        <v>0.33333333333333331</v>
      </c>
      <c r="E1398" s="206"/>
      <c r="F1398" s="206"/>
      <c r="G1398" s="206"/>
      <c r="H1398" s="206"/>
      <c r="I1398" s="206"/>
    </row>
    <row r="1399" spans="1:9" x14ac:dyDescent="0.35">
      <c r="A1399" s="160">
        <f t="shared" si="16"/>
        <v>2</v>
      </c>
      <c r="B1399" s="160">
        <f t="shared" si="17"/>
        <v>0</v>
      </c>
      <c r="C1399" s="160">
        <f t="shared" si="18"/>
        <v>2</v>
      </c>
      <c r="D1399" s="160">
        <f t="shared" si="19"/>
        <v>0.33333333333333331</v>
      </c>
      <c r="E1399" s="206"/>
      <c r="F1399" s="206"/>
      <c r="G1399" s="206"/>
      <c r="H1399" s="206"/>
      <c r="I1399" s="206"/>
    </row>
    <row r="1400" spans="1:9" x14ac:dyDescent="0.35">
      <c r="A1400" s="160">
        <f t="shared" si="16"/>
        <v>2</v>
      </c>
      <c r="B1400" s="160">
        <f t="shared" si="17"/>
        <v>0</v>
      </c>
      <c r="C1400" s="160">
        <f t="shared" si="18"/>
        <v>2</v>
      </c>
      <c r="D1400" s="160">
        <f t="shared" si="19"/>
        <v>0.33333333333333331</v>
      </c>
      <c r="E1400" s="206"/>
      <c r="F1400" s="206"/>
      <c r="G1400" s="206"/>
      <c r="H1400" s="206"/>
      <c r="I1400" s="206"/>
    </row>
    <row r="1401" spans="1:9" x14ac:dyDescent="0.35">
      <c r="A1401" s="160">
        <f t="shared" si="16"/>
        <v>0</v>
      </c>
      <c r="B1401" s="160">
        <f t="shared" si="17"/>
        <v>1</v>
      </c>
      <c r="C1401" s="160">
        <f t="shared" si="18"/>
        <v>1</v>
      </c>
      <c r="D1401" s="160">
        <f t="shared" si="19"/>
        <v>0.5</v>
      </c>
      <c r="E1401" s="206"/>
      <c r="F1401" s="206"/>
      <c r="G1401" s="206"/>
      <c r="H1401" s="206"/>
      <c r="I1401" s="206"/>
    </row>
    <row r="1402" spans="1:9" x14ac:dyDescent="0.35">
      <c r="A1402" s="160">
        <f t="shared" si="16"/>
        <v>5</v>
      </c>
      <c r="B1402" s="160">
        <f t="shared" si="17"/>
        <v>2</v>
      </c>
      <c r="C1402" s="160">
        <f t="shared" si="18"/>
        <v>7</v>
      </c>
      <c r="D1402" s="160">
        <f t="shared" si="19"/>
        <v>0.125</v>
      </c>
      <c r="E1402" s="206"/>
      <c r="F1402" s="206"/>
      <c r="G1402" s="206"/>
      <c r="H1402" s="206"/>
      <c r="I1402" s="206"/>
    </row>
    <row r="1403" spans="1:9" x14ac:dyDescent="0.35">
      <c r="A1403" s="160">
        <f t="shared" si="16"/>
        <v>1</v>
      </c>
      <c r="B1403" s="160">
        <f t="shared" si="17"/>
        <v>2</v>
      </c>
      <c r="C1403" s="160">
        <f t="shared" si="18"/>
        <v>3</v>
      </c>
      <c r="D1403" s="160">
        <f t="shared" si="19"/>
        <v>0.25</v>
      </c>
      <c r="E1403" s="206"/>
      <c r="F1403" s="206"/>
      <c r="G1403" s="206"/>
      <c r="H1403" s="206"/>
      <c r="I1403" s="206"/>
    </row>
    <row r="1404" spans="1:9" x14ac:dyDescent="0.35">
      <c r="A1404" s="160">
        <f t="shared" si="16"/>
        <v>0</v>
      </c>
      <c r="B1404" s="160">
        <f t="shared" si="17"/>
        <v>6</v>
      </c>
      <c r="C1404" s="160">
        <f t="shared" si="18"/>
        <v>6</v>
      </c>
      <c r="D1404" s="160">
        <f t="shared" si="19"/>
        <v>0.14285714285714285</v>
      </c>
      <c r="E1404" s="206"/>
      <c r="F1404" s="206"/>
      <c r="G1404" s="206"/>
      <c r="H1404" s="206"/>
      <c r="I1404" s="206"/>
    </row>
    <row r="1405" spans="1:9" x14ac:dyDescent="0.35">
      <c r="A1405" s="160">
        <f t="shared" si="16"/>
        <v>3</v>
      </c>
      <c r="B1405" s="160">
        <f t="shared" si="17"/>
        <v>0</v>
      </c>
      <c r="C1405" s="160">
        <f t="shared" si="18"/>
        <v>3</v>
      </c>
      <c r="D1405" s="160">
        <f t="shared" si="19"/>
        <v>0.25</v>
      </c>
      <c r="E1405" s="206"/>
      <c r="F1405" s="206"/>
      <c r="G1405" s="206"/>
      <c r="H1405" s="206"/>
      <c r="I1405" s="206"/>
    </row>
    <row r="1406" spans="1:9" x14ac:dyDescent="0.35">
      <c r="A1406" s="160">
        <f t="shared" si="16"/>
        <v>6</v>
      </c>
      <c r="B1406" s="160">
        <f t="shared" si="17"/>
        <v>4</v>
      </c>
      <c r="C1406" s="160">
        <f t="shared" si="18"/>
        <v>10</v>
      </c>
      <c r="D1406" s="160">
        <f t="shared" si="19"/>
        <v>9.0909090909090912E-2</v>
      </c>
      <c r="E1406" s="206"/>
      <c r="F1406" s="206"/>
      <c r="G1406" s="206"/>
      <c r="H1406" s="206"/>
      <c r="I1406" s="206"/>
    </row>
    <row r="1407" spans="1:9" x14ac:dyDescent="0.35">
      <c r="A1407" s="160">
        <f t="shared" si="16"/>
        <v>2</v>
      </c>
      <c r="B1407" s="160">
        <f t="shared" si="17"/>
        <v>1</v>
      </c>
      <c r="C1407" s="160">
        <f t="shared" si="18"/>
        <v>3</v>
      </c>
      <c r="D1407" s="160">
        <f t="shared" si="19"/>
        <v>0.25</v>
      </c>
      <c r="E1407" s="206"/>
      <c r="F1407" s="206"/>
      <c r="G1407" s="206"/>
      <c r="H1407" s="206"/>
      <c r="I1407" s="206"/>
    </row>
    <row r="1408" spans="1:9" x14ac:dyDescent="0.35">
      <c r="A1408" s="160">
        <f t="shared" si="16"/>
        <v>0</v>
      </c>
      <c r="B1408" s="160">
        <f t="shared" si="17"/>
        <v>1</v>
      </c>
      <c r="C1408" s="160">
        <f t="shared" si="18"/>
        <v>1</v>
      </c>
      <c r="D1408" s="160">
        <f t="shared" si="19"/>
        <v>0.5</v>
      </c>
      <c r="E1408" s="206"/>
      <c r="F1408" s="206"/>
      <c r="G1408" s="206"/>
      <c r="H1408" s="206"/>
      <c r="I1408" s="206"/>
    </row>
    <row r="1409" spans="1:9" x14ac:dyDescent="0.35">
      <c r="A1409" s="160">
        <f t="shared" si="16"/>
        <v>4</v>
      </c>
      <c r="B1409" s="160">
        <f t="shared" si="17"/>
        <v>1</v>
      </c>
      <c r="C1409" s="160">
        <f t="shared" si="18"/>
        <v>5</v>
      </c>
      <c r="D1409" s="160">
        <f t="shared" si="19"/>
        <v>0.16666666666666666</v>
      </c>
      <c r="E1409" s="206"/>
      <c r="F1409" s="206"/>
      <c r="G1409" s="206"/>
      <c r="H1409" s="206"/>
      <c r="I1409" s="206"/>
    </row>
    <row r="1410" spans="1:9" x14ac:dyDescent="0.35">
      <c r="A1410" s="160">
        <f t="shared" si="16"/>
        <v>1</v>
      </c>
      <c r="B1410" s="160">
        <f t="shared" si="17"/>
        <v>1</v>
      </c>
      <c r="C1410" s="160">
        <f t="shared" si="18"/>
        <v>2</v>
      </c>
      <c r="D1410" s="160">
        <f t="shared" si="19"/>
        <v>0.33333333333333331</v>
      </c>
      <c r="E1410" s="206"/>
      <c r="F1410" s="206"/>
      <c r="G1410" s="206"/>
      <c r="H1410" s="206"/>
      <c r="I1410" s="206"/>
    </row>
    <row r="1411" spans="1:9" x14ac:dyDescent="0.35">
      <c r="A1411" s="160">
        <f t="shared" si="16"/>
        <v>1</v>
      </c>
      <c r="B1411" s="160">
        <f t="shared" si="17"/>
        <v>0</v>
      </c>
      <c r="C1411" s="160">
        <f t="shared" si="18"/>
        <v>1</v>
      </c>
      <c r="D1411" s="160">
        <f t="shared" si="19"/>
        <v>0.5</v>
      </c>
      <c r="E1411" s="206"/>
      <c r="F1411" s="206"/>
      <c r="G1411" s="206"/>
      <c r="H1411" s="206"/>
      <c r="I1411" s="206"/>
    </row>
    <row r="1412" spans="1:9" x14ac:dyDescent="0.35">
      <c r="A1412" s="160">
        <f t="shared" si="16"/>
        <v>1</v>
      </c>
      <c r="B1412" s="160">
        <f t="shared" si="17"/>
        <v>0</v>
      </c>
      <c r="C1412" s="160">
        <f t="shared" si="18"/>
        <v>1</v>
      </c>
      <c r="D1412" s="160">
        <f t="shared" si="19"/>
        <v>0.5</v>
      </c>
      <c r="E1412" s="206"/>
      <c r="F1412" s="206"/>
      <c r="G1412" s="206"/>
      <c r="H1412" s="206"/>
      <c r="I1412" s="206"/>
    </row>
    <row r="1413" spans="1:9" x14ac:dyDescent="0.35">
      <c r="A1413" s="160">
        <f t="shared" si="16"/>
        <v>2</v>
      </c>
      <c r="B1413" s="160">
        <f t="shared" si="17"/>
        <v>2</v>
      </c>
      <c r="C1413" s="160">
        <f t="shared" si="18"/>
        <v>4</v>
      </c>
      <c r="D1413" s="160">
        <f t="shared" si="19"/>
        <v>0.2</v>
      </c>
      <c r="E1413" s="206"/>
      <c r="F1413" s="206"/>
      <c r="G1413" s="206"/>
      <c r="H1413" s="206"/>
      <c r="I1413" s="206"/>
    </row>
    <row r="1414" spans="1:9" x14ac:dyDescent="0.35">
      <c r="A1414" s="160">
        <f t="shared" si="16"/>
        <v>4</v>
      </c>
      <c r="B1414" s="160">
        <f t="shared" si="17"/>
        <v>1</v>
      </c>
      <c r="C1414" s="160">
        <f t="shared" si="18"/>
        <v>5</v>
      </c>
      <c r="D1414" s="160">
        <f t="shared" si="19"/>
        <v>0.16666666666666666</v>
      </c>
      <c r="E1414" s="206"/>
      <c r="F1414" s="206"/>
      <c r="G1414" s="206"/>
      <c r="H1414" s="206"/>
      <c r="I1414" s="206"/>
    </row>
    <row r="1415" spans="1:9" x14ac:dyDescent="0.35">
      <c r="A1415" s="160">
        <f t="shared" si="16"/>
        <v>1</v>
      </c>
      <c r="B1415" s="160">
        <f t="shared" si="17"/>
        <v>0</v>
      </c>
      <c r="C1415" s="160">
        <f t="shared" si="18"/>
        <v>1</v>
      </c>
      <c r="D1415" s="160">
        <f t="shared" si="19"/>
        <v>0.5</v>
      </c>
      <c r="E1415" s="206"/>
      <c r="F1415" s="206"/>
      <c r="G1415" s="206"/>
      <c r="H1415" s="206"/>
      <c r="I1415" s="206"/>
    </row>
    <row r="1416" spans="1:9" x14ac:dyDescent="0.35">
      <c r="A1416" s="160">
        <f t="shared" si="16"/>
        <v>2</v>
      </c>
      <c r="B1416" s="160">
        <f t="shared" si="17"/>
        <v>3</v>
      </c>
      <c r="C1416" s="160">
        <f t="shared" si="18"/>
        <v>5</v>
      </c>
      <c r="D1416" s="160">
        <f t="shared" si="19"/>
        <v>0.16666666666666666</v>
      </c>
      <c r="E1416" s="206"/>
      <c r="F1416" s="206"/>
      <c r="G1416" s="206"/>
      <c r="H1416" s="206"/>
      <c r="I1416" s="206"/>
    </row>
    <row r="1417" spans="1:9" x14ac:dyDescent="0.35">
      <c r="A1417" s="160">
        <f t="shared" si="16"/>
        <v>0</v>
      </c>
      <c r="B1417" s="160">
        <f t="shared" si="17"/>
        <v>1</v>
      </c>
      <c r="C1417" s="160">
        <f t="shared" si="18"/>
        <v>1</v>
      </c>
      <c r="D1417" s="160">
        <f t="shared" si="19"/>
        <v>0.5</v>
      </c>
      <c r="E1417" s="206"/>
      <c r="F1417" s="206"/>
      <c r="G1417" s="206"/>
      <c r="H1417" s="206"/>
      <c r="I1417" s="206"/>
    </row>
    <row r="1418" spans="1:9" x14ac:dyDescent="0.35">
      <c r="A1418" s="160">
        <f t="shared" si="16"/>
        <v>5</v>
      </c>
      <c r="B1418" s="160">
        <f t="shared" si="17"/>
        <v>1</v>
      </c>
      <c r="C1418" s="160">
        <f t="shared" si="18"/>
        <v>6</v>
      </c>
      <c r="D1418" s="160">
        <f t="shared" si="19"/>
        <v>0.14285714285714285</v>
      </c>
      <c r="E1418" s="206"/>
      <c r="F1418" s="206"/>
      <c r="G1418" s="206"/>
      <c r="H1418" s="206"/>
      <c r="I1418" s="206"/>
    </row>
    <row r="1419" spans="1:9" x14ac:dyDescent="0.35">
      <c r="A1419" s="160">
        <f t="shared" si="16"/>
        <v>2</v>
      </c>
      <c r="B1419" s="160">
        <f t="shared" si="17"/>
        <v>0</v>
      </c>
      <c r="C1419" s="160">
        <f t="shared" si="18"/>
        <v>2</v>
      </c>
      <c r="D1419" s="160">
        <f t="shared" si="19"/>
        <v>0.33333333333333331</v>
      </c>
      <c r="E1419" s="206"/>
      <c r="F1419" s="206"/>
      <c r="G1419" s="206"/>
      <c r="H1419" s="206"/>
      <c r="I1419" s="206"/>
    </row>
    <row r="1420" spans="1:9" x14ac:dyDescent="0.35">
      <c r="A1420" s="160">
        <f t="shared" si="16"/>
        <v>0</v>
      </c>
      <c r="B1420" s="160">
        <f t="shared" si="17"/>
        <v>0</v>
      </c>
      <c r="C1420" s="160">
        <f t="shared" si="18"/>
        <v>0</v>
      </c>
      <c r="D1420" s="160">
        <f t="shared" si="19"/>
        <v>1</v>
      </c>
      <c r="E1420" s="206"/>
      <c r="F1420" s="206"/>
      <c r="G1420" s="206"/>
      <c r="H1420" s="206"/>
      <c r="I1420" s="206"/>
    </row>
    <row r="1421" spans="1:9" x14ac:dyDescent="0.35">
      <c r="A1421" s="160">
        <f t="shared" si="16"/>
        <v>1</v>
      </c>
      <c r="B1421" s="160">
        <f t="shared" si="17"/>
        <v>2</v>
      </c>
      <c r="C1421" s="160">
        <f t="shared" si="18"/>
        <v>3</v>
      </c>
      <c r="D1421" s="160">
        <f t="shared" si="19"/>
        <v>0.25</v>
      </c>
      <c r="E1421" s="206"/>
      <c r="F1421" s="206"/>
      <c r="G1421" s="206"/>
      <c r="H1421" s="206"/>
      <c r="I1421" s="206"/>
    </row>
    <row r="1422" spans="1:9" x14ac:dyDescent="0.35">
      <c r="A1422" s="160">
        <f t="shared" si="16"/>
        <v>1</v>
      </c>
      <c r="B1422" s="160">
        <f t="shared" si="17"/>
        <v>0</v>
      </c>
      <c r="C1422" s="160">
        <f t="shared" si="18"/>
        <v>1</v>
      </c>
      <c r="D1422" s="160">
        <f t="shared" si="19"/>
        <v>0.5</v>
      </c>
      <c r="E1422" s="206"/>
      <c r="F1422" s="206"/>
      <c r="G1422" s="206"/>
      <c r="H1422" s="206"/>
      <c r="I1422" s="206"/>
    </row>
    <row r="1423" spans="1:9" x14ac:dyDescent="0.35">
      <c r="A1423" s="160">
        <f t="shared" si="16"/>
        <v>0</v>
      </c>
      <c r="B1423" s="160">
        <f t="shared" si="17"/>
        <v>0</v>
      </c>
      <c r="C1423" s="160">
        <f t="shared" si="18"/>
        <v>0</v>
      </c>
      <c r="D1423" s="160">
        <f t="shared" si="19"/>
        <v>1</v>
      </c>
      <c r="E1423" s="206"/>
      <c r="F1423" s="206"/>
      <c r="G1423" s="206"/>
      <c r="H1423" s="206"/>
      <c r="I1423" s="206"/>
    </row>
    <row r="1424" spans="1:9" x14ac:dyDescent="0.35">
      <c r="A1424" s="160">
        <f t="shared" si="16"/>
        <v>0</v>
      </c>
      <c r="B1424" s="160">
        <f t="shared" si="17"/>
        <v>0</v>
      </c>
      <c r="C1424" s="160">
        <f t="shared" si="18"/>
        <v>0</v>
      </c>
      <c r="D1424" s="160">
        <f t="shared" si="19"/>
        <v>1</v>
      </c>
      <c r="E1424" s="206"/>
      <c r="F1424" s="206"/>
      <c r="G1424" s="206"/>
      <c r="H1424" s="206"/>
      <c r="I1424" s="206"/>
    </row>
    <row r="1425" spans="1:9" x14ac:dyDescent="0.35">
      <c r="A1425" s="160">
        <f t="shared" si="16"/>
        <v>1</v>
      </c>
      <c r="B1425" s="160">
        <f t="shared" si="17"/>
        <v>0</v>
      </c>
      <c r="C1425" s="160">
        <f t="shared" si="18"/>
        <v>1</v>
      </c>
      <c r="D1425" s="160">
        <f t="shared" si="19"/>
        <v>0.5</v>
      </c>
      <c r="E1425" s="206"/>
      <c r="F1425" s="206"/>
      <c r="G1425" s="206"/>
      <c r="H1425" s="206"/>
      <c r="I1425" s="206"/>
    </row>
    <row r="1426" spans="1:9" x14ac:dyDescent="0.35">
      <c r="A1426" s="160">
        <f t="shared" si="16"/>
        <v>1</v>
      </c>
      <c r="B1426" s="160">
        <f t="shared" si="17"/>
        <v>0</v>
      </c>
      <c r="C1426" s="160">
        <f t="shared" si="18"/>
        <v>1</v>
      </c>
      <c r="D1426" s="160">
        <f t="shared" si="19"/>
        <v>0.5</v>
      </c>
      <c r="E1426" s="206"/>
      <c r="F1426" s="206"/>
      <c r="G1426" s="206"/>
      <c r="H1426" s="206"/>
      <c r="I1426" s="206"/>
    </row>
    <row r="1427" spans="1:9" x14ac:dyDescent="0.35">
      <c r="A1427" s="160">
        <f t="shared" si="16"/>
        <v>5</v>
      </c>
      <c r="B1427" s="160">
        <f t="shared" si="17"/>
        <v>1</v>
      </c>
      <c r="C1427" s="160">
        <f t="shared" si="18"/>
        <v>6</v>
      </c>
      <c r="D1427" s="160">
        <f t="shared" si="19"/>
        <v>0.14285714285714285</v>
      </c>
      <c r="E1427" s="206"/>
      <c r="F1427" s="206"/>
      <c r="G1427" s="206"/>
      <c r="H1427" s="206"/>
      <c r="I1427" s="206"/>
    </row>
    <row r="1428" spans="1:9" x14ac:dyDescent="0.35">
      <c r="A1428" s="160">
        <f t="shared" si="16"/>
        <v>1</v>
      </c>
      <c r="B1428" s="160">
        <f t="shared" si="17"/>
        <v>0</v>
      </c>
      <c r="C1428" s="160">
        <f t="shared" si="18"/>
        <v>1</v>
      </c>
      <c r="D1428" s="160">
        <f t="shared" si="19"/>
        <v>0.5</v>
      </c>
      <c r="E1428" s="206"/>
      <c r="F1428" s="206"/>
      <c r="G1428" s="206"/>
      <c r="H1428" s="206"/>
      <c r="I1428" s="206"/>
    </row>
    <row r="1429" spans="1:9" x14ac:dyDescent="0.35">
      <c r="A1429" s="160">
        <f t="shared" si="16"/>
        <v>4</v>
      </c>
      <c r="B1429" s="160">
        <f t="shared" si="17"/>
        <v>4</v>
      </c>
      <c r="C1429" s="160">
        <f t="shared" si="18"/>
        <v>8</v>
      </c>
      <c r="D1429" s="160">
        <f t="shared" si="19"/>
        <v>0.1111111111111111</v>
      </c>
      <c r="E1429" s="206"/>
      <c r="F1429" s="206"/>
      <c r="G1429" s="206"/>
      <c r="H1429" s="206"/>
      <c r="I1429" s="206"/>
    </row>
    <row r="1430" spans="1:9" x14ac:dyDescent="0.35">
      <c r="A1430" s="160">
        <f t="shared" si="16"/>
        <v>3</v>
      </c>
      <c r="B1430" s="160">
        <f t="shared" si="17"/>
        <v>0</v>
      </c>
      <c r="C1430" s="160">
        <f t="shared" si="18"/>
        <v>3</v>
      </c>
      <c r="D1430" s="160">
        <f t="shared" si="19"/>
        <v>0.25</v>
      </c>
      <c r="E1430" s="206"/>
      <c r="F1430" s="206"/>
      <c r="G1430" s="206"/>
      <c r="H1430" s="206"/>
      <c r="I1430" s="206"/>
    </row>
    <row r="1431" spans="1:9" x14ac:dyDescent="0.35">
      <c r="A1431" s="160">
        <f t="shared" si="16"/>
        <v>1</v>
      </c>
      <c r="B1431" s="160">
        <f t="shared" si="17"/>
        <v>1</v>
      </c>
      <c r="C1431" s="160">
        <f t="shared" si="18"/>
        <v>2</v>
      </c>
      <c r="D1431" s="160">
        <f t="shared" si="19"/>
        <v>0.33333333333333331</v>
      </c>
      <c r="E1431" s="206"/>
      <c r="F1431" s="206"/>
      <c r="G1431" s="206"/>
      <c r="H1431" s="206"/>
      <c r="I1431" s="206"/>
    </row>
    <row r="1432" spans="1:9" x14ac:dyDescent="0.35">
      <c r="A1432" s="160">
        <f t="shared" si="16"/>
        <v>5</v>
      </c>
      <c r="B1432" s="160">
        <f t="shared" si="17"/>
        <v>1</v>
      </c>
      <c r="C1432" s="160">
        <f t="shared" si="18"/>
        <v>6</v>
      </c>
      <c r="D1432" s="160">
        <f t="shared" si="19"/>
        <v>0.14285714285714285</v>
      </c>
      <c r="E1432" s="206"/>
      <c r="F1432" s="206"/>
      <c r="G1432" s="206"/>
      <c r="H1432" s="206"/>
      <c r="I1432" s="206"/>
    </row>
    <row r="1433" spans="1:9" x14ac:dyDescent="0.35">
      <c r="A1433" s="160">
        <f t="shared" si="16"/>
        <v>1</v>
      </c>
      <c r="B1433" s="160">
        <f t="shared" si="17"/>
        <v>0</v>
      </c>
      <c r="C1433" s="160">
        <f t="shared" si="18"/>
        <v>1</v>
      </c>
      <c r="D1433" s="160">
        <f t="shared" si="19"/>
        <v>0.5</v>
      </c>
      <c r="E1433" s="206"/>
      <c r="F1433" s="206"/>
      <c r="G1433" s="206"/>
      <c r="H1433" s="206"/>
      <c r="I1433" s="206"/>
    </row>
    <row r="1434" spans="1:9" x14ac:dyDescent="0.35">
      <c r="A1434" s="160">
        <f t="shared" si="16"/>
        <v>1</v>
      </c>
      <c r="B1434" s="160">
        <f t="shared" si="17"/>
        <v>0</v>
      </c>
      <c r="C1434" s="160">
        <f t="shared" si="18"/>
        <v>1</v>
      </c>
      <c r="D1434" s="160">
        <f t="shared" si="19"/>
        <v>0.5</v>
      </c>
      <c r="E1434" s="206"/>
      <c r="F1434" s="206"/>
      <c r="G1434" s="206"/>
      <c r="H1434" s="206"/>
      <c r="I1434" s="206"/>
    </row>
    <row r="1435" spans="1:9" x14ac:dyDescent="0.35">
      <c r="A1435" s="160">
        <f t="shared" si="16"/>
        <v>0</v>
      </c>
      <c r="B1435" s="160">
        <f t="shared" si="17"/>
        <v>0</v>
      </c>
      <c r="C1435" s="160">
        <f t="shared" si="18"/>
        <v>0</v>
      </c>
      <c r="D1435" s="160">
        <f t="shared" si="19"/>
        <v>1</v>
      </c>
      <c r="E1435" s="206"/>
      <c r="F1435" s="206"/>
      <c r="G1435" s="206"/>
      <c r="H1435" s="206"/>
      <c r="I1435" s="206"/>
    </row>
    <row r="1436" spans="1:9" x14ac:dyDescent="0.35">
      <c r="A1436" s="160">
        <f t="shared" si="16"/>
        <v>1</v>
      </c>
      <c r="B1436" s="160">
        <f t="shared" si="17"/>
        <v>0</v>
      </c>
      <c r="C1436" s="160">
        <f t="shared" si="18"/>
        <v>1</v>
      </c>
      <c r="D1436" s="160">
        <f t="shared" si="19"/>
        <v>0.5</v>
      </c>
      <c r="E1436" s="206"/>
      <c r="F1436" s="206"/>
      <c r="G1436" s="206"/>
      <c r="H1436" s="206"/>
      <c r="I1436" s="206"/>
    </row>
    <row r="1437" spans="1:9" x14ac:dyDescent="0.35">
      <c r="A1437" s="160">
        <f t="shared" si="16"/>
        <v>1</v>
      </c>
      <c r="B1437" s="160">
        <f t="shared" si="17"/>
        <v>3</v>
      </c>
      <c r="C1437" s="160">
        <f t="shared" si="18"/>
        <v>4</v>
      </c>
      <c r="D1437" s="160">
        <f t="shared" si="19"/>
        <v>0.2</v>
      </c>
      <c r="E1437" s="206"/>
      <c r="F1437" s="206"/>
      <c r="G1437" s="206"/>
      <c r="H1437" s="206"/>
      <c r="I1437" s="206"/>
    </row>
    <row r="1438" spans="1:9" x14ac:dyDescent="0.35">
      <c r="A1438" s="160">
        <f t="shared" si="16"/>
        <v>1</v>
      </c>
      <c r="B1438" s="160">
        <f t="shared" si="17"/>
        <v>0</v>
      </c>
      <c r="C1438" s="160">
        <f t="shared" si="18"/>
        <v>1</v>
      </c>
      <c r="D1438" s="160">
        <f t="shared" si="19"/>
        <v>0.5</v>
      </c>
      <c r="E1438" s="206"/>
      <c r="F1438" s="206"/>
      <c r="G1438" s="206"/>
      <c r="H1438" s="206"/>
      <c r="I1438" s="206"/>
    </row>
    <row r="1439" spans="1:9" x14ac:dyDescent="0.35">
      <c r="A1439" s="160">
        <f t="shared" si="16"/>
        <v>4</v>
      </c>
      <c r="B1439" s="160">
        <f t="shared" si="17"/>
        <v>0</v>
      </c>
      <c r="C1439" s="160">
        <f t="shared" si="18"/>
        <v>4</v>
      </c>
      <c r="D1439" s="160">
        <f t="shared" si="19"/>
        <v>0.2</v>
      </c>
      <c r="E1439" s="206"/>
      <c r="F1439" s="206"/>
      <c r="G1439" s="206"/>
      <c r="H1439" s="206"/>
      <c r="I1439" s="206"/>
    </row>
    <row r="1440" spans="1:9" x14ac:dyDescent="0.35">
      <c r="A1440" s="160">
        <f t="shared" si="16"/>
        <v>3</v>
      </c>
      <c r="B1440" s="160">
        <f t="shared" si="17"/>
        <v>1</v>
      </c>
      <c r="C1440" s="160">
        <f t="shared" si="18"/>
        <v>4</v>
      </c>
      <c r="D1440" s="160">
        <f t="shared" si="19"/>
        <v>0.2</v>
      </c>
      <c r="E1440" s="206"/>
      <c r="F1440" s="206"/>
      <c r="G1440" s="206"/>
      <c r="H1440" s="206"/>
      <c r="I1440" s="206"/>
    </row>
    <row r="1441" spans="1:9" x14ac:dyDescent="0.35">
      <c r="A1441" s="160">
        <f t="shared" si="16"/>
        <v>1</v>
      </c>
      <c r="B1441" s="160">
        <f t="shared" si="17"/>
        <v>1</v>
      </c>
      <c r="C1441" s="160">
        <f t="shared" si="18"/>
        <v>2</v>
      </c>
      <c r="D1441" s="160">
        <f t="shared" si="19"/>
        <v>0.33333333333333331</v>
      </c>
      <c r="E1441" s="206"/>
      <c r="F1441" s="206"/>
      <c r="G1441" s="206"/>
      <c r="H1441" s="206"/>
      <c r="I1441" s="206"/>
    </row>
    <row r="1442" spans="1:9" x14ac:dyDescent="0.35">
      <c r="A1442" s="160">
        <f t="shared" si="16"/>
        <v>0</v>
      </c>
      <c r="B1442" s="160">
        <f t="shared" si="17"/>
        <v>0</v>
      </c>
      <c r="C1442" s="160">
        <f t="shared" si="18"/>
        <v>0</v>
      </c>
      <c r="D1442" s="160">
        <f t="shared" si="19"/>
        <v>1</v>
      </c>
      <c r="E1442" s="206"/>
      <c r="F1442" s="206"/>
      <c r="G1442" s="206"/>
      <c r="H1442" s="206"/>
      <c r="I1442" s="206"/>
    </row>
    <row r="1443" spans="1:9" x14ac:dyDescent="0.35">
      <c r="A1443" s="160">
        <f t="shared" ref="A1443:A1506" si="20">SUMPRODUCT(($R$4:$R$1115=R325)*($Q$4:$Q$1115=Q325)*(ROW($R$4:$R$1115)&gt;ROW(R325)))</f>
        <v>0</v>
      </c>
      <c r="B1443" s="160">
        <f t="shared" ref="B1443:B1506" si="21">SUMPRODUCT(($K$4:$K$1115=K325)*($Q$4:$Q$1115=Q325)*(ROW($K$4:$K$1115)&gt;ROW(K325)))</f>
        <v>0</v>
      </c>
      <c r="C1443" s="160">
        <f t="shared" ref="C1443:C1506" si="22">SUM(A1443:B1443)</f>
        <v>0</v>
      </c>
      <c r="D1443" s="160">
        <f t="shared" ref="D1443:D1506" si="23">1/(1+C1443)</f>
        <v>1</v>
      </c>
      <c r="E1443" s="206"/>
      <c r="F1443" s="206"/>
      <c r="G1443" s="206"/>
      <c r="H1443" s="206"/>
      <c r="I1443" s="206"/>
    </row>
    <row r="1444" spans="1:9" x14ac:dyDescent="0.35">
      <c r="A1444" s="160">
        <f t="shared" si="20"/>
        <v>0</v>
      </c>
      <c r="B1444" s="160">
        <f t="shared" si="21"/>
        <v>0</v>
      </c>
      <c r="C1444" s="160">
        <f t="shared" si="22"/>
        <v>0</v>
      </c>
      <c r="D1444" s="160">
        <f t="shared" si="23"/>
        <v>1</v>
      </c>
      <c r="E1444" s="206"/>
      <c r="F1444" s="206"/>
      <c r="G1444" s="206"/>
      <c r="H1444" s="206"/>
      <c r="I1444" s="206"/>
    </row>
    <row r="1445" spans="1:9" x14ac:dyDescent="0.35">
      <c r="A1445" s="160">
        <f t="shared" si="20"/>
        <v>0</v>
      </c>
      <c r="B1445" s="160">
        <f t="shared" si="21"/>
        <v>2</v>
      </c>
      <c r="C1445" s="160">
        <f t="shared" si="22"/>
        <v>2</v>
      </c>
      <c r="D1445" s="160">
        <f t="shared" si="23"/>
        <v>0.33333333333333331</v>
      </c>
      <c r="E1445" s="206"/>
      <c r="F1445" s="206"/>
      <c r="G1445" s="206"/>
      <c r="H1445" s="206"/>
      <c r="I1445" s="206"/>
    </row>
    <row r="1446" spans="1:9" x14ac:dyDescent="0.35">
      <c r="A1446" s="160">
        <f t="shared" si="20"/>
        <v>0</v>
      </c>
      <c r="B1446" s="160">
        <f t="shared" si="21"/>
        <v>0</v>
      </c>
      <c r="C1446" s="160">
        <f t="shared" si="22"/>
        <v>0</v>
      </c>
      <c r="D1446" s="160">
        <f t="shared" si="23"/>
        <v>1</v>
      </c>
      <c r="E1446" s="206"/>
      <c r="F1446" s="206"/>
      <c r="G1446" s="206"/>
      <c r="H1446" s="206"/>
      <c r="I1446" s="206"/>
    </row>
    <row r="1447" spans="1:9" x14ac:dyDescent="0.35">
      <c r="A1447" s="160">
        <f t="shared" si="20"/>
        <v>0</v>
      </c>
      <c r="B1447" s="160">
        <f t="shared" si="21"/>
        <v>0</v>
      </c>
      <c r="C1447" s="160">
        <f t="shared" si="22"/>
        <v>0</v>
      </c>
      <c r="D1447" s="160">
        <f t="shared" si="23"/>
        <v>1</v>
      </c>
      <c r="E1447" s="206"/>
      <c r="F1447" s="206"/>
      <c r="G1447" s="206"/>
      <c r="H1447" s="206"/>
      <c r="I1447" s="206"/>
    </row>
    <row r="1448" spans="1:9" x14ac:dyDescent="0.35">
      <c r="A1448" s="160">
        <f t="shared" si="20"/>
        <v>0</v>
      </c>
      <c r="B1448" s="160">
        <f t="shared" si="21"/>
        <v>1</v>
      </c>
      <c r="C1448" s="160">
        <f t="shared" si="22"/>
        <v>1</v>
      </c>
      <c r="D1448" s="160">
        <f t="shared" si="23"/>
        <v>0.5</v>
      </c>
      <c r="E1448" s="206"/>
      <c r="F1448" s="206"/>
      <c r="G1448" s="206"/>
      <c r="H1448" s="206"/>
      <c r="I1448" s="206"/>
    </row>
    <row r="1449" spans="1:9" x14ac:dyDescent="0.35">
      <c r="A1449" s="160">
        <f t="shared" si="20"/>
        <v>0</v>
      </c>
      <c r="B1449" s="160">
        <f t="shared" si="21"/>
        <v>0</v>
      </c>
      <c r="C1449" s="160">
        <f t="shared" si="22"/>
        <v>0</v>
      </c>
      <c r="D1449" s="160">
        <f t="shared" si="23"/>
        <v>1</v>
      </c>
      <c r="E1449" s="206"/>
      <c r="F1449" s="206"/>
      <c r="G1449" s="206"/>
      <c r="H1449" s="206"/>
      <c r="I1449" s="206"/>
    </row>
    <row r="1450" spans="1:9" x14ac:dyDescent="0.35">
      <c r="A1450" s="160">
        <f t="shared" si="20"/>
        <v>0</v>
      </c>
      <c r="B1450" s="160">
        <f t="shared" si="21"/>
        <v>0</v>
      </c>
      <c r="C1450" s="160">
        <f t="shared" si="22"/>
        <v>0</v>
      </c>
      <c r="D1450" s="160">
        <f t="shared" si="23"/>
        <v>1</v>
      </c>
      <c r="E1450" s="206"/>
      <c r="F1450" s="206"/>
      <c r="G1450" s="206"/>
      <c r="H1450" s="206"/>
      <c r="I1450" s="206"/>
    </row>
    <row r="1451" spans="1:9" x14ac:dyDescent="0.35">
      <c r="A1451" s="160">
        <f t="shared" si="20"/>
        <v>0</v>
      </c>
      <c r="B1451" s="160">
        <f t="shared" si="21"/>
        <v>0</v>
      </c>
      <c r="C1451" s="160">
        <f t="shared" si="22"/>
        <v>0</v>
      </c>
      <c r="D1451" s="160">
        <f t="shared" si="23"/>
        <v>1</v>
      </c>
      <c r="E1451" s="206"/>
      <c r="F1451" s="206"/>
      <c r="G1451" s="206"/>
      <c r="H1451" s="206"/>
      <c r="I1451" s="206"/>
    </row>
    <row r="1452" spans="1:9" x14ac:dyDescent="0.35">
      <c r="A1452" s="160">
        <f t="shared" si="20"/>
        <v>1</v>
      </c>
      <c r="B1452" s="160">
        <f t="shared" si="21"/>
        <v>2</v>
      </c>
      <c r="C1452" s="160">
        <f t="shared" si="22"/>
        <v>3</v>
      </c>
      <c r="D1452" s="160">
        <f t="shared" si="23"/>
        <v>0.25</v>
      </c>
      <c r="E1452" s="206"/>
      <c r="F1452" s="206"/>
      <c r="G1452" s="206"/>
      <c r="H1452" s="206"/>
      <c r="I1452" s="206"/>
    </row>
    <row r="1453" spans="1:9" x14ac:dyDescent="0.35">
      <c r="A1453" s="160">
        <f t="shared" si="20"/>
        <v>3</v>
      </c>
      <c r="B1453" s="160">
        <f t="shared" si="21"/>
        <v>0</v>
      </c>
      <c r="C1453" s="160">
        <f t="shared" si="22"/>
        <v>3</v>
      </c>
      <c r="D1453" s="160">
        <f t="shared" si="23"/>
        <v>0.25</v>
      </c>
      <c r="E1453" s="206"/>
      <c r="F1453" s="206"/>
      <c r="G1453" s="206"/>
      <c r="H1453" s="206"/>
      <c r="I1453" s="206"/>
    </row>
    <row r="1454" spans="1:9" x14ac:dyDescent="0.35">
      <c r="A1454" s="160">
        <f t="shared" si="20"/>
        <v>1</v>
      </c>
      <c r="B1454" s="160">
        <f t="shared" si="21"/>
        <v>0</v>
      </c>
      <c r="C1454" s="160">
        <f t="shared" si="22"/>
        <v>1</v>
      </c>
      <c r="D1454" s="160">
        <f t="shared" si="23"/>
        <v>0.5</v>
      </c>
      <c r="E1454" s="206"/>
      <c r="F1454" s="206"/>
      <c r="G1454" s="206"/>
      <c r="H1454" s="206"/>
      <c r="I1454" s="206"/>
    </row>
    <row r="1455" spans="1:9" x14ac:dyDescent="0.35">
      <c r="A1455" s="160">
        <f t="shared" si="20"/>
        <v>4</v>
      </c>
      <c r="B1455" s="160">
        <f t="shared" si="21"/>
        <v>3</v>
      </c>
      <c r="C1455" s="160">
        <f t="shared" si="22"/>
        <v>7</v>
      </c>
      <c r="D1455" s="160">
        <f t="shared" si="23"/>
        <v>0.125</v>
      </c>
      <c r="E1455" s="206"/>
      <c r="F1455" s="206"/>
      <c r="G1455" s="206"/>
      <c r="H1455" s="206"/>
      <c r="I1455" s="206"/>
    </row>
    <row r="1456" spans="1:9" x14ac:dyDescent="0.35">
      <c r="A1456" s="160">
        <f t="shared" si="20"/>
        <v>1</v>
      </c>
      <c r="B1456" s="160">
        <f t="shared" si="21"/>
        <v>0</v>
      </c>
      <c r="C1456" s="160">
        <f t="shared" si="22"/>
        <v>1</v>
      </c>
      <c r="D1456" s="160">
        <f t="shared" si="23"/>
        <v>0.5</v>
      </c>
      <c r="E1456" s="206"/>
      <c r="F1456" s="206"/>
      <c r="G1456" s="206"/>
      <c r="H1456" s="206"/>
      <c r="I1456" s="206"/>
    </row>
    <row r="1457" spans="1:9" x14ac:dyDescent="0.35">
      <c r="A1457" s="160">
        <f t="shared" si="20"/>
        <v>0</v>
      </c>
      <c r="B1457" s="160">
        <f t="shared" si="21"/>
        <v>0</v>
      </c>
      <c r="C1457" s="160">
        <f t="shared" si="22"/>
        <v>0</v>
      </c>
      <c r="D1457" s="160">
        <f t="shared" si="23"/>
        <v>1</v>
      </c>
      <c r="E1457" s="206"/>
      <c r="F1457" s="206"/>
      <c r="G1457" s="206"/>
      <c r="H1457" s="206"/>
      <c r="I1457" s="206"/>
    </row>
    <row r="1458" spans="1:9" x14ac:dyDescent="0.35">
      <c r="A1458" s="160">
        <f t="shared" si="20"/>
        <v>5</v>
      </c>
      <c r="B1458" s="160">
        <f t="shared" si="21"/>
        <v>1</v>
      </c>
      <c r="C1458" s="160">
        <f t="shared" si="22"/>
        <v>6</v>
      </c>
      <c r="D1458" s="160">
        <f t="shared" si="23"/>
        <v>0.14285714285714285</v>
      </c>
      <c r="E1458" s="206"/>
      <c r="F1458" s="206"/>
      <c r="G1458" s="206"/>
      <c r="H1458" s="206"/>
      <c r="I1458" s="206"/>
    </row>
    <row r="1459" spans="1:9" x14ac:dyDescent="0.35">
      <c r="A1459" s="160">
        <f t="shared" si="20"/>
        <v>2</v>
      </c>
      <c r="B1459" s="160">
        <f t="shared" si="21"/>
        <v>3</v>
      </c>
      <c r="C1459" s="160">
        <f t="shared" si="22"/>
        <v>5</v>
      </c>
      <c r="D1459" s="160">
        <f t="shared" si="23"/>
        <v>0.16666666666666666</v>
      </c>
      <c r="E1459" s="206"/>
      <c r="F1459" s="206"/>
      <c r="G1459" s="206"/>
      <c r="H1459" s="206"/>
      <c r="I1459" s="206"/>
    </row>
    <row r="1460" spans="1:9" x14ac:dyDescent="0.35">
      <c r="A1460" s="160">
        <f t="shared" si="20"/>
        <v>0</v>
      </c>
      <c r="B1460" s="160">
        <f t="shared" si="21"/>
        <v>1</v>
      </c>
      <c r="C1460" s="160">
        <f t="shared" si="22"/>
        <v>1</v>
      </c>
      <c r="D1460" s="160">
        <f t="shared" si="23"/>
        <v>0.5</v>
      </c>
      <c r="E1460" s="206"/>
      <c r="F1460" s="206"/>
      <c r="G1460" s="206"/>
      <c r="H1460" s="206"/>
      <c r="I1460" s="206"/>
    </row>
    <row r="1461" spans="1:9" x14ac:dyDescent="0.35">
      <c r="A1461" s="160">
        <f t="shared" si="20"/>
        <v>0</v>
      </c>
      <c r="B1461" s="160">
        <f t="shared" si="21"/>
        <v>0</v>
      </c>
      <c r="C1461" s="160">
        <f t="shared" si="22"/>
        <v>0</v>
      </c>
      <c r="D1461" s="160">
        <f t="shared" si="23"/>
        <v>1</v>
      </c>
      <c r="E1461" s="206"/>
      <c r="F1461" s="206"/>
      <c r="G1461" s="206"/>
      <c r="H1461" s="206"/>
      <c r="I1461" s="206"/>
    </row>
    <row r="1462" spans="1:9" x14ac:dyDescent="0.35">
      <c r="A1462" s="160">
        <f t="shared" si="20"/>
        <v>0</v>
      </c>
      <c r="B1462" s="160">
        <f t="shared" si="21"/>
        <v>1</v>
      </c>
      <c r="C1462" s="160">
        <f t="shared" si="22"/>
        <v>1</v>
      </c>
      <c r="D1462" s="160">
        <f t="shared" si="23"/>
        <v>0.5</v>
      </c>
      <c r="E1462" s="206"/>
      <c r="F1462" s="206"/>
      <c r="G1462" s="206"/>
      <c r="H1462" s="206"/>
      <c r="I1462" s="206"/>
    </row>
    <row r="1463" spans="1:9" x14ac:dyDescent="0.35">
      <c r="A1463" s="160">
        <f t="shared" si="20"/>
        <v>1</v>
      </c>
      <c r="B1463" s="160">
        <f t="shared" si="21"/>
        <v>1</v>
      </c>
      <c r="C1463" s="160">
        <f t="shared" si="22"/>
        <v>2</v>
      </c>
      <c r="D1463" s="160">
        <f t="shared" si="23"/>
        <v>0.33333333333333331</v>
      </c>
      <c r="E1463" s="206"/>
      <c r="F1463" s="206"/>
      <c r="G1463" s="206"/>
      <c r="H1463" s="206"/>
      <c r="I1463" s="206"/>
    </row>
    <row r="1464" spans="1:9" x14ac:dyDescent="0.35">
      <c r="A1464" s="160">
        <f t="shared" si="20"/>
        <v>2</v>
      </c>
      <c r="B1464" s="160">
        <f t="shared" si="21"/>
        <v>0</v>
      </c>
      <c r="C1464" s="160">
        <f t="shared" si="22"/>
        <v>2</v>
      </c>
      <c r="D1464" s="160">
        <f t="shared" si="23"/>
        <v>0.33333333333333331</v>
      </c>
      <c r="E1464" s="206"/>
      <c r="F1464" s="206"/>
      <c r="G1464" s="206"/>
      <c r="H1464" s="206"/>
      <c r="I1464" s="206"/>
    </row>
    <row r="1465" spans="1:9" x14ac:dyDescent="0.35">
      <c r="A1465" s="160">
        <f t="shared" si="20"/>
        <v>0</v>
      </c>
      <c r="B1465" s="160">
        <f t="shared" si="21"/>
        <v>1</v>
      </c>
      <c r="C1465" s="160">
        <f t="shared" si="22"/>
        <v>1</v>
      </c>
      <c r="D1465" s="160">
        <f t="shared" si="23"/>
        <v>0.5</v>
      </c>
      <c r="E1465" s="206"/>
      <c r="F1465" s="206"/>
      <c r="G1465" s="206"/>
      <c r="H1465" s="206"/>
      <c r="I1465" s="206"/>
    </row>
    <row r="1466" spans="1:9" x14ac:dyDescent="0.35">
      <c r="A1466" s="160">
        <f t="shared" si="20"/>
        <v>0</v>
      </c>
      <c r="B1466" s="160">
        <f t="shared" si="21"/>
        <v>0</v>
      </c>
      <c r="C1466" s="160">
        <f t="shared" si="22"/>
        <v>0</v>
      </c>
      <c r="D1466" s="160">
        <f t="shared" si="23"/>
        <v>1</v>
      </c>
      <c r="E1466" s="206"/>
      <c r="F1466" s="206"/>
      <c r="G1466" s="206"/>
      <c r="H1466" s="206"/>
      <c r="I1466" s="206"/>
    </row>
    <row r="1467" spans="1:9" x14ac:dyDescent="0.35">
      <c r="A1467" s="160">
        <f t="shared" si="20"/>
        <v>0</v>
      </c>
      <c r="B1467" s="160">
        <f t="shared" si="21"/>
        <v>0</v>
      </c>
      <c r="C1467" s="160">
        <f t="shared" si="22"/>
        <v>0</v>
      </c>
      <c r="D1467" s="160">
        <f t="shared" si="23"/>
        <v>1</v>
      </c>
      <c r="E1467" s="206"/>
      <c r="F1467" s="206"/>
      <c r="G1467" s="206"/>
      <c r="H1467" s="206"/>
      <c r="I1467" s="206"/>
    </row>
    <row r="1468" spans="1:9" x14ac:dyDescent="0.35">
      <c r="A1468" s="160">
        <f t="shared" si="20"/>
        <v>2</v>
      </c>
      <c r="B1468" s="160">
        <f t="shared" si="21"/>
        <v>5</v>
      </c>
      <c r="C1468" s="160">
        <f t="shared" si="22"/>
        <v>7</v>
      </c>
      <c r="D1468" s="160">
        <f t="shared" si="23"/>
        <v>0.125</v>
      </c>
      <c r="E1468" s="206"/>
      <c r="F1468" s="206"/>
      <c r="G1468" s="206"/>
      <c r="H1468" s="206"/>
      <c r="I1468" s="206"/>
    </row>
    <row r="1469" spans="1:9" x14ac:dyDescent="0.35">
      <c r="A1469" s="160">
        <f t="shared" si="20"/>
        <v>0</v>
      </c>
      <c r="B1469" s="160">
        <f t="shared" si="21"/>
        <v>1</v>
      </c>
      <c r="C1469" s="160">
        <f t="shared" si="22"/>
        <v>1</v>
      </c>
      <c r="D1469" s="160">
        <f t="shared" si="23"/>
        <v>0.5</v>
      </c>
      <c r="E1469" s="206"/>
      <c r="F1469" s="206"/>
      <c r="G1469" s="206"/>
      <c r="H1469" s="206"/>
      <c r="I1469" s="206"/>
    </row>
    <row r="1470" spans="1:9" x14ac:dyDescent="0.35">
      <c r="A1470" s="160">
        <f t="shared" si="20"/>
        <v>0</v>
      </c>
      <c r="B1470" s="160">
        <f t="shared" si="21"/>
        <v>5</v>
      </c>
      <c r="C1470" s="160">
        <f t="shared" si="22"/>
        <v>5</v>
      </c>
      <c r="D1470" s="160">
        <f t="shared" si="23"/>
        <v>0.16666666666666666</v>
      </c>
      <c r="E1470" s="206"/>
      <c r="F1470" s="206"/>
      <c r="G1470" s="206"/>
      <c r="H1470" s="206"/>
      <c r="I1470" s="206"/>
    </row>
    <row r="1471" spans="1:9" x14ac:dyDescent="0.35">
      <c r="A1471" s="160">
        <f t="shared" si="20"/>
        <v>0</v>
      </c>
      <c r="B1471" s="160">
        <f t="shared" si="21"/>
        <v>1</v>
      </c>
      <c r="C1471" s="160">
        <f t="shared" si="22"/>
        <v>1</v>
      </c>
      <c r="D1471" s="160">
        <f t="shared" si="23"/>
        <v>0.5</v>
      </c>
      <c r="E1471" s="206"/>
      <c r="F1471" s="206"/>
      <c r="G1471" s="206"/>
      <c r="H1471" s="206"/>
      <c r="I1471" s="206"/>
    </row>
    <row r="1472" spans="1:9" x14ac:dyDescent="0.35">
      <c r="A1472" s="160">
        <f t="shared" si="20"/>
        <v>1</v>
      </c>
      <c r="B1472" s="160">
        <f t="shared" si="21"/>
        <v>0</v>
      </c>
      <c r="C1472" s="160">
        <f t="shared" si="22"/>
        <v>1</v>
      </c>
      <c r="D1472" s="160">
        <f t="shared" si="23"/>
        <v>0.5</v>
      </c>
      <c r="E1472" s="206"/>
      <c r="F1472" s="206"/>
      <c r="G1472" s="206"/>
      <c r="H1472" s="206"/>
      <c r="I1472" s="206"/>
    </row>
    <row r="1473" spans="1:9" x14ac:dyDescent="0.35">
      <c r="A1473" s="160">
        <f t="shared" si="20"/>
        <v>0</v>
      </c>
      <c r="B1473" s="160">
        <f t="shared" si="21"/>
        <v>0</v>
      </c>
      <c r="C1473" s="160">
        <f t="shared" si="22"/>
        <v>0</v>
      </c>
      <c r="D1473" s="160">
        <f t="shared" si="23"/>
        <v>1</v>
      </c>
      <c r="E1473" s="206"/>
      <c r="F1473" s="206"/>
      <c r="G1473" s="206"/>
      <c r="H1473" s="206"/>
      <c r="I1473" s="206"/>
    </row>
    <row r="1474" spans="1:9" x14ac:dyDescent="0.35">
      <c r="A1474" s="160">
        <f t="shared" si="20"/>
        <v>5</v>
      </c>
      <c r="B1474" s="160">
        <f t="shared" si="21"/>
        <v>2</v>
      </c>
      <c r="C1474" s="160">
        <f t="shared" si="22"/>
        <v>7</v>
      </c>
      <c r="D1474" s="160">
        <f t="shared" si="23"/>
        <v>0.125</v>
      </c>
      <c r="E1474" s="206"/>
      <c r="F1474" s="206"/>
      <c r="G1474" s="206"/>
      <c r="H1474" s="206"/>
      <c r="I1474" s="206"/>
    </row>
    <row r="1475" spans="1:9" x14ac:dyDescent="0.35">
      <c r="A1475" s="160">
        <f t="shared" si="20"/>
        <v>0</v>
      </c>
      <c r="B1475" s="160">
        <f t="shared" si="21"/>
        <v>0</v>
      </c>
      <c r="C1475" s="160">
        <f t="shared" si="22"/>
        <v>0</v>
      </c>
      <c r="D1475" s="160">
        <f t="shared" si="23"/>
        <v>1</v>
      </c>
      <c r="E1475" s="206"/>
      <c r="F1475" s="206"/>
      <c r="G1475" s="206"/>
      <c r="H1475" s="206"/>
      <c r="I1475" s="206"/>
    </row>
    <row r="1476" spans="1:9" x14ac:dyDescent="0.35">
      <c r="A1476" s="160">
        <f t="shared" si="20"/>
        <v>1</v>
      </c>
      <c r="B1476" s="160">
        <f t="shared" si="21"/>
        <v>0</v>
      </c>
      <c r="C1476" s="160">
        <f t="shared" si="22"/>
        <v>1</v>
      </c>
      <c r="D1476" s="160">
        <f t="shared" si="23"/>
        <v>0.5</v>
      </c>
      <c r="E1476" s="206"/>
      <c r="F1476" s="206"/>
      <c r="G1476" s="206"/>
      <c r="H1476" s="206"/>
      <c r="I1476" s="206"/>
    </row>
    <row r="1477" spans="1:9" x14ac:dyDescent="0.35">
      <c r="A1477" s="160">
        <f t="shared" si="20"/>
        <v>1</v>
      </c>
      <c r="B1477" s="160">
        <f t="shared" si="21"/>
        <v>0</v>
      </c>
      <c r="C1477" s="160">
        <f t="shared" si="22"/>
        <v>1</v>
      </c>
      <c r="D1477" s="160">
        <f t="shared" si="23"/>
        <v>0.5</v>
      </c>
      <c r="E1477" s="206"/>
      <c r="F1477" s="206"/>
      <c r="G1477" s="206"/>
      <c r="H1477" s="206"/>
      <c r="I1477" s="206"/>
    </row>
    <row r="1478" spans="1:9" x14ac:dyDescent="0.35">
      <c r="A1478" s="160">
        <f t="shared" si="20"/>
        <v>5</v>
      </c>
      <c r="B1478" s="160">
        <f t="shared" si="21"/>
        <v>3</v>
      </c>
      <c r="C1478" s="160">
        <f t="shared" si="22"/>
        <v>8</v>
      </c>
      <c r="D1478" s="160">
        <f t="shared" si="23"/>
        <v>0.1111111111111111</v>
      </c>
      <c r="E1478" s="206"/>
      <c r="F1478" s="206"/>
      <c r="G1478" s="206"/>
      <c r="H1478" s="206"/>
      <c r="I1478" s="206"/>
    </row>
    <row r="1479" spans="1:9" x14ac:dyDescent="0.35">
      <c r="A1479" s="160">
        <f t="shared" si="20"/>
        <v>2</v>
      </c>
      <c r="B1479" s="160">
        <f t="shared" si="21"/>
        <v>2</v>
      </c>
      <c r="C1479" s="160">
        <f t="shared" si="22"/>
        <v>4</v>
      </c>
      <c r="D1479" s="160">
        <f t="shared" si="23"/>
        <v>0.2</v>
      </c>
      <c r="E1479" s="206"/>
      <c r="F1479" s="206"/>
      <c r="G1479" s="206"/>
      <c r="H1479" s="206"/>
      <c r="I1479" s="206"/>
    </row>
    <row r="1480" spans="1:9" x14ac:dyDescent="0.35">
      <c r="A1480" s="160">
        <f t="shared" si="20"/>
        <v>8</v>
      </c>
      <c r="B1480" s="160">
        <f t="shared" si="21"/>
        <v>2</v>
      </c>
      <c r="C1480" s="160">
        <f t="shared" si="22"/>
        <v>10</v>
      </c>
      <c r="D1480" s="160">
        <f t="shared" si="23"/>
        <v>9.0909090909090912E-2</v>
      </c>
      <c r="E1480" s="206"/>
      <c r="F1480" s="206"/>
      <c r="G1480" s="206"/>
      <c r="H1480" s="206"/>
      <c r="I1480" s="206"/>
    </row>
    <row r="1481" spans="1:9" x14ac:dyDescent="0.35">
      <c r="A1481" s="160">
        <f t="shared" si="20"/>
        <v>0</v>
      </c>
      <c r="B1481" s="160">
        <f t="shared" si="21"/>
        <v>1</v>
      </c>
      <c r="C1481" s="160">
        <f t="shared" si="22"/>
        <v>1</v>
      </c>
      <c r="D1481" s="160">
        <f t="shared" si="23"/>
        <v>0.5</v>
      </c>
      <c r="E1481" s="206"/>
      <c r="F1481" s="206"/>
      <c r="G1481" s="206"/>
      <c r="H1481" s="206"/>
      <c r="I1481" s="206"/>
    </row>
    <row r="1482" spans="1:9" x14ac:dyDescent="0.35">
      <c r="A1482" s="160">
        <f t="shared" si="20"/>
        <v>4</v>
      </c>
      <c r="B1482" s="160">
        <f t="shared" si="21"/>
        <v>2</v>
      </c>
      <c r="C1482" s="160">
        <f t="shared" si="22"/>
        <v>6</v>
      </c>
      <c r="D1482" s="160">
        <f t="shared" si="23"/>
        <v>0.14285714285714285</v>
      </c>
      <c r="E1482" s="206"/>
      <c r="F1482" s="206"/>
      <c r="G1482" s="206"/>
      <c r="H1482" s="206"/>
      <c r="I1482" s="206"/>
    </row>
    <row r="1483" spans="1:9" x14ac:dyDescent="0.35">
      <c r="A1483" s="160">
        <f t="shared" si="20"/>
        <v>2</v>
      </c>
      <c r="B1483" s="160">
        <f t="shared" si="21"/>
        <v>1</v>
      </c>
      <c r="C1483" s="160">
        <f t="shared" si="22"/>
        <v>3</v>
      </c>
      <c r="D1483" s="160">
        <f t="shared" si="23"/>
        <v>0.25</v>
      </c>
      <c r="E1483" s="206"/>
      <c r="F1483" s="206"/>
      <c r="G1483" s="206"/>
      <c r="H1483" s="206"/>
      <c r="I1483" s="206"/>
    </row>
    <row r="1484" spans="1:9" x14ac:dyDescent="0.35">
      <c r="A1484" s="160">
        <f t="shared" si="20"/>
        <v>2</v>
      </c>
      <c r="B1484" s="160">
        <f t="shared" si="21"/>
        <v>0</v>
      </c>
      <c r="C1484" s="160">
        <f t="shared" si="22"/>
        <v>2</v>
      </c>
      <c r="D1484" s="160">
        <f t="shared" si="23"/>
        <v>0.33333333333333331</v>
      </c>
      <c r="E1484" s="206"/>
      <c r="F1484" s="206"/>
      <c r="G1484" s="206"/>
      <c r="H1484" s="206"/>
      <c r="I1484" s="206"/>
    </row>
    <row r="1485" spans="1:9" x14ac:dyDescent="0.35">
      <c r="A1485" s="160">
        <f t="shared" si="20"/>
        <v>1</v>
      </c>
      <c r="B1485" s="160">
        <f t="shared" si="21"/>
        <v>0</v>
      </c>
      <c r="C1485" s="160">
        <f t="shared" si="22"/>
        <v>1</v>
      </c>
      <c r="D1485" s="160">
        <f t="shared" si="23"/>
        <v>0.5</v>
      </c>
      <c r="E1485" s="206"/>
      <c r="F1485" s="206"/>
      <c r="G1485" s="206"/>
      <c r="H1485" s="206"/>
      <c r="I1485" s="206"/>
    </row>
    <row r="1486" spans="1:9" x14ac:dyDescent="0.35">
      <c r="A1486" s="160">
        <f t="shared" si="20"/>
        <v>0</v>
      </c>
      <c r="B1486" s="160">
        <f t="shared" si="21"/>
        <v>1</v>
      </c>
      <c r="C1486" s="160">
        <f t="shared" si="22"/>
        <v>1</v>
      </c>
      <c r="D1486" s="160">
        <f t="shared" si="23"/>
        <v>0.5</v>
      </c>
      <c r="E1486" s="206"/>
      <c r="F1486" s="206"/>
      <c r="G1486" s="206"/>
      <c r="H1486" s="206"/>
      <c r="I1486" s="206"/>
    </row>
    <row r="1487" spans="1:9" x14ac:dyDescent="0.35">
      <c r="A1487" s="160">
        <f t="shared" si="20"/>
        <v>0</v>
      </c>
      <c r="B1487" s="160">
        <f t="shared" si="21"/>
        <v>0</v>
      </c>
      <c r="C1487" s="160">
        <f t="shared" si="22"/>
        <v>0</v>
      </c>
      <c r="D1487" s="160">
        <f t="shared" si="23"/>
        <v>1</v>
      </c>
      <c r="E1487" s="206"/>
      <c r="F1487" s="206"/>
      <c r="G1487" s="206"/>
      <c r="H1487" s="206"/>
      <c r="I1487" s="206"/>
    </row>
    <row r="1488" spans="1:9" x14ac:dyDescent="0.35">
      <c r="A1488" s="160">
        <f t="shared" si="20"/>
        <v>0</v>
      </c>
      <c r="B1488" s="160">
        <f t="shared" si="21"/>
        <v>1</v>
      </c>
      <c r="C1488" s="160">
        <f t="shared" si="22"/>
        <v>1</v>
      </c>
      <c r="D1488" s="160">
        <f t="shared" si="23"/>
        <v>0.5</v>
      </c>
      <c r="E1488" s="206"/>
      <c r="F1488" s="206"/>
      <c r="G1488" s="206"/>
      <c r="H1488" s="206"/>
      <c r="I1488" s="206"/>
    </row>
    <row r="1489" spans="1:9" x14ac:dyDescent="0.35">
      <c r="A1489" s="160">
        <f t="shared" si="20"/>
        <v>0</v>
      </c>
      <c r="B1489" s="160">
        <f t="shared" si="21"/>
        <v>0</v>
      </c>
      <c r="C1489" s="160">
        <f t="shared" si="22"/>
        <v>0</v>
      </c>
      <c r="D1489" s="160">
        <f t="shared" si="23"/>
        <v>1</v>
      </c>
      <c r="E1489" s="206"/>
      <c r="F1489" s="206"/>
      <c r="G1489" s="206"/>
      <c r="H1489" s="206"/>
      <c r="I1489" s="206"/>
    </row>
    <row r="1490" spans="1:9" x14ac:dyDescent="0.35">
      <c r="A1490" s="160">
        <f t="shared" si="20"/>
        <v>0</v>
      </c>
      <c r="B1490" s="160">
        <f t="shared" si="21"/>
        <v>0</v>
      </c>
      <c r="C1490" s="160">
        <f t="shared" si="22"/>
        <v>0</v>
      </c>
      <c r="D1490" s="160">
        <f t="shared" si="23"/>
        <v>1</v>
      </c>
      <c r="E1490" s="206"/>
      <c r="F1490" s="206"/>
      <c r="G1490" s="206"/>
      <c r="H1490" s="206"/>
      <c r="I1490" s="206"/>
    </row>
    <row r="1491" spans="1:9" x14ac:dyDescent="0.35">
      <c r="A1491" s="160">
        <f t="shared" si="20"/>
        <v>0</v>
      </c>
      <c r="B1491" s="160">
        <f t="shared" si="21"/>
        <v>0</v>
      </c>
      <c r="C1491" s="160">
        <f t="shared" si="22"/>
        <v>0</v>
      </c>
      <c r="D1491" s="160">
        <f t="shared" si="23"/>
        <v>1</v>
      </c>
      <c r="E1491" s="206"/>
      <c r="F1491" s="206"/>
      <c r="G1491" s="206"/>
      <c r="H1491" s="206"/>
      <c r="I1491" s="206"/>
    </row>
    <row r="1492" spans="1:9" x14ac:dyDescent="0.35">
      <c r="A1492" s="160">
        <f t="shared" si="20"/>
        <v>0</v>
      </c>
      <c r="B1492" s="160">
        <f t="shared" si="21"/>
        <v>0</v>
      </c>
      <c r="C1492" s="160">
        <f t="shared" si="22"/>
        <v>0</v>
      </c>
      <c r="D1492" s="160">
        <f t="shared" si="23"/>
        <v>1</v>
      </c>
      <c r="E1492" s="206"/>
      <c r="F1492" s="206"/>
      <c r="G1492" s="206"/>
      <c r="H1492" s="206"/>
      <c r="I1492" s="206"/>
    </row>
    <row r="1493" spans="1:9" x14ac:dyDescent="0.35">
      <c r="A1493" s="160">
        <f t="shared" si="20"/>
        <v>0</v>
      </c>
      <c r="B1493" s="160">
        <f t="shared" si="21"/>
        <v>1</v>
      </c>
      <c r="C1493" s="160">
        <f t="shared" si="22"/>
        <v>1</v>
      </c>
      <c r="D1493" s="160">
        <f t="shared" si="23"/>
        <v>0.5</v>
      </c>
      <c r="E1493" s="206"/>
      <c r="F1493" s="206"/>
      <c r="G1493" s="206"/>
      <c r="H1493" s="206"/>
      <c r="I1493" s="206"/>
    </row>
    <row r="1494" spans="1:9" x14ac:dyDescent="0.35">
      <c r="A1494" s="160">
        <f t="shared" si="20"/>
        <v>4</v>
      </c>
      <c r="B1494" s="160">
        <f t="shared" si="21"/>
        <v>0</v>
      </c>
      <c r="C1494" s="160">
        <f t="shared" si="22"/>
        <v>4</v>
      </c>
      <c r="D1494" s="160">
        <f t="shared" si="23"/>
        <v>0.2</v>
      </c>
      <c r="E1494" s="206"/>
      <c r="F1494" s="206"/>
      <c r="G1494" s="206"/>
      <c r="H1494" s="206"/>
      <c r="I1494" s="206"/>
    </row>
    <row r="1495" spans="1:9" x14ac:dyDescent="0.35">
      <c r="A1495" s="160">
        <f t="shared" si="20"/>
        <v>2</v>
      </c>
      <c r="B1495" s="160">
        <f t="shared" si="21"/>
        <v>3</v>
      </c>
      <c r="C1495" s="160">
        <f t="shared" si="22"/>
        <v>5</v>
      </c>
      <c r="D1495" s="160">
        <f t="shared" si="23"/>
        <v>0.16666666666666666</v>
      </c>
      <c r="E1495" s="206"/>
      <c r="F1495" s="206"/>
      <c r="G1495" s="206"/>
      <c r="H1495" s="206"/>
      <c r="I1495" s="206"/>
    </row>
    <row r="1496" spans="1:9" x14ac:dyDescent="0.35">
      <c r="A1496" s="160">
        <f t="shared" si="20"/>
        <v>0</v>
      </c>
      <c r="B1496" s="160">
        <f t="shared" si="21"/>
        <v>3</v>
      </c>
      <c r="C1496" s="160">
        <f t="shared" si="22"/>
        <v>3</v>
      </c>
      <c r="D1496" s="160">
        <f t="shared" si="23"/>
        <v>0.25</v>
      </c>
      <c r="E1496" s="206"/>
      <c r="F1496" s="206"/>
      <c r="G1496" s="206"/>
      <c r="H1496" s="206"/>
      <c r="I1496" s="206"/>
    </row>
    <row r="1497" spans="1:9" x14ac:dyDescent="0.35">
      <c r="A1497" s="160">
        <f t="shared" si="20"/>
        <v>1</v>
      </c>
      <c r="B1497" s="160">
        <f t="shared" si="21"/>
        <v>3</v>
      </c>
      <c r="C1497" s="160">
        <f t="shared" si="22"/>
        <v>4</v>
      </c>
      <c r="D1497" s="160">
        <f t="shared" si="23"/>
        <v>0.2</v>
      </c>
      <c r="E1497" s="206"/>
      <c r="F1497" s="206"/>
      <c r="G1497" s="206"/>
      <c r="H1497" s="206"/>
      <c r="I1497" s="206"/>
    </row>
    <row r="1498" spans="1:9" x14ac:dyDescent="0.35">
      <c r="A1498" s="160">
        <f t="shared" si="20"/>
        <v>0</v>
      </c>
      <c r="B1498" s="160">
        <f t="shared" si="21"/>
        <v>0</v>
      </c>
      <c r="C1498" s="160">
        <f t="shared" si="22"/>
        <v>0</v>
      </c>
      <c r="D1498" s="160">
        <f t="shared" si="23"/>
        <v>1</v>
      </c>
      <c r="E1498" s="206"/>
      <c r="F1498" s="206"/>
      <c r="G1498" s="206"/>
      <c r="H1498" s="206"/>
      <c r="I1498" s="206"/>
    </row>
    <row r="1499" spans="1:9" x14ac:dyDescent="0.35">
      <c r="A1499" s="160">
        <f t="shared" si="20"/>
        <v>3</v>
      </c>
      <c r="B1499" s="160">
        <f t="shared" si="21"/>
        <v>2</v>
      </c>
      <c r="C1499" s="160">
        <f t="shared" si="22"/>
        <v>5</v>
      </c>
      <c r="D1499" s="160">
        <f t="shared" si="23"/>
        <v>0.16666666666666666</v>
      </c>
      <c r="E1499" s="206"/>
      <c r="F1499" s="206"/>
      <c r="G1499" s="206"/>
      <c r="H1499" s="206"/>
      <c r="I1499" s="206"/>
    </row>
    <row r="1500" spans="1:9" x14ac:dyDescent="0.35">
      <c r="A1500" s="160">
        <f t="shared" si="20"/>
        <v>0</v>
      </c>
      <c r="B1500" s="160">
        <f t="shared" si="21"/>
        <v>0</v>
      </c>
      <c r="C1500" s="160">
        <f t="shared" si="22"/>
        <v>0</v>
      </c>
      <c r="D1500" s="160">
        <f t="shared" si="23"/>
        <v>1</v>
      </c>
      <c r="E1500" s="206"/>
      <c r="F1500" s="206"/>
      <c r="G1500" s="206"/>
      <c r="H1500" s="206"/>
      <c r="I1500" s="206"/>
    </row>
    <row r="1501" spans="1:9" x14ac:dyDescent="0.35">
      <c r="A1501" s="160">
        <f t="shared" si="20"/>
        <v>4</v>
      </c>
      <c r="B1501" s="160">
        <f t="shared" si="21"/>
        <v>0</v>
      </c>
      <c r="C1501" s="160">
        <f t="shared" si="22"/>
        <v>4</v>
      </c>
      <c r="D1501" s="160">
        <f t="shared" si="23"/>
        <v>0.2</v>
      </c>
      <c r="E1501" s="206"/>
      <c r="F1501" s="206"/>
      <c r="G1501" s="206"/>
      <c r="H1501" s="206"/>
      <c r="I1501" s="206"/>
    </row>
    <row r="1502" spans="1:9" x14ac:dyDescent="0.35">
      <c r="A1502" s="160">
        <f t="shared" si="20"/>
        <v>0</v>
      </c>
      <c r="B1502" s="160">
        <f t="shared" si="21"/>
        <v>0</v>
      </c>
      <c r="C1502" s="160">
        <f t="shared" si="22"/>
        <v>0</v>
      </c>
      <c r="D1502" s="160">
        <f t="shared" si="23"/>
        <v>1</v>
      </c>
      <c r="E1502" s="206"/>
      <c r="F1502" s="206"/>
      <c r="G1502" s="206"/>
      <c r="H1502" s="206"/>
      <c r="I1502" s="206"/>
    </row>
    <row r="1503" spans="1:9" x14ac:dyDescent="0.35">
      <c r="A1503" s="160">
        <f t="shared" si="20"/>
        <v>1</v>
      </c>
      <c r="B1503" s="160">
        <f t="shared" si="21"/>
        <v>0</v>
      </c>
      <c r="C1503" s="160">
        <f t="shared" si="22"/>
        <v>1</v>
      </c>
      <c r="D1503" s="160">
        <f t="shared" si="23"/>
        <v>0.5</v>
      </c>
      <c r="E1503" s="206"/>
      <c r="F1503" s="206"/>
      <c r="G1503" s="206"/>
      <c r="H1503" s="206"/>
      <c r="I1503" s="206"/>
    </row>
    <row r="1504" spans="1:9" x14ac:dyDescent="0.35">
      <c r="A1504" s="160">
        <f t="shared" si="20"/>
        <v>3</v>
      </c>
      <c r="B1504" s="160">
        <f t="shared" si="21"/>
        <v>3</v>
      </c>
      <c r="C1504" s="160">
        <f t="shared" si="22"/>
        <v>6</v>
      </c>
      <c r="D1504" s="160">
        <f t="shared" si="23"/>
        <v>0.14285714285714285</v>
      </c>
      <c r="E1504" s="206"/>
      <c r="F1504" s="206"/>
      <c r="G1504" s="206"/>
      <c r="H1504" s="206"/>
      <c r="I1504" s="206"/>
    </row>
    <row r="1505" spans="1:9" x14ac:dyDescent="0.35">
      <c r="A1505" s="160">
        <f t="shared" si="20"/>
        <v>4</v>
      </c>
      <c r="B1505" s="160">
        <f t="shared" si="21"/>
        <v>2</v>
      </c>
      <c r="C1505" s="160">
        <f t="shared" si="22"/>
        <v>6</v>
      </c>
      <c r="D1505" s="160">
        <f t="shared" si="23"/>
        <v>0.14285714285714285</v>
      </c>
      <c r="E1505" s="206"/>
      <c r="F1505" s="206"/>
      <c r="G1505" s="206"/>
      <c r="H1505" s="206"/>
      <c r="I1505" s="206"/>
    </row>
    <row r="1506" spans="1:9" x14ac:dyDescent="0.35">
      <c r="A1506" s="160">
        <f t="shared" si="20"/>
        <v>3</v>
      </c>
      <c r="B1506" s="160">
        <f t="shared" si="21"/>
        <v>0</v>
      </c>
      <c r="C1506" s="160">
        <f t="shared" si="22"/>
        <v>3</v>
      </c>
      <c r="D1506" s="160">
        <f t="shared" si="23"/>
        <v>0.25</v>
      </c>
      <c r="E1506" s="206"/>
      <c r="F1506" s="206"/>
      <c r="G1506" s="206"/>
      <c r="H1506" s="206"/>
      <c r="I1506" s="206"/>
    </row>
    <row r="1507" spans="1:9" x14ac:dyDescent="0.35">
      <c r="A1507" s="160">
        <f t="shared" ref="A1507:A1570" si="24">SUMPRODUCT(($R$4:$R$1115=R389)*($Q$4:$Q$1115=Q389)*(ROW($R$4:$R$1115)&gt;ROW(R389)))</f>
        <v>2</v>
      </c>
      <c r="B1507" s="160">
        <f t="shared" ref="B1507:B1570" si="25">SUMPRODUCT(($K$4:$K$1115=K389)*($Q$4:$Q$1115=Q389)*(ROW($K$4:$K$1115)&gt;ROW(K389)))</f>
        <v>1</v>
      </c>
      <c r="C1507" s="160">
        <f t="shared" ref="C1507:C1570" si="26">SUM(A1507:B1507)</f>
        <v>3</v>
      </c>
      <c r="D1507" s="160">
        <f t="shared" ref="D1507:D1570" si="27">1/(1+C1507)</f>
        <v>0.25</v>
      </c>
      <c r="E1507" s="206"/>
      <c r="F1507" s="206"/>
      <c r="G1507" s="206"/>
      <c r="H1507" s="206"/>
      <c r="I1507" s="206"/>
    </row>
    <row r="1508" spans="1:9" x14ac:dyDescent="0.35">
      <c r="A1508" s="160">
        <f t="shared" si="24"/>
        <v>0</v>
      </c>
      <c r="B1508" s="160">
        <f t="shared" si="25"/>
        <v>1</v>
      </c>
      <c r="C1508" s="160">
        <f t="shared" si="26"/>
        <v>1</v>
      </c>
      <c r="D1508" s="160">
        <f t="shared" si="27"/>
        <v>0.5</v>
      </c>
      <c r="E1508" s="206"/>
      <c r="F1508" s="206"/>
      <c r="G1508" s="206"/>
      <c r="H1508" s="206"/>
      <c r="I1508" s="206"/>
    </row>
    <row r="1509" spans="1:9" x14ac:dyDescent="0.35">
      <c r="A1509" s="160">
        <f t="shared" si="24"/>
        <v>0</v>
      </c>
      <c r="B1509" s="160">
        <f t="shared" si="25"/>
        <v>0</v>
      </c>
      <c r="C1509" s="160">
        <f t="shared" si="26"/>
        <v>0</v>
      </c>
      <c r="D1509" s="160">
        <f t="shared" si="27"/>
        <v>1</v>
      </c>
      <c r="E1509" s="206"/>
      <c r="F1509" s="206"/>
      <c r="G1509" s="206"/>
      <c r="H1509" s="206"/>
      <c r="I1509" s="206"/>
    </row>
    <row r="1510" spans="1:9" x14ac:dyDescent="0.35">
      <c r="A1510" s="160">
        <f t="shared" si="24"/>
        <v>3</v>
      </c>
      <c r="B1510" s="160">
        <f t="shared" si="25"/>
        <v>1</v>
      </c>
      <c r="C1510" s="160">
        <f t="shared" si="26"/>
        <v>4</v>
      </c>
      <c r="D1510" s="160">
        <f t="shared" si="27"/>
        <v>0.2</v>
      </c>
      <c r="E1510" s="206"/>
      <c r="F1510" s="206"/>
      <c r="G1510" s="206"/>
      <c r="H1510" s="206"/>
      <c r="I1510" s="206"/>
    </row>
    <row r="1511" spans="1:9" x14ac:dyDescent="0.35">
      <c r="A1511" s="160">
        <f t="shared" si="24"/>
        <v>1</v>
      </c>
      <c r="B1511" s="160">
        <f t="shared" si="25"/>
        <v>0</v>
      </c>
      <c r="C1511" s="160">
        <f t="shared" si="26"/>
        <v>1</v>
      </c>
      <c r="D1511" s="160">
        <f t="shared" si="27"/>
        <v>0.5</v>
      </c>
      <c r="E1511" s="206"/>
      <c r="F1511" s="206"/>
      <c r="G1511" s="206"/>
      <c r="H1511" s="206"/>
      <c r="I1511" s="206"/>
    </row>
    <row r="1512" spans="1:9" x14ac:dyDescent="0.35">
      <c r="A1512" s="160">
        <f t="shared" si="24"/>
        <v>4</v>
      </c>
      <c r="B1512" s="160">
        <f t="shared" si="25"/>
        <v>2</v>
      </c>
      <c r="C1512" s="160">
        <f t="shared" si="26"/>
        <v>6</v>
      </c>
      <c r="D1512" s="160">
        <f t="shared" si="27"/>
        <v>0.14285714285714285</v>
      </c>
      <c r="E1512" s="206"/>
      <c r="F1512" s="206"/>
      <c r="G1512" s="206"/>
      <c r="H1512" s="206"/>
      <c r="I1512" s="206"/>
    </row>
    <row r="1513" spans="1:9" x14ac:dyDescent="0.35">
      <c r="A1513" s="160">
        <f t="shared" si="24"/>
        <v>4</v>
      </c>
      <c r="B1513" s="160">
        <f t="shared" si="25"/>
        <v>2</v>
      </c>
      <c r="C1513" s="160">
        <f t="shared" si="26"/>
        <v>6</v>
      </c>
      <c r="D1513" s="160">
        <f t="shared" si="27"/>
        <v>0.14285714285714285</v>
      </c>
      <c r="E1513" s="206"/>
      <c r="F1513" s="206"/>
      <c r="G1513" s="206"/>
      <c r="H1513" s="206"/>
      <c r="I1513" s="206"/>
    </row>
    <row r="1514" spans="1:9" x14ac:dyDescent="0.35">
      <c r="A1514" s="160">
        <f t="shared" si="24"/>
        <v>0</v>
      </c>
      <c r="B1514" s="160">
        <f t="shared" si="25"/>
        <v>0</v>
      </c>
      <c r="C1514" s="160">
        <f t="shared" si="26"/>
        <v>0</v>
      </c>
      <c r="D1514" s="160">
        <f t="shared" si="27"/>
        <v>1</v>
      </c>
      <c r="E1514" s="206"/>
      <c r="F1514" s="206"/>
      <c r="G1514" s="206"/>
      <c r="H1514" s="206"/>
      <c r="I1514" s="206"/>
    </row>
    <row r="1515" spans="1:9" x14ac:dyDescent="0.35">
      <c r="A1515" s="160">
        <f t="shared" si="24"/>
        <v>2</v>
      </c>
      <c r="B1515" s="160">
        <f t="shared" si="25"/>
        <v>0</v>
      </c>
      <c r="C1515" s="160">
        <f t="shared" si="26"/>
        <v>2</v>
      </c>
      <c r="D1515" s="160">
        <f t="shared" si="27"/>
        <v>0.33333333333333331</v>
      </c>
      <c r="E1515" s="206"/>
      <c r="F1515" s="206"/>
      <c r="G1515" s="206"/>
      <c r="H1515" s="206"/>
      <c r="I1515" s="206"/>
    </row>
    <row r="1516" spans="1:9" x14ac:dyDescent="0.35">
      <c r="A1516" s="160">
        <f t="shared" si="24"/>
        <v>3</v>
      </c>
      <c r="B1516" s="160">
        <f t="shared" si="25"/>
        <v>1</v>
      </c>
      <c r="C1516" s="160">
        <f t="shared" si="26"/>
        <v>4</v>
      </c>
      <c r="D1516" s="160">
        <f t="shared" si="27"/>
        <v>0.2</v>
      </c>
      <c r="E1516" s="206"/>
      <c r="F1516" s="206"/>
      <c r="G1516" s="206"/>
      <c r="H1516" s="206"/>
      <c r="I1516" s="206"/>
    </row>
    <row r="1517" spans="1:9" x14ac:dyDescent="0.35">
      <c r="A1517" s="160">
        <f t="shared" si="24"/>
        <v>2</v>
      </c>
      <c r="B1517" s="160">
        <f t="shared" si="25"/>
        <v>2</v>
      </c>
      <c r="C1517" s="160">
        <f t="shared" si="26"/>
        <v>4</v>
      </c>
      <c r="D1517" s="160">
        <f t="shared" si="27"/>
        <v>0.2</v>
      </c>
      <c r="E1517" s="206"/>
      <c r="F1517" s="206"/>
      <c r="G1517" s="206"/>
      <c r="H1517" s="206"/>
      <c r="I1517" s="206"/>
    </row>
    <row r="1518" spans="1:9" x14ac:dyDescent="0.35">
      <c r="A1518" s="160">
        <f t="shared" si="24"/>
        <v>1</v>
      </c>
      <c r="B1518" s="160">
        <f t="shared" si="25"/>
        <v>0</v>
      </c>
      <c r="C1518" s="160">
        <f t="shared" si="26"/>
        <v>1</v>
      </c>
      <c r="D1518" s="160">
        <f t="shared" si="27"/>
        <v>0.5</v>
      </c>
      <c r="E1518" s="206"/>
      <c r="F1518" s="206"/>
      <c r="G1518" s="206"/>
      <c r="H1518" s="206"/>
      <c r="I1518" s="206"/>
    </row>
    <row r="1519" spans="1:9" x14ac:dyDescent="0.35">
      <c r="A1519" s="160">
        <f t="shared" si="24"/>
        <v>0</v>
      </c>
      <c r="B1519" s="160">
        <f t="shared" si="25"/>
        <v>2</v>
      </c>
      <c r="C1519" s="160">
        <f t="shared" si="26"/>
        <v>2</v>
      </c>
      <c r="D1519" s="160">
        <f t="shared" si="27"/>
        <v>0.33333333333333331</v>
      </c>
      <c r="E1519" s="206"/>
      <c r="F1519" s="206"/>
      <c r="G1519" s="206"/>
      <c r="H1519" s="206"/>
      <c r="I1519" s="206"/>
    </row>
    <row r="1520" spans="1:9" x14ac:dyDescent="0.35">
      <c r="A1520" s="160">
        <f t="shared" si="24"/>
        <v>0</v>
      </c>
      <c r="B1520" s="160">
        <f t="shared" si="25"/>
        <v>0</v>
      </c>
      <c r="C1520" s="160">
        <f t="shared" si="26"/>
        <v>0</v>
      </c>
      <c r="D1520" s="160">
        <f t="shared" si="27"/>
        <v>1</v>
      </c>
      <c r="E1520" s="206"/>
      <c r="F1520" s="206"/>
      <c r="G1520" s="206"/>
      <c r="H1520" s="206"/>
      <c r="I1520" s="206"/>
    </row>
    <row r="1521" spans="1:9" x14ac:dyDescent="0.35">
      <c r="A1521" s="160">
        <f t="shared" si="24"/>
        <v>11</v>
      </c>
      <c r="B1521" s="160">
        <f t="shared" si="25"/>
        <v>0</v>
      </c>
      <c r="C1521" s="160">
        <f t="shared" si="26"/>
        <v>11</v>
      </c>
      <c r="D1521" s="160">
        <f t="shared" si="27"/>
        <v>8.3333333333333329E-2</v>
      </c>
      <c r="E1521" s="206"/>
      <c r="F1521" s="206"/>
      <c r="G1521" s="206"/>
      <c r="H1521" s="206"/>
      <c r="I1521" s="206"/>
    </row>
    <row r="1522" spans="1:9" x14ac:dyDescent="0.35">
      <c r="A1522" s="160">
        <f t="shared" si="24"/>
        <v>2</v>
      </c>
      <c r="B1522" s="160">
        <f t="shared" si="25"/>
        <v>1</v>
      </c>
      <c r="C1522" s="160">
        <f t="shared" si="26"/>
        <v>3</v>
      </c>
      <c r="D1522" s="160">
        <f t="shared" si="27"/>
        <v>0.25</v>
      </c>
      <c r="E1522" s="206"/>
      <c r="F1522" s="206"/>
      <c r="G1522" s="206"/>
      <c r="H1522" s="206"/>
      <c r="I1522" s="206"/>
    </row>
    <row r="1523" spans="1:9" x14ac:dyDescent="0.35">
      <c r="A1523" s="160">
        <f t="shared" si="24"/>
        <v>0</v>
      </c>
      <c r="B1523" s="160">
        <f t="shared" si="25"/>
        <v>1</v>
      </c>
      <c r="C1523" s="160">
        <f t="shared" si="26"/>
        <v>1</v>
      </c>
      <c r="D1523" s="160">
        <f t="shared" si="27"/>
        <v>0.5</v>
      </c>
      <c r="E1523" s="206"/>
      <c r="F1523" s="206"/>
      <c r="G1523" s="206"/>
      <c r="H1523" s="206"/>
      <c r="I1523" s="206"/>
    </row>
    <row r="1524" spans="1:9" x14ac:dyDescent="0.35">
      <c r="A1524" s="160">
        <f t="shared" si="24"/>
        <v>7</v>
      </c>
      <c r="B1524" s="160">
        <f t="shared" si="25"/>
        <v>1</v>
      </c>
      <c r="C1524" s="160">
        <f t="shared" si="26"/>
        <v>8</v>
      </c>
      <c r="D1524" s="160">
        <f t="shared" si="27"/>
        <v>0.1111111111111111</v>
      </c>
      <c r="E1524" s="206"/>
      <c r="F1524" s="206"/>
      <c r="G1524" s="206"/>
      <c r="H1524" s="206"/>
      <c r="I1524" s="206"/>
    </row>
    <row r="1525" spans="1:9" x14ac:dyDescent="0.35">
      <c r="A1525" s="160">
        <f t="shared" si="24"/>
        <v>5</v>
      </c>
      <c r="B1525" s="160">
        <f t="shared" si="25"/>
        <v>3</v>
      </c>
      <c r="C1525" s="160">
        <f t="shared" si="26"/>
        <v>8</v>
      </c>
      <c r="D1525" s="160">
        <f t="shared" si="27"/>
        <v>0.1111111111111111</v>
      </c>
      <c r="E1525" s="206"/>
      <c r="F1525" s="206"/>
      <c r="G1525" s="206"/>
      <c r="H1525" s="206"/>
      <c r="I1525" s="206"/>
    </row>
    <row r="1526" spans="1:9" x14ac:dyDescent="0.35">
      <c r="A1526" s="160">
        <f t="shared" si="24"/>
        <v>2</v>
      </c>
      <c r="B1526" s="160">
        <f t="shared" si="25"/>
        <v>0</v>
      </c>
      <c r="C1526" s="160">
        <f t="shared" si="26"/>
        <v>2</v>
      </c>
      <c r="D1526" s="160">
        <f t="shared" si="27"/>
        <v>0.33333333333333331</v>
      </c>
      <c r="E1526" s="206"/>
      <c r="F1526" s="206"/>
      <c r="G1526" s="206"/>
      <c r="H1526" s="206"/>
      <c r="I1526" s="206"/>
    </row>
    <row r="1527" spans="1:9" x14ac:dyDescent="0.35">
      <c r="A1527" s="160">
        <f t="shared" si="24"/>
        <v>1</v>
      </c>
      <c r="B1527" s="160">
        <f t="shared" si="25"/>
        <v>0</v>
      </c>
      <c r="C1527" s="160">
        <f t="shared" si="26"/>
        <v>1</v>
      </c>
      <c r="D1527" s="160">
        <f t="shared" si="27"/>
        <v>0.5</v>
      </c>
      <c r="E1527" s="206"/>
      <c r="F1527" s="206"/>
      <c r="G1527" s="206"/>
      <c r="H1527" s="206"/>
      <c r="I1527" s="206"/>
    </row>
    <row r="1528" spans="1:9" x14ac:dyDescent="0.35">
      <c r="A1528" s="160">
        <f t="shared" si="24"/>
        <v>2</v>
      </c>
      <c r="B1528" s="160">
        <f t="shared" si="25"/>
        <v>0</v>
      </c>
      <c r="C1528" s="160">
        <f t="shared" si="26"/>
        <v>2</v>
      </c>
      <c r="D1528" s="160">
        <f t="shared" si="27"/>
        <v>0.33333333333333331</v>
      </c>
      <c r="E1528" s="206"/>
      <c r="F1528" s="206"/>
      <c r="G1528" s="206"/>
      <c r="H1528" s="206"/>
      <c r="I1528" s="206"/>
    </row>
    <row r="1529" spans="1:9" x14ac:dyDescent="0.35">
      <c r="A1529" s="160">
        <f t="shared" si="24"/>
        <v>3</v>
      </c>
      <c r="B1529" s="160">
        <f t="shared" si="25"/>
        <v>1</v>
      </c>
      <c r="C1529" s="160">
        <f t="shared" si="26"/>
        <v>4</v>
      </c>
      <c r="D1529" s="160">
        <f t="shared" si="27"/>
        <v>0.2</v>
      </c>
      <c r="E1529" s="206"/>
      <c r="F1529" s="206"/>
      <c r="G1529" s="206"/>
      <c r="H1529" s="206"/>
      <c r="I1529" s="206"/>
    </row>
    <row r="1530" spans="1:9" x14ac:dyDescent="0.35">
      <c r="A1530" s="160">
        <f t="shared" si="24"/>
        <v>0</v>
      </c>
      <c r="B1530" s="160">
        <f t="shared" si="25"/>
        <v>0</v>
      </c>
      <c r="C1530" s="160">
        <f t="shared" si="26"/>
        <v>0</v>
      </c>
      <c r="D1530" s="160">
        <f t="shared" si="27"/>
        <v>1</v>
      </c>
      <c r="E1530" s="206"/>
      <c r="F1530" s="206"/>
      <c r="G1530" s="206"/>
      <c r="H1530" s="206"/>
      <c r="I1530" s="206"/>
    </row>
    <row r="1531" spans="1:9" x14ac:dyDescent="0.35">
      <c r="A1531" s="160">
        <f t="shared" si="24"/>
        <v>0</v>
      </c>
      <c r="B1531" s="160">
        <f t="shared" si="25"/>
        <v>1</v>
      </c>
      <c r="C1531" s="160">
        <f t="shared" si="26"/>
        <v>1</v>
      </c>
      <c r="D1531" s="160">
        <f t="shared" si="27"/>
        <v>0.5</v>
      </c>
      <c r="E1531" s="206"/>
      <c r="F1531" s="206"/>
      <c r="G1531" s="206"/>
      <c r="H1531" s="206"/>
      <c r="I1531" s="206"/>
    </row>
    <row r="1532" spans="1:9" x14ac:dyDescent="0.35">
      <c r="A1532" s="160">
        <f t="shared" si="24"/>
        <v>1</v>
      </c>
      <c r="B1532" s="160">
        <f t="shared" si="25"/>
        <v>0</v>
      </c>
      <c r="C1532" s="160">
        <f t="shared" si="26"/>
        <v>1</v>
      </c>
      <c r="D1532" s="160">
        <f t="shared" si="27"/>
        <v>0.5</v>
      </c>
      <c r="E1532" s="206"/>
      <c r="F1532" s="206"/>
      <c r="G1532" s="206"/>
      <c r="H1532" s="206"/>
      <c r="I1532" s="206"/>
    </row>
    <row r="1533" spans="1:9" x14ac:dyDescent="0.35">
      <c r="A1533" s="160">
        <f t="shared" si="24"/>
        <v>0</v>
      </c>
      <c r="B1533" s="160">
        <f t="shared" si="25"/>
        <v>1</v>
      </c>
      <c r="C1533" s="160">
        <f t="shared" si="26"/>
        <v>1</v>
      </c>
      <c r="D1533" s="160">
        <f t="shared" si="27"/>
        <v>0.5</v>
      </c>
      <c r="E1533" s="206"/>
      <c r="F1533" s="206"/>
      <c r="G1533" s="206"/>
      <c r="H1533" s="206"/>
      <c r="I1533" s="206"/>
    </row>
    <row r="1534" spans="1:9" x14ac:dyDescent="0.35">
      <c r="A1534" s="160">
        <f t="shared" si="24"/>
        <v>1</v>
      </c>
      <c r="B1534" s="160">
        <f t="shared" si="25"/>
        <v>0</v>
      </c>
      <c r="C1534" s="160">
        <f t="shared" si="26"/>
        <v>1</v>
      </c>
      <c r="D1534" s="160">
        <f t="shared" si="27"/>
        <v>0.5</v>
      </c>
      <c r="E1534" s="206"/>
      <c r="F1534" s="206"/>
      <c r="G1534" s="206"/>
      <c r="H1534" s="206"/>
      <c r="I1534" s="206"/>
    </row>
    <row r="1535" spans="1:9" x14ac:dyDescent="0.35">
      <c r="A1535" s="160">
        <f t="shared" si="24"/>
        <v>2</v>
      </c>
      <c r="B1535" s="160">
        <f t="shared" si="25"/>
        <v>0</v>
      </c>
      <c r="C1535" s="160">
        <f t="shared" si="26"/>
        <v>2</v>
      </c>
      <c r="D1535" s="160">
        <f t="shared" si="27"/>
        <v>0.33333333333333331</v>
      </c>
      <c r="E1535" s="206"/>
      <c r="F1535" s="206"/>
      <c r="G1535" s="206"/>
      <c r="H1535" s="206"/>
      <c r="I1535" s="206"/>
    </row>
    <row r="1536" spans="1:9" x14ac:dyDescent="0.35">
      <c r="A1536" s="160">
        <f t="shared" si="24"/>
        <v>1</v>
      </c>
      <c r="B1536" s="160">
        <f t="shared" si="25"/>
        <v>0</v>
      </c>
      <c r="C1536" s="160">
        <f t="shared" si="26"/>
        <v>1</v>
      </c>
      <c r="D1536" s="160">
        <f t="shared" si="27"/>
        <v>0.5</v>
      </c>
      <c r="E1536" s="206"/>
      <c r="F1536" s="206"/>
      <c r="G1536" s="206"/>
      <c r="H1536" s="206"/>
      <c r="I1536" s="206"/>
    </row>
    <row r="1537" spans="1:9" x14ac:dyDescent="0.35">
      <c r="A1537" s="160">
        <f t="shared" si="24"/>
        <v>3</v>
      </c>
      <c r="B1537" s="160">
        <f t="shared" si="25"/>
        <v>1</v>
      </c>
      <c r="C1537" s="160">
        <f t="shared" si="26"/>
        <v>4</v>
      </c>
      <c r="D1537" s="160">
        <f t="shared" si="27"/>
        <v>0.2</v>
      </c>
      <c r="E1537" s="206"/>
      <c r="F1537" s="206"/>
      <c r="G1537" s="206"/>
      <c r="H1537" s="206"/>
      <c r="I1537" s="206"/>
    </row>
    <row r="1538" spans="1:9" x14ac:dyDescent="0.35">
      <c r="A1538" s="160">
        <f t="shared" si="24"/>
        <v>0</v>
      </c>
      <c r="B1538" s="160">
        <f t="shared" si="25"/>
        <v>1</v>
      </c>
      <c r="C1538" s="160">
        <f t="shared" si="26"/>
        <v>1</v>
      </c>
      <c r="D1538" s="160">
        <f t="shared" si="27"/>
        <v>0.5</v>
      </c>
      <c r="E1538" s="206"/>
      <c r="F1538" s="206"/>
      <c r="G1538" s="206"/>
      <c r="H1538" s="206"/>
      <c r="I1538" s="206"/>
    </row>
    <row r="1539" spans="1:9" x14ac:dyDescent="0.35">
      <c r="A1539" s="160">
        <f t="shared" si="24"/>
        <v>0</v>
      </c>
      <c r="B1539" s="160">
        <f t="shared" si="25"/>
        <v>0</v>
      </c>
      <c r="C1539" s="160">
        <f t="shared" si="26"/>
        <v>0</v>
      </c>
      <c r="D1539" s="160">
        <f t="shared" si="27"/>
        <v>1</v>
      </c>
      <c r="E1539" s="206"/>
      <c r="F1539" s="206"/>
      <c r="G1539" s="206"/>
      <c r="H1539" s="206"/>
      <c r="I1539" s="206"/>
    </row>
    <row r="1540" spans="1:9" x14ac:dyDescent="0.35">
      <c r="A1540" s="160">
        <f t="shared" si="24"/>
        <v>1</v>
      </c>
      <c r="B1540" s="160">
        <f t="shared" si="25"/>
        <v>0</v>
      </c>
      <c r="C1540" s="160">
        <f t="shared" si="26"/>
        <v>1</v>
      </c>
      <c r="D1540" s="160">
        <f t="shared" si="27"/>
        <v>0.5</v>
      </c>
      <c r="E1540" s="206"/>
      <c r="F1540" s="206"/>
      <c r="G1540" s="206"/>
      <c r="H1540" s="206"/>
      <c r="I1540" s="206"/>
    </row>
    <row r="1541" spans="1:9" x14ac:dyDescent="0.35">
      <c r="A1541" s="160">
        <f t="shared" si="24"/>
        <v>3</v>
      </c>
      <c r="B1541" s="160">
        <f t="shared" si="25"/>
        <v>0</v>
      </c>
      <c r="C1541" s="160">
        <f t="shared" si="26"/>
        <v>3</v>
      </c>
      <c r="D1541" s="160">
        <f t="shared" si="27"/>
        <v>0.25</v>
      </c>
      <c r="E1541" s="206"/>
      <c r="F1541" s="206"/>
      <c r="G1541" s="206"/>
      <c r="H1541" s="206"/>
      <c r="I1541" s="206"/>
    </row>
    <row r="1542" spans="1:9" x14ac:dyDescent="0.35">
      <c r="A1542" s="160">
        <f t="shared" si="24"/>
        <v>0</v>
      </c>
      <c r="B1542" s="160">
        <f t="shared" si="25"/>
        <v>1</v>
      </c>
      <c r="C1542" s="160">
        <f t="shared" si="26"/>
        <v>1</v>
      </c>
      <c r="D1542" s="160">
        <f t="shared" si="27"/>
        <v>0.5</v>
      </c>
      <c r="E1542" s="206"/>
      <c r="F1542" s="206"/>
      <c r="G1542" s="206"/>
      <c r="H1542" s="206"/>
      <c r="I1542" s="206"/>
    </row>
    <row r="1543" spans="1:9" x14ac:dyDescent="0.35">
      <c r="A1543" s="160">
        <f t="shared" si="24"/>
        <v>1</v>
      </c>
      <c r="B1543" s="160">
        <f t="shared" si="25"/>
        <v>0</v>
      </c>
      <c r="C1543" s="160">
        <f t="shared" si="26"/>
        <v>1</v>
      </c>
      <c r="D1543" s="160">
        <f t="shared" si="27"/>
        <v>0.5</v>
      </c>
      <c r="E1543" s="206"/>
      <c r="F1543" s="206"/>
      <c r="G1543" s="206"/>
      <c r="H1543" s="206"/>
      <c r="I1543" s="206"/>
    </row>
    <row r="1544" spans="1:9" x14ac:dyDescent="0.35">
      <c r="A1544" s="160">
        <f t="shared" si="24"/>
        <v>4</v>
      </c>
      <c r="B1544" s="160">
        <f t="shared" si="25"/>
        <v>2</v>
      </c>
      <c r="C1544" s="160">
        <f t="shared" si="26"/>
        <v>6</v>
      </c>
      <c r="D1544" s="160">
        <f t="shared" si="27"/>
        <v>0.14285714285714285</v>
      </c>
      <c r="E1544" s="206"/>
      <c r="F1544" s="206"/>
      <c r="G1544" s="206"/>
      <c r="H1544" s="206"/>
      <c r="I1544" s="206"/>
    </row>
    <row r="1545" spans="1:9" x14ac:dyDescent="0.35">
      <c r="A1545" s="160">
        <f t="shared" si="24"/>
        <v>1</v>
      </c>
      <c r="B1545" s="160">
        <f t="shared" si="25"/>
        <v>2</v>
      </c>
      <c r="C1545" s="160">
        <f t="shared" si="26"/>
        <v>3</v>
      </c>
      <c r="D1545" s="160">
        <f t="shared" si="27"/>
        <v>0.25</v>
      </c>
      <c r="E1545" s="206"/>
      <c r="F1545" s="206"/>
      <c r="G1545" s="206"/>
      <c r="H1545" s="206"/>
      <c r="I1545" s="206"/>
    </row>
    <row r="1546" spans="1:9" x14ac:dyDescent="0.35">
      <c r="A1546" s="160">
        <f t="shared" si="24"/>
        <v>2</v>
      </c>
      <c r="B1546" s="160">
        <f t="shared" si="25"/>
        <v>1</v>
      </c>
      <c r="C1546" s="160">
        <f t="shared" si="26"/>
        <v>3</v>
      </c>
      <c r="D1546" s="160">
        <f t="shared" si="27"/>
        <v>0.25</v>
      </c>
      <c r="E1546" s="206"/>
      <c r="F1546" s="206"/>
      <c r="G1546" s="206"/>
      <c r="H1546" s="206"/>
      <c r="I1546" s="206"/>
    </row>
    <row r="1547" spans="1:9" x14ac:dyDescent="0.35">
      <c r="A1547" s="160">
        <f t="shared" si="24"/>
        <v>1</v>
      </c>
      <c r="B1547" s="160">
        <f t="shared" si="25"/>
        <v>1</v>
      </c>
      <c r="C1547" s="160">
        <f t="shared" si="26"/>
        <v>2</v>
      </c>
      <c r="D1547" s="160">
        <f t="shared" si="27"/>
        <v>0.33333333333333331</v>
      </c>
      <c r="E1547" s="206"/>
      <c r="F1547" s="206"/>
      <c r="G1547" s="206"/>
      <c r="H1547" s="206"/>
      <c r="I1547" s="206"/>
    </row>
    <row r="1548" spans="1:9" x14ac:dyDescent="0.35">
      <c r="A1548" s="160">
        <f t="shared" si="24"/>
        <v>10</v>
      </c>
      <c r="B1548" s="160">
        <f t="shared" si="25"/>
        <v>0</v>
      </c>
      <c r="C1548" s="160">
        <f t="shared" si="26"/>
        <v>10</v>
      </c>
      <c r="D1548" s="160">
        <f t="shared" si="27"/>
        <v>9.0909090909090912E-2</v>
      </c>
      <c r="E1548" s="206"/>
      <c r="F1548" s="206"/>
      <c r="G1548" s="206"/>
      <c r="H1548" s="206"/>
      <c r="I1548" s="206"/>
    </row>
    <row r="1549" spans="1:9" x14ac:dyDescent="0.35">
      <c r="A1549" s="160">
        <f t="shared" si="24"/>
        <v>2</v>
      </c>
      <c r="B1549" s="160">
        <f t="shared" si="25"/>
        <v>0</v>
      </c>
      <c r="C1549" s="160">
        <f t="shared" si="26"/>
        <v>2</v>
      </c>
      <c r="D1549" s="160">
        <f t="shared" si="27"/>
        <v>0.33333333333333331</v>
      </c>
      <c r="E1549" s="206"/>
      <c r="F1549" s="206"/>
      <c r="G1549" s="206"/>
      <c r="H1549" s="206"/>
      <c r="I1549" s="206"/>
    </row>
    <row r="1550" spans="1:9" x14ac:dyDescent="0.35">
      <c r="A1550" s="160">
        <f t="shared" si="24"/>
        <v>0</v>
      </c>
      <c r="B1550" s="160">
        <f t="shared" si="25"/>
        <v>0</v>
      </c>
      <c r="C1550" s="160">
        <f t="shared" si="26"/>
        <v>0</v>
      </c>
      <c r="D1550" s="160">
        <f t="shared" si="27"/>
        <v>1</v>
      </c>
      <c r="E1550" s="206"/>
      <c r="F1550" s="206"/>
      <c r="G1550" s="206"/>
      <c r="H1550" s="206"/>
      <c r="I1550" s="206"/>
    </row>
    <row r="1551" spans="1:9" x14ac:dyDescent="0.35">
      <c r="A1551" s="160">
        <f t="shared" si="24"/>
        <v>3</v>
      </c>
      <c r="B1551" s="160">
        <f t="shared" si="25"/>
        <v>0</v>
      </c>
      <c r="C1551" s="160">
        <f t="shared" si="26"/>
        <v>3</v>
      </c>
      <c r="D1551" s="160">
        <f t="shared" si="27"/>
        <v>0.25</v>
      </c>
      <c r="E1551" s="206"/>
      <c r="F1551" s="206"/>
      <c r="G1551" s="206"/>
      <c r="H1551" s="206"/>
      <c r="I1551" s="206"/>
    </row>
    <row r="1552" spans="1:9" x14ac:dyDescent="0.35">
      <c r="A1552" s="160">
        <f t="shared" si="24"/>
        <v>0</v>
      </c>
      <c r="B1552" s="160">
        <f t="shared" si="25"/>
        <v>4</v>
      </c>
      <c r="C1552" s="160">
        <f t="shared" si="26"/>
        <v>4</v>
      </c>
      <c r="D1552" s="160">
        <f t="shared" si="27"/>
        <v>0.2</v>
      </c>
      <c r="E1552" s="206"/>
      <c r="F1552" s="206"/>
      <c r="G1552" s="206"/>
      <c r="H1552" s="206"/>
      <c r="I1552" s="206"/>
    </row>
    <row r="1553" spans="1:9" x14ac:dyDescent="0.35">
      <c r="A1553" s="160">
        <f t="shared" si="24"/>
        <v>1</v>
      </c>
      <c r="B1553" s="160">
        <f t="shared" si="25"/>
        <v>0</v>
      </c>
      <c r="C1553" s="160">
        <f t="shared" si="26"/>
        <v>1</v>
      </c>
      <c r="D1553" s="160">
        <f t="shared" si="27"/>
        <v>0.5</v>
      </c>
      <c r="E1553" s="206"/>
      <c r="F1553" s="206"/>
      <c r="G1553" s="206"/>
      <c r="H1553" s="206"/>
      <c r="I1553" s="206"/>
    </row>
    <row r="1554" spans="1:9" x14ac:dyDescent="0.35">
      <c r="A1554" s="160">
        <f t="shared" si="24"/>
        <v>0</v>
      </c>
      <c r="B1554" s="160">
        <f t="shared" si="25"/>
        <v>0</v>
      </c>
      <c r="C1554" s="160">
        <f t="shared" si="26"/>
        <v>0</v>
      </c>
      <c r="D1554" s="160">
        <f t="shared" si="27"/>
        <v>1</v>
      </c>
      <c r="E1554" s="206"/>
      <c r="F1554" s="206"/>
      <c r="G1554" s="206"/>
      <c r="H1554" s="206"/>
      <c r="I1554" s="206"/>
    </row>
    <row r="1555" spans="1:9" x14ac:dyDescent="0.35">
      <c r="A1555" s="160">
        <f t="shared" si="24"/>
        <v>0</v>
      </c>
      <c r="B1555" s="160">
        <f t="shared" si="25"/>
        <v>0</v>
      </c>
      <c r="C1555" s="160">
        <f t="shared" si="26"/>
        <v>0</v>
      </c>
      <c r="D1555" s="160">
        <f t="shared" si="27"/>
        <v>1</v>
      </c>
      <c r="E1555" s="206"/>
      <c r="F1555" s="206"/>
      <c r="G1555" s="206"/>
      <c r="H1555" s="206"/>
      <c r="I1555" s="206"/>
    </row>
    <row r="1556" spans="1:9" x14ac:dyDescent="0.35">
      <c r="A1556" s="160">
        <f t="shared" si="24"/>
        <v>2</v>
      </c>
      <c r="B1556" s="160">
        <f t="shared" si="25"/>
        <v>0</v>
      </c>
      <c r="C1556" s="160">
        <f t="shared" si="26"/>
        <v>2</v>
      </c>
      <c r="D1556" s="160">
        <f t="shared" si="27"/>
        <v>0.33333333333333331</v>
      </c>
      <c r="E1556" s="206"/>
      <c r="F1556" s="206"/>
      <c r="G1556" s="206"/>
      <c r="H1556" s="206"/>
      <c r="I1556" s="206"/>
    </row>
    <row r="1557" spans="1:9" x14ac:dyDescent="0.35">
      <c r="A1557" s="160">
        <f t="shared" si="24"/>
        <v>7</v>
      </c>
      <c r="B1557" s="160">
        <f t="shared" si="25"/>
        <v>1</v>
      </c>
      <c r="C1557" s="160">
        <f t="shared" si="26"/>
        <v>8</v>
      </c>
      <c r="D1557" s="160">
        <f t="shared" si="27"/>
        <v>0.1111111111111111</v>
      </c>
      <c r="E1557" s="206"/>
      <c r="F1557" s="206"/>
      <c r="G1557" s="206"/>
      <c r="H1557" s="206"/>
      <c r="I1557" s="206"/>
    </row>
    <row r="1558" spans="1:9" x14ac:dyDescent="0.35">
      <c r="A1558" s="160">
        <f t="shared" si="24"/>
        <v>4</v>
      </c>
      <c r="B1558" s="160">
        <f t="shared" si="25"/>
        <v>1</v>
      </c>
      <c r="C1558" s="160">
        <f t="shared" si="26"/>
        <v>5</v>
      </c>
      <c r="D1558" s="160">
        <f t="shared" si="27"/>
        <v>0.16666666666666666</v>
      </c>
      <c r="E1558" s="206"/>
      <c r="F1558" s="206"/>
      <c r="G1558" s="206"/>
      <c r="H1558" s="206"/>
      <c r="I1558" s="206"/>
    </row>
    <row r="1559" spans="1:9" x14ac:dyDescent="0.35">
      <c r="A1559" s="160">
        <f t="shared" si="24"/>
        <v>2</v>
      </c>
      <c r="B1559" s="160">
        <f t="shared" si="25"/>
        <v>1</v>
      </c>
      <c r="C1559" s="160">
        <f t="shared" si="26"/>
        <v>3</v>
      </c>
      <c r="D1559" s="160">
        <f t="shared" si="27"/>
        <v>0.25</v>
      </c>
      <c r="E1559" s="206"/>
      <c r="F1559" s="206"/>
      <c r="G1559" s="206"/>
      <c r="H1559" s="206"/>
      <c r="I1559" s="206"/>
    </row>
    <row r="1560" spans="1:9" x14ac:dyDescent="0.35">
      <c r="A1560" s="160">
        <f t="shared" si="24"/>
        <v>1</v>
      </c>
      <c r="B1560" s="160">
        <f t="shared" si="25"/>
        <v>1</v>
      </c>
      <c r="C1560" s="160">
        <f t="shared" si="26"/>
        <v>2</v>
      </c>
      <c r="D1560" s="160">
        <f t="shared" si="27"/>
        <v>0.33333333333333331</v>
      </c>
      <c r="E1560" s="206"/>
      <c r="F1560" s="206"/>
      <c r="G1560" s="206"/>
      <c r="H1560" s="206"/>
      <c r="I1560" s="206"/>
    </row>
    <row r="1561" spans="1:9" x14ac:dyDescent="0.35">
      <c r="A1561" s="160">
        <f t="shared" si="24"/>
        <v>1</v>
      </c>
      <c r="B1561" s="160">
        <f t="shared" si="25"/>
        <v>1</v>
      </c>
      <c r="C1561" s="160">
        <f t="shared" si="26"/>
        <v>2</v>
      </c>
      <c r="D1561" s="160">
        <f t="shared" si="27"/>
        <v>0.33333333333333331</v>
      </c>
      <c r="E1561" s="206"/>
      <c r="F1561" s="206"/>
      <c r="G1561" s="206"/>
      <c r="H1561" s="206"/>
      <c r="I1561" s="206"/>
    </row>
    <row r="1562" spans="1:9" x14ac:dyDescent="0.35">
      <c r="A1562" s="160">
        <f t="shared" si="24"/>
        <v>0</v>
      </c>
      <c r="B1562" s="160">
        <f t="shared" si="25"/>
        <v>2</v>
      </c>
      <c r="C1562" s="160">
        <f t="shared" si="26"/>
        <v>2</v>
      </c>
      <c r="D1562" s="160">
        <f t="shared" si="27"/>
        <v>0.33333333333333331</v>
      </c>
      <c r="E1562" s="206"/>
      <c r="F1562" s="206"/>
      <c r="G1562" s="206"/>
      <c r="H1562" s="206"/>
      <c r="I1562" s="206"/>
    </row>
    <row r="1563" spans="1:9" x14ac:dyDescent="0.35">
      <c r="A1563" s="160">
        <f t="shared" si="24"/>
        <v>5</v>
      </c>
      <c r="B1563" s="160">
        <f t="shared" si="25"/>
        <v>0</v>
      </c>
      <c r="C1563" s="160">
        <f t="shared" si="26"/>
        <v>5</v>
      </c>
      <c r="D1563" s="160">
        <f t="shared" si="27"/>
        <v>0.16666666666666666</v>
      </c>
      <c r="E1563" s="206"/>
      <c r="F1563" s="206"/>
      <c r="G1563" s="206"/>
      <c r="H1563" s="206"/>
      <c r="I1563" s="206"/>
    </row>
    <row r="1564" spans="1:9" x14ac:dyDescent="0.35">
      <c r="A1564" s="160">
        <f t="shared" si="24"/>
        <v>3</v>
      </c>
      <c r="B1564" s="160">
        <f t="shared" si="25"/>
        <v>1</v>
      </c>
      <c r="C1564" s="160">
        <f t="shared" si="26"/>
        <v>4</v>
      </c>
      <c r="D1564" s="160">
        <f t="shared" si="27"/>
        <v>0.2</v>
      </c>
      <c r="E1564" s="206"/>
      <c r="F1564" s="206"/>
      <c r="G1564" s="206"/>
      <c r="H1564" s="206"/>
      <c r="I1564" s="206"/>
    </row>
    <row r="1565" spans="1:9" x14ac:dyDescent="0.35">
      <c r="A1565" s="160">
        <f t="shared" si="24"/>
        <v>0</v>
      </c>
      <c r="B1565" s="160">
        <f t="shared" si="25"/>
        <v>0</v>
      </c>
      <c r="C1565" s="160">
        <f t="shared" si="26"/>
        <v>0</v>
      </c>
      <c r="D1565" s="160">
        <f t="shared" si="27"/>
        <v>1</v>
      </c>
      <c r="E1565" s="206"/>
      <c r="F1565" s="206"/>
      <c r="G1565" s="206"/>
      <c r="H1565" s="206"/>
      <c r="I1565" s="206"/>
    </row>
    <row r="1566" spans="1:9" x14ac:dyDescent="0.35">
      <c r="A1566" s="160">
        <f t="shared" si="24"/>
        <v>1</v>
      </c>
      <c r="B1566" s="160">
        <f t="shared" si="25"/>
        <v>2</v>
      </c>
      <c r="C1566" s="160">
        <f t="shared" si="26"/>
        <v>3</v>
      </c>
      <c r="D1566" s="160">
        <f t="shared" si="27"/>
        <v>0.25</v>
      </c>
      <c r="E1566" s="206"/>
      <c r="F1566" s="206"/>
      <c r="G1566" s="206"/>
      <c r="H1566" s="206"/>
      <c r="I1566" s="206"/>
    </row>
    <row r="1567" spans="1:9" x14ac:dyDescent="0.35">
      <c r="A1567" s="160">
        <f t="shared" si="24"/>
        <v>0</v>
      </c>
      <c r="B1567" s="160">
        <f t="shared" si="25"/>
        <v>1</v>
      </c>
      <c r="C1567" s="160">
        <f t="shared" si="26"/>
        <v>1</v>
      </c>
      <c r="D1567" s="160">
        <f t="shared" si="27"/>
        <v>0.5</v>
      </c>
      <c r="E1567" s="206"/>
      <c r="F1567" s="206"/>
      <c r="G1567" s="206"/>
      <c r="H1567" s="206"/>
      <c r="I1567" s="206"/>
    </row>
    <row r="1568" spans="1:9" x14ac:dyDescent="0.35">
      <c r="A1568" s="160">
        <f t="shared" si="24"/>
        <v>1</v>
      </c>
      <c r="B1568" s="160">
        <f t="shared" si="25"/>
        <v>0</v>
      </c>
      <c r="C1568" s="160">
        <f t="shared" si="26"/>
        <v>1</v>
      </c>
      <c r="D1568" s="160">
        <f t="shared" si="27"/>
        <v>0.5</v>
      </c>
      <c r="E1568" s="206"/>
      <c r="F1568" s="206"/>
      <c r="G1568" s="206"/>
      <c r="H1568" s="206"/>
      <c r="I1568" s="206"/>
    </row>
    <row r="1569" spans="1:9" x14ac:dyDescent="0.35">
      <c r="A1569" s="160">
        <f t="shared" si="24"/>
        <v>2</v>
      </c>
      <c r="B1569" s="160">
        <f t="shared" si="25"/>
        <v>2</v>
      </c>
      <c r="C1569" s="160">
        <f t="shared" si="26"/>
        <v>4</v>
      </c>
      <c r="D1569" s="160">
        <f t="shared" si="27"/>
        <v>0.2</v>
      </c>
      <c r="E1569" s="206"/>
      <c r="F1569" s="206"/>
      <c r="G1569" s="206"/>
      <c r="H1569" s="206"/>
      <c r="I1569" s="206"/>
    </row>
    <row r="1570" spans="1:9" x14ac:dyDescent="0.35">
      <c r="A1570" s="160">
        <f t="shared" si="24"/>
        <v>0</v>
      </c>
      <c r="B1570" s="160">
        <f t="shared" si="25"/>
        <v>0</v>
      </c>
      <c r="C1570" s="160">
        <f t="shared" si="26"/>
        <v>0</v>
      </c>
      <c r="D1570" s="160">
        <f t="shared" si="27"/>
        <v>1</v>
      </c>
      <c r="E1570" s="206"/>
      <c r="F1570" s="206"/>
      <c r="G1570" s="206"/>
      <c r="H1570" s="206"/>
      <c r="I1570" s="206"/>
    </row>
    <row r="1571" spans="1:9" x14ac:dyDescent="0.35">
      <c r="A1571" s="160">
        <f t="shared" ref="A1571:A1634" si="28">SUMPRODUCT(($R$4:$R$1115=R453)*($Q$4:$Q$1115=Q453)*(ROW($R$4:$R$1115)&gt;ROW(R453)))</f>
        <v>1</v>
      </c>
      <c r="B1571" s="160">
        <f t="shared" ref="B1571:B1634" si="29">SUMPRODUCT(($K$4:$K$1115=K453)*($Q$4:$Q$1115=Q453)*(ROW($K$4:$K$1115)&gt;ROW(K453)))</f>
        <v>0</v>
      </c>
      <c r="C1571" s="160">
        <f t="shared" ref="C1571:C1634" si="30">SUM(A1571:B1571)</f>
        <v>1</v>
      </c>
      <c r="D1571" s="160">
        <f t="shared" ref="D1571:D1634" si="31">1/(1+C1571)</f>
        <v>0.5</v>
      </c>
      <c r="E1571" s="206"/>
      <c r="F1571" s="206"/>
      <c r="G1571" s="206"/>
      <c r="H1571" s="206"/>
      <c r="I1571" s="206"/>
    </row>
    <row r="1572" spans="1:9" x14ac:dyDescent="0.35">
      <c r="A1572" s="160">
        <f t="shared" si="28"/>
        <v>0</v>
      </c>
      <c r="B1572" s="160">
        <f t="shared" si="29"/>
        <v>0</v>
      </c>
      <c r="C1572" s="160">
        <f t="shared" si="30"/>
        <v>0</v>
      </c>
      <c r="D1572" s="160">
        <f t="shared" si="31"/>
        <v>1</v>
      </c>
      <c r="E1572" s="206"/>
      <c r="F1572" s="206"/>
      <c r="G1572" s="206"/>
      <c r="H1572" s="206"/>
      <c r="I1572" s="206"/>
    </row>
    <row r="1573" spans="1:9" x14ac:dyDescent="0.35">
      <c r="A1573" s="160">
        <f t="shared" si="28"/>
        <v>1</v>
      </c>
      <c r="B1573" s="160">
        <f t="shared" si="29"/>
        <v>0</v>
      </c>
      <c r="C1573" s="160">
        <f t="shared" si="30"/>
        <v>1</v>
      </c>
      <c r="D1573" s="160">
        <f t="shared" si="31"/>
        <v>0.5</v>
      </c>
      <c r="E1573" s="206"/>
      <c r="F1573" s="206"/>
      <c r="G1573" s="206"/>
      <c r="H1573" s="206"/>
      <c r="I1573" s="206"/>
    </row>
    <row r="1574" spans="1:9" x14ac:dyDescent="0.35">
      <c r="A1574" s="160">
        <f t="shared" si="28"/>
        <v>1</v>
      </c>
      <c r="B1574" s="160">
        <f t="shared" si="29"/>
        <v>1</v>
      </c>
      <c r="C1574" s="160">
        <f t="shared" si="30"/>
        <v>2</v>
      </c>
      <c r="D1574" s="160">
        <f t="shared" si="31"/>
        <v>0.33333333333333331</v>
      </c>
      <c r="E1574" s="206"/>
      <c r="F1574" s="206"/>
      <c r="G1574" s="206"/>
      <c r="H1574" s="206"/>
      <c r="I1574" s="206"/>
    </row>
    <row r="1575" spans="1:9" x14ac:dyDescent="0.35">
      <c r="A1575" s="160">
        <f t="shared" si="28"/>
        <v>1</v>
      </c>
      <c r="B1575" s="160">
        <f t="shared" si="29"/>
        <v>1</v>
      </c>
      <c r="C1575" s="160">
        <f t="shared" si="30"/>
        <v>2</v>
      </c>
      <c r="D1575" s="160">
        <f t="shared" si="31"/>
        <v>0.33333333333333331</v>
      </c>
      <c r="E1575" s="206"/>
      <c r="F1575" s="206"/>
      <c r="G1575" s="206"/>
      <c r="H1575" s="206"/>
      <c r="I1575" s="206"/>
    </row>
    <row r="1576" spans="1:9" x14ac:dyDescent="0.35">
      <c r="A1576" s="160">
        <f t="shared" si="28"/>
        <v>1</v>
      </c>
      <c r="B1576" s="160">
        <f t="shared" si="29"/>
        <v>0</v>
      </c>
      <c r="C1576" s="160">
        <f t="shared" si="30"/>
        <v>1</v>
      </c>
      <c r="D1576" s="160">
        <f t="shared" si="31"/>
        <v>0.5</v>
      </c>
      <c r="E1576" s="206"/>
      <c r="F1576" s="206"/>
      <c r="G1576" s="206"/>
      <c r="H1576" s="206"/>
      <c r="I1576" s="206"/>
    </row>
    <row r="1577" spans="1:9" x14ac:dyDescent="0.35">
      <c r="A1577" s="160">
        <f t="shared" si="28"/>
        <v>0</v>
      </c>
      <c r="B1577" s="160">
        <f t="shared" si="29"/>
        <v>1</v>
      </c>
      <c r="C1577" s="160">
        <f t="shared" si="30"/>
        <v>1</v>
      </c>
      <c r="D1577" s="160">
        <f t="shared" si="31"/>
        <v>0.5</v>
      </c>
      <c r="E1577" s="206"/>
      <c r="F1577" s="206"/>
      <c r="G1577" s="206"/>
      <c r="H1577" s="206"/>
      <c r="I1577" s="206"/>
    </row>
    <row r="1578" spans="1:9" x14ac:dyDescent="0.35">
      <c r="A1578" s="160">
        <f t="shared" si="28"/>
        <v>2</v>
      </c>
      <c r="B1578" s="160">
        <f t="shared" si="29"/>
        <v>1</v>
      </c>
      <c r="C1578" s="160">
        <f t="shared" si="30"/>
        <v>3</v>
      </c>
      <c r="D1578" s="160">
        <f t="shared" si="31"/>
        <v>0.25</v>
      </c>
      <c r="E1578" s="206"/>
      <c r="F1578" s="206"/>
      <c r="G1578" s="206"/>
      <c r="H1578" s="206"/>
      <c r="I1578" s="206"/>
    </row>
    <row r="1579" spans="1:9" x14ac:dyDescent="0.35">
      <c r="A1579" s="160">
        <f t="shared" si="28"/>
        <v>0</v>
      </c>
      <c r="B1579" s="160">
        <f t="shared" si="29"/>
        <v>3</v>
      </c>
      <c r="C1579" s="160">
        <f t="shared" si="30"/>
        <v>3</v>
      </c>
      <c r="D1579" s="160">
        <f t="shared" si="31"/>
        <v>0.25</v>
      </c>
      <c r="E1579" s="206"/>
      <c r="F1579" s="206"/>
      <c r="G1579" s="206"/>
      <c r="H1579" s="206"/>
      <c r="I1579" s="206"/>
    </row>
    <row r="1580" spans="1:9" x14ac:dyDescent="0.35">
      <c r="A1580" s="160">
        <f t="shared" si="28"/>
        <v>0</v>
      </c>
      <c r="B1580" s="160">
        <f t="shared" si="29"/>
        <v>1</v>
      </c>
      <c r="C1580" s="160">
        <f t="shared" si="30"/>
        <v>1</v>
      </c>
      <c r="D1580" s="160">
        <f t="shared" si="31"/>
        <v>0.5</v>
      </c>
      <c r="E1580" s="206"/>
      <c r="F1580" s="206"/>
      <c r="G1580" s="206"/>
      <c r="H1580" s="206"/>
      <c r="I1580" s="206"/>
    </row>
    <row r="1581" spans="1:9" x14ac:dyDescent="0.35">
      <c r="A1581" s="160">
        <f t="shared" si="28"/>
        <v>0</v>
      </c>
      <c r="B1581" s="160">
        <f t="shared" si="29"/>
        <v>0</v>
      </c>
      <c r="C1581" s="160">
        <f t="shared" si="30"/>
        <v>0</v>
      </c>
      <c r="D1581" s="160">
        <f t="shared" si="31"/>
        <v>1</v>
      </c>
      <c r="E1581" s="206"/>
      <c r="F1581" s="206"/>
      <c r="G1581" s="206"/>
      <c r="H1581" s="206"/>
      <c r="I1581" s="206"/>
    </row>
    <row r="1582" spans="1:9" x14ac:dyDescent="0.35">
      <c r="A1582" s="160">
        <f t="shared" si="28"/>
        <v>3</v>
      </c>
      <c r="B1582" s="160">
        <f t="shared" si="29"/>
        <v>2</v>
      </c>
      <c r="C1582" s="160">
        <f t="shared" si="30"/>
        <v>5</v>
      </c>
      <c r="D1582" s="160">
        <f t="shared" si="31"/>
        <v>0.16666666666666666</v>
      </c>
      <c r="E1582" s="206"/>
      <c r="F1582" s="206"/>
      <c r="G1582" s="206"/>
      <c r="H1582" s="206"/>
      <c r="I1582" s="206"/>
    </row>
    <row r="1583" spans="1:9" x14ac:dyDescent="0.35">
      <c r="A1583" s="160">
        <f t="shared" si="28"/>
        <v>9</v>
      </c>
      <c r="B1583" s="160">
        <f t="shared" si="29"/>
        <v>1</v>
      </c>
      <c r="C1583" s="160">
        <f t="shared" si="30"/>
        <v>10</v>
      </c>
      <c r="D1583" s="160">
        <f t="shared" si="31"/>
        <v>9.0909090909090912E-2</v>
      </c>
      <c r="E1583" s="206"/>
      <c r="F1583" s="206"/>
      <c r="G1583" s="206"/>
      <c r="H1583" s="206"/>
      <c r="I1583" s="206"/>
    </row>
    <row r="1584" spans="1:9" x14ac:dyDescent="0.35">
      <c r="A1584" s="160">
        <f t="shared" si="28"/>
        <v>2</v>
      </c>
      <c r="B1584" s="160">
        <f t="shared" si="29"/>
        <v>0</v>
      </c>
      <c r="C1584" s="160">
        <f t="shared" si="30"/>
        <v>2</v>
      </c>
      <c r="D1584" s="160">
        <f t="shared" si="31"/>
        <v>0.33333333333333331</v>
      </c>
      <c r="E1584" s="206"/>
      <c r="F1584" s="206"/>
      <c r="G1584" s="206"/>
      <c r="H1584" s="206"/>
      <c r="I1584" s="206"/>
    </row>
    <row r="1585" spans="1:9" x14ac:dyDescent="0.35">
      <c r="A1585" s="160">
        <f t="shared" si="28"/>
        <v>0</v>
      </c>
      <c r="B1585" s="160">
        <f t="shared" si="29"/>
        <v>0</v>
      </c>
      <c r="C1585" s="160">
        <f t="shared" si="30"/>
        <v>0</v>
      </c>
      <c r="D1585" s="160">
        <f t="shared" si="31"/>
        <v>1</v>
      </c>
      <c r="E1585" s="206"/>
      <c r="F1585" s="206"/>
      <c r="G1585" s="206"/>
      <c r="H1585" s="206"/>
      <c r="I1585" s="206"/>
    </row>
    <row r="1586" spans="1:9" x14ac:dyDescent="0.35">
      <c r="A1586" s="160">
        <f t="shared" si="28"/>
        <v>0</v>
      </c>
      <c r="B1586" s="160">
        <f t="shared" si="29"/>
        <v>1</v>
      </c>
      <c r="C1586" s="160">
        <f t="shared" si="30"/>
        <v>1</v>
      </c>
      <c r="D1586" s="160">
        <f t="shared" si="31"/>
        <v>0.5</v>
      </c>
      <c r="E1586" s="206"/>
      <c r="F1586" s="206"/>
      <c r="G1586" s="206"/>
      <c r="H1586" s="206"/>
      <c r="I1586" s="206"/>
    </row>
    <row r="1587" spans="1:9" x14ac:dyDescent="0.35">
      <c r="A1587" s="160">
        <f t="shared" si="28"/>
        <v>0</v>
      </c>
      <c r="B1587" s="160">
        <f t="shared" si="29"/>
        <v>0</v>
      </c>
      <c r="C1587" s="160">
        <f t="shared" si="30"/>
        <v>0</v>
      </c>
      <c r="D1587" s="160">
        <f t="shared" si="31"/>
        <v>1</v>
      </c>
      <c r="E1587" s="206"/>
      <c r="F1587" s="206"/>
      <c r="G1587" s="206"/>
      <c r="H1587" s="206"/>
      <c r="I1587" s="206"/>
    </row>
    <row r="1588" spans="1:9" x14ac:dyDescent="0.35">
      <c r="A1588" s="160">
        <f t="shared" si="28"/>
        <v>0</v>
      </c>
      <c r="B1588" s="160">
        <f t="shared" si="29"/>
        <v>2</v>
      </c>
      <c r="C1588" s="160">
        <f t="shared" si="30"/>
        <v>2</v>
      </c>
      <c r="D1588" s="160">
        <f t="shared" si="31"/>
        <v>0.33333333333333331</v>
      </c>
      <c r="E1588" s="206"/>
      <c r="F1588" s="206"/>
      <c r="G1588" s="206"/>
      <c r="H1588" s="206"/>
      <c r="I1588" s="206"/>
    </row>
    <row r="1589" spans="1:9" x14ac:dyDescent="0.35">
      <c r="A1589" s="160">
        <f t="shared" si="28"/>
        <v>1</v>
      </c>
      <c r="B1589" s="160">
        <f t="shared" si="29"/>
        <v>2</v>
      </c>
      <c r="C1589" s="160">
        <f t="shared" si="30"/>
        <v>3</v>
      </c>
      <c r="D1589" s="160">
        <f t="shared" si="31"/>
        <v>0.25</v>
      </c>
      <c r="E1589" s="206"/>
      <c r="F1589" s="206"/>
      <c r="G1589" s="206"/>
      <c r="H1589" s="206"/>
      <c r="I1589" s="206"/>
    </row>
    <row r="1590" spans="1:9" x14ac:dyDescent="0.35">
      <c r="A1590" s="160">
        <f t="shared" si="28"/>
        <v>0</v>
      </c>
      <c r="B1590" s="160">
        <f t="shared" si="29"/>
        <v>0</v>
      </c>
      <c r="C1590" s="160">
        <f t="shared" si="30"/>
        <v>0</v>
      </c>
      <c r="D1590" s="160">
        <f t="shared" si="31"/>
        <v>1</v>
      </c>
      <c r="E1590" s="206"/>
      <c r="F1590" s="206"/>
      <c r="G1590" s="206"/>
      <c r="H1590" s="206"/>
      <c r="I1590" s="206"/>
    </row>
    <row r="1591" spans="1:9" x14ac:dyDescent="0.35">
      <c r="A1591" s="160">
        <f t="shared" si="28"/>
        <v>4</v>
      </c>
      <c r="B1591" s="160">
        <f t="shared" si="29"/>
        <v>1</v>
      </c>
      <c r="C1591" s="160">
        <f t="shared" si="30"/>
        <v>5</v>
      </c>
      <c r="D1591" s="160">
        <f t="shared" si="31"/>
        <v>0.16666666666666666</v>
      </c>
      <c r="E1591" s="206"/>
      <c r="F1591" s="206"/>
      <c r="G1591" s="206"/>
      <c r="H1591" s="206"/>
      <c r="I1591" s="206"/>
    </row>
    <row r="1592" spans="1:9" x14ac:dyDescent="0.35">
      <c r="A1592" s="160">
        <f t="shared" si="28"/>
        <v>0</v>
      </c>
      <c r="B1592" s="160">
        <f t="shared" si="29"/>
        <v>1</v>
      </c>
      <c r="C1592" s="160">
        <f t="shared" si="30"/>
        <v>1</v>
      </c>
      <c r="D1592" s="160">
        <f t="shared" si="31"/>
        <v>0.5</v>
      </c>
      <c r="E1592" s="206"/>
      <c r="F1592" s="206"/>
      <c r="G1592" s="206"/>
      <c r="H1592" s="206"/>
      <c r="I1592" s="206"/>
    </row>
    <row r="1593" spans="1:9" x14ac:dyDescent="0.35">
      <c r="A1593" s="160">
        <f t="shared" si="28"/>
        <v>1</v>
      </c>
      <c r="B1593" s="160">
        <f t="shared" si="29"/>
        <v>1</v>
      </c>
      <c r="C1593" s="160">
        <f t="shared" si="30"/>
        <v>2</v>
      </c>
      <c r="D1593" s="160">
        <f t="shared" si="31"/>
        <v>0.33333333333333331</v>
      </c>
      <c r="E1593" s="206"/>
      <c r="F1593" s="206"/>
      <c r="G1593" s="206"/>
      <c r="H1593" s="206"/>
      <c r="I1593" s="206"/>
    </row>
    <row r="1594" spans="1:9" x14ac:dyDescent="0.35">
      <c r="A1594" s="160">
        <f t="shared" si="28"/>
        <v>0</v>
      </c>
      <c r="B1594" s="160">
        <f t="shared" si="29"/>
        <v>3</v>
      </c>
      <c r="C1594" s="160">
        <f t="shared" si="30"/>
        <v>3</v>
      </c>
      <c r="D1594" s="160">
        <f t="shared" si="31"/>
        <v>0.25</v>
      </c>
      <c r="E1594" s="206"/>
      <c r="F1594" s="206"/>
      <c r="G1594" s="206"/>
      <c r="H1594" s="206"/>
      <c r="I1594" s="206"/>
    </row>
    <row r="1595" spans="1:9" x14ac:dyDescent="0.35">
      <c r="A1595" s="160">
        <f t="shared" si="28"/>
        <v>0</v>
      </c>
      <c r="B1595" s="160">
        <f t="shared" si="29"/>
        <v>0</v>
      </c>
      <c r="C1595" s="160">
        <f t="shared" si="30"/>
        <v>0</v>
      </c>
      <c r="D1595" s="160">
        <f t="shared" si="31"/>
        <v>1</v>
      </c>
      <c r="E1595" s="206"/>
      <c r="F1595" s="206"/>
      <c r="G1595" s="206"/>
      <c r="H1595" s="206"/>
      <c r="I1595" s="206"/>
    </row>
    <row r="1596" spans="1:9" x14ac:dyDescent="0.35">
      <c r="A1596" s="160">
        <f t="shared" si="28"/>
        <v>8</v>
      </c>
      <c r="B1596" s="160">
        <f t="shared" si="29"/>
        <v>2</v>
      </c>
      <c r="C1596" s="160">
        <f t="shared" si="30"/>
        <v>10</v>
      </c>
      <c r="D1596" s="160">
        <f t="shared" si="31"/>
        <v>9.0909090909090912E-2</v>
      </c>
      <c r="E1596" s="206"/>
      <c r="F1596" s="206"/>
      <c r="G1596" s="206"/>
      <c r="H1596" s="206"/>
      <c r="I1596" s="206"/>
    </row>
    <row r="1597" spans="1:9" x14ac:dyDescent="0.35">
      <c r="A1597" s="160">
        <f t="shared" si="28"/>
        <v>2</v>
      </c>
      <c r="B1597" s="160">
        <f t="shared" si="29"/>
        <v>2</v>
      </c>
      <c r="C1597" s="160">
        <f t="shared" si="30"/>
        <v>4</v>
      </c>
      <c r="D1597" s="160">
        <f t="shared" si="31"/>
        <v>0.2</v>
      </c>
      <c r="E1597" s="206"/>
      <c r="F1597" s="206"/>
      <c r="G1597" s="206"/>
      <c r="H1597" s="206"/>
      <c r="I1597" s="206"/>
    </row>
    <row r="1598" spans="1:9" x14ac:dyDescent="0.35">
      <c r="A1598" s="160">
        <f t="shared" si="28"/>
        <v>0</v>
      </c>
      <c r="B1598" s="160">
        <f t="shared" si="29"/>
        <v>2</v>
      </c>
      <c r="C1598" s="160">
        <f t="shared" si="30"/>
        <v>2</v>
      </c>
      <c r="D1598" s="160">
        <f t="shared" si="31"/>
        <v>0.33333333333333331</v>
      </c>
      <c r="E1598" s="206"/>
      <c r="F1598" s="206"/>
      <c r="G1598" s="206"/>
      <c r="H1598" s="206"/>
      <c r="I1598" s="206"/>
    </row>
    <row r="1599" spans="1:9" x14ac:dyDescent="0.35">
      <c r="A1599" s="160">
        <f t="shared" si="28"/>
        <v>2</v>
      </c>
      <c r="B1599" s="160">
        <f t="shared" si="29"/>
        <v>0</v>
      </c>
      <c r="C1599" s="160">
        <f t="shared" si="30"/>
        <v>2</v>
      </c>
      <c r="D1599" s="160">
        <f t="shared" si="31"/>
        <v>0.33333333333333331</v>
      </c>
      <c r="E1599" s="206"/>
      <c r="F1599" s="206"/>
      <c r="G1599" s="206"/>
      <c r="H1599" s="206"/>
      <c r="I1599" s="206"/>
    </row>
    <row r="1600" spans="1:9" x14ac:dyDescent="0.35">
      <c r="A1600" s="160">
        <f t="shared" si="28"/>
        <v>1</v>
      </c>
      <c r="B1600" s="160">
        <f t="shared" si="29"/>
        <v>0</v>
      </c>
      <c r="C1600" s="160">
        <f t="shared" si="30"/>
        <v>1</v>
      </c>
      <c r="D1600" s="160">
        <f t="shared" si="31"/>
        <v>0.5</v>
      </c>
      <c r="E1600" s="206"/>
      <c r="F1600" s="206"/>
      <c r="G1600" s="206"/>
      <c r="H1600" s="206"/>
      <c r="I1600" s="206"/>
    </row>
    <row r="1601" spans="1:9" x14ac:dyDescent="0.35">
      <c r="A1601" s="160">
        <f t="shared" si="28"/>
        <v>1</v>
      </c>
      <c r="B1601" s="160">
        <f t="shared" si="29"/>
        <v>2</v>
      </c>
      <c r="C1601" s="160">
        <f t="shared" si="30"/>
        <v>3</v>
      </c>
      <c r="D1601" s="160">
        <f t="shared" si="31"/>
        <v>0.25</v>
      </c>
      <c r="E1601" s="206"/>
      <c r="F1601" s="206"/>
      <c r="G1601" s="206"/>
      <c r="H1601" s="206"/>
      <c r="I1601" s="206"/>
    </row>
    <row r="1602" spans="1:9" x14ac:dyDescent="0.35">
      <c r="A1602" s="160">
        <f t="shared" si="28"/>
        <v>1</v>
      </c>
      <c r="B1602" s="160">
        <f t="shared" si="29"/>
        <v>0</v>
      </c>
      <c r="C1602" s="160">
        <f t="shared" si="30"/>
        <v>1</v>
      </c>
      <c r="D1602" s="160">
        <f t="shared" si="31"/>
        <v>0.5</v>
      </c>
      <c r="E1602" s="206"/>
      <c r="F1602" s="206"/>
      <c r="G1602" s="206"/>
      <c r="H1602" s="206"/>
      <c r="I1602" s="206"/>
    </row>
    <row r="1603" spans="1:9" x14ac:dyDescent="0.35">
      <c r="A1603" s="160">
        <f t="shared" si="28"/>
        <v>1</v>
      </c>
      <c r="B1603" s="160">
        <f t="shared" si="29"/>
        <v>0</v>
      </c>
      <c r="C1603" s="160">
        <f t="shared" si="30"/>
        <v>1</v>
      </c>
      <c r="D1603" s="160">
        <f t="shared" si="31"/>
        <v>0.5</v>
      </c>
      <c r="E1603" s="206"/>
      <c r="F1603" s="206"/>
      <c r="G1603" s="206"/>
      <c r="H1603" s="206"/>
      <c r="I1603" s="206"/>
    </row>
    <row r="1604" spans="1:9" x14ac:dyDescent="0.35">
      <c r="A1604" s="160">
        <f t="shared" si="28"/>
        <v>0</v>
      </c>
      <c r="B1604" s="160">
        <f t="shared" si="29"/>
        <v>0</v>
      </c>
      <c r="C1604" s="160">
        <f t="shared" si="30"/>
        <v>0</v>
      </c>
      <c r="D1604" s="160">
        <f t="shared" si="31"/>
        <v>1</v>
      </c>
      <c r="E1604" s="206"/>
      <c r="F1604" s="206"/>
      <c r="G1604" s="206"/>
      <c r="H1604" s="206"/>
      <c r="I1604" s="206"/>
    </row>
    <row r="1605" spans="1:9" x14ac:dyDescent="0.35">
      <c r="A1605" s="160">
        <f t="shared" si="28"/>
        <v>1</v>
      </c>
      <c r="B1605" s="160">
        <f t="shared" si="29"/>
        <v>1</v>
      </c>
      <c r="C1605" s="160">
        <f t="shared" si="30"/>
        <v>2</v>
      </c>
      <c r="D1605" s="160">
        <f t="shared" si="31"/>
        <v>0.33333333333333331</v>
      </c>
      <c r="E1605" s="206"/>
      <c r="F1605" s="206"/>
      <c r="G1605" s="206"/>
      <c r="H1605" s="206"/>
      <c r="I1605" s="206"/>
    </row>
    <row r="1606" spans="1:9" x14ac:dyDescent="0.35">
      <c r="A1606" s="160">
        <f t="shared" si="28"/>
        <v>0</v>
      </c>
      <c r="B1606" s="160">
        <f t="shared" si="29"/>
        <v>0</v>
      </c>
      <c r="C1606" s="160">
        <f t="shared" si="30"/>
        <v>0</v>
      </c>
      <c r="D1606" s="160">
        <f t="shared" si="31"/>
        <v>1</v>
      </c>
      <c r="E1606" s="206"/>
      <c r="F1606" s="206"/>
      <c r="G1606" s="206"/>
      <c r="H1606" s="206"/>
      <c r="I1606" s="206"/>
    </row>
    <row r="1607" spans="1:9" x14ac:dyDescent="0.35">
      <c r="A1607" s="160">
        <f t="shared" si="28"/>
        <v>2</v>
      </c>
      <c r="B1607" s="160">
        <f t="shared" si="29"/>
        <v>0</v>
      </c>
      <c r="C1607" s="160">
        <f t="shared" si="30"/>
        <v>2</v>
      </c>
      <c r="D1607" s="160">
        <f t="shared" si="31"/>
        <v>0.33333333333333331</v>
      </c>
      <c r="E1607" s="206"/>
      <c r="F1607" s="206"/>
      <c r="G1607" s="206"/>
      <c r="H1607" s="206"/>
      <c r="I1607" s="206"/>
    </row>
    <row r="1608" spans="1:9" x14ac:dyDescent="0.35">
      <c r="A1608" s="160">
        <f t="shared" si="28"/>
        <v>3</v>
      </c>
      <c r="B1608" s="160">
        <f t="shared" si="29"/>
        <v>3</v>
      </c>
      <c r="C1608" s="160">
        <f t="shared" si="30"/>
        <v>6</v>
      </c>
      <c r="D1608" s="160">
        <f t="shared" si="31"/>
        <v>0.14285714285714285</v>
      </c>
      <c r="E1608" s="206"/>
      <c r="F1608" s="206"/>
      <c r="G1608" s="206"/>
      <c r="H1608" s="206"/>
      <c r="I1608" s="206"/>
    </row>
    <row r="1609" spans="1:9" x14ac:dyDescent="0.35">
      <c r="A1609" s="160">
        <f t="shared" si="28"/>
        <v>6</v>
      </c>
      <c r="B1609" s="160">
        <f t="shared" si="29"/>
        <v>4</v>
      </c>
      <c r="C1609" s="160">
        <f t="shared" si="30"/>
        <v>10</v>
      </c>
      <c r="D1609" s="160">
        <f t="shared" si="31"/>
        <v>9.0909090909090912E-2</v>
      </c>
      <c r="E1609" s="206"/>
      <c r="F1609" s="206"/>
      <c r="G1609" s="206"/>
      <c r="H1609" s="206"/>
      <c r="I1609" s="206"/>
    </row>
    <row r="1610" spans="1:9" x14ac:dyDescent="0.35">
      <c r="A1610" s="160">
        <f t="shared" si="28"/>
        <v>0</v>
      </c>
      <c r="B1610" s="160">
        <f t="shared" si="29"/>
        <v>1</v>
      </c>
      <c r="C1610" s="160">
        <f t="shared" si="30"/>
        <v>1</v>
      </c>
      <c r="D1610" s="160">
        <f t="shared" si="31"/>
        <v>0.5</v>
      </c>
      <c r="E1610" s="206"/>
      <c r="F1610" s="206"/>
      <c r="G1610" s="206"/>
      <c r="H1610" s="206"/>
      <c r="I1610" s="206"/>
    </row>
    <row r="1611" spans="1:9" x14ac:dyDescent="0.35">
      <c r="A1611" s="160">
        <f t="shared" si="28"/>
        <v>0</v>
      </c>
      <c r="B1611" s="160">
        <f t="shared" si="29"/>
        <v>0</v>
      </c>
      <c r="C1611" s="160">
        <f t="shared" si="30"/>
        <v>0</v>
      </c>
      <c r="D1611" s="160">
        <f t="shared" si="31"/>
        <v>1</v>
      </c>
      <c r="E1611" s="206"/>
      <c r="F1611" s="206"/>
      <c r="G1611" s="206"/>
      <c r="H1611" s="206"/>
      <c r="I1611" s="206"/>
    </row>
    <row r="1612" spans="1:9" x14ac:dyDescent="0.35">
      <c r="A1612" s="160">
        <f t="shared" si="28"/>
        <v>4</v>
      </c>
      <c r="B1612" s="160">
        <f t="shared" si="29"/>
        <v>2</v>
      </c>
      <c r="C1612" s="160">
        <f t="shared" si="30"/>
        <v>6</v>
      </c>
      <c r="D1612" s="160">
        <f t="shared" si="31"/>
        <v>0.14285714285714285</v>
      </c>
      <c r="E1612" s="206"/>
      <c r="F1612" s="206"/>
      <c r="G1612" s="206"/>
      <c r="H1612" s="206"/>
      <c r="I1612" s="206"/>
    </row>
    <row r="1613" spans="1:9" x14ac:dyDescent="0.35">
      <c r="A1613" s="160">
        <f t="shared" si="28"/>
        <v>4</v>
      </c>
      <c r="B1613" s="160">
        <f t="shared" si="29"/>
        <v>0</v>
      </c>
      <c r="C1613" s="160">
        <f t="shared" si="30"/>
        <v>4</v>
      </c>
      <c r="D1613" s="160">
        <f t="shared" si="31"/>
        <v>0.2</v>
      </c>
      <c r="E1613" s="206"/>
      <c r="F1613" s="206"/>
      <c r="G1613" s="206"/>
      <c r="H1613" s="206"/>
      <c r="I1613" s="206"/>
    </row>
    <row r="1614" spans="1:9" x14ac:dyDescent="0.35">
      <c r="A1614" s="160">
        <f t="shared" si="28"/>
        <v>2</v>
      </c>
      <c r="B1614" s="160">
        <f t="shared" si="29"/>
        <v>0</v>
      </c>
      <c r="C1614" s="160">
        <f t="shared" si="30"/>
        <v>2</v>
      </c>
      <c r="D1614" s="160">
        <f t="shared" si="31"/>
        <v>0.33333333333333331</v>
      </c>
      <c r="E1614" s="206"/>
      <c r="F1614" s="206"/>
      <c r="G1614" s="206"/>
      <c r="H1614" s="206"/>
      <c r="I1614" s="206"/>
    </row>
    <row r="1615" spans="1:9" x14ac:dyDescent="0.35">
      <c r="A1615" s="160">
        <f t="shared" si="28"/>
        <v>0</v>
      </c>
      <c r="B1615" s="160">
        <f t="shared" si="29"/>
        <v>1</v>
      </c>
      <c r="C1615" s="160">
        <f t="shared" si="30"/>
        <v>1</v>
      </c>
      <c r="D1615" s="160">
        <f t="shared" si="31"/>
        <v>0.5</v>
      </c>
      <c r="E1615" s="206"/>
      <c r="F1615" s="206"/>
      <c r="G1615" s="206"/>
      <c r="H1615" s="206"/>
      <c r="I1615" s="206"/>
    </row>
    <row r="1616" spans="1:9" x14ac:dyDescent="0.35">
      <c r="A1616" s="160">
        <f t="shared" si="28"/>
        <v>0</v>
      </c>
      <c r="B1616" s="160">
        <f t="shared" si="29"/>
        <v>2</v>
      </c>
      <c r="C1616" s="160">
        <f t="shared" si="30"/>
        <v>2</v>
      </c>
      <c r="D1616" s="160">
        <f t="shared" si="31"/>
        <v>0.33333333333333331</v>
      </c>
      <c r="E1616" s="206"/>
      <c r="F1616" s="206"/>
      <c r="G1616" s="206"/>
      <c r="H1616" s="206"/>
      <c r="I1616" s="206"/>
    </row>
    <row r="1617" spans="1:9" x14ac:dyDescent="0.35">
      <c r="A1617" s="160">
        <f t="shared" si="28"/>
        <v>1</v>
      </c>
      <c r="B1617" s="160">
        <f t="shared" si="29"/>
        <v>1</v>
      </c>
      <c r="C1617" s="160">
        <f t="shared" si="30"/>
        <v>2</v>
      </c>
      <c r="D1617" s="160">
        <f t="shared" si="31"/>
        <v>0.33333333333333331</v>
      </c>
      <c r="E1617" s="206"/>
      <c r="F1617" s="206"/>
      <c r="G1617" s="206"/>
      <c r="H1617" s="206"/>
      <c r="I1617" s="206"/>
    </row>
    <row r="1618" spans="1:9" x14ac:dyDescent="0.35">
      <c r="A1618" s="160">
        <f t="shared" si="28"/>
        <v>0</v>
      </c>
      <c r="B1618" s="160">
        <f t="shared" si="29"/>
        <v>0</v>
      </c>
      <c r="C1618" s="160">
        <f t="shared" si="30"/>
        <v>0</v>
      </c>
      <c r="D1618" s="160">
        <f t="shared" si="31"/>
        <v>1</v>
      </c>
      <c r="E1618" s="206"/>
      <c r="F1618" s="206"/>
      <c r="G1618" s="206"/>
      <c r="H1618" s="206"/>
      <c r="I1618" s="206"/>
    </row>
    <row r="1619" spans="1:9" x14ac:dyDescent="0.35">
      <c r="A1619" s="160">
        <f t="shared" si="28"/>
        <v>1</v>
      </c>
      <c r="B1619" s="160">
        <f t="shared" si="29"/>
        <v>0</v>
      </c>
      <c r="C1619" s="160">
        <f t="shared" si="30"/>
        <v>1</v>
      </c>
      <c r="D1619" s="160">
        <f t="shared" si="31"/>
        <v>0.5</v>
      </c>
      <c r="E1619" s="206"/>
      <c r="F1619" s="206"/>
      <c r="G1619" s="206"/>
      <c r="H1619" s="206"/>
      <c r="I1619" s="206"/>
    </row>
    <row r="1620" spans="1:9" x14ac:dyDescent="0.35">
      <c r="A1620" s="160">
        <f t="shared" si="28"/>
        <v>0</v>
      </c>
      <c r="B1620" s="160">
        <f t="shared" si="29"/>
        <v>0</v>
      </c>
      <c r="C1620" s="160">
        <f t="shared" si="30"/>
        <v>0</v>
      </c>
      <c r="D1620" s="160">
        <f t="shared" si="31"/>
        <v>1</v>
      </c>
      <c r="E1620" s="206"/>
      <c r="F1620" s="206"/>
      <c r="G1620" s="206"/>
      <c r="H1620" s="206"/>
      <c r="I1620" s="206"/>
    </row>
    <row r="1621" spans="1:9" x14ac:dyDescent="0.35">
      <c r="A1621" s="160">
        <f t="shared" si="28"/>
        <v>2</v>
      </c>
      <c r="B1621" s="160">
        <f t="shared" si="29"/>
        <v>1</v>
      </c>
      <c r="C1621" s="160">
        <f t="shared" si="30"/>
        <v>3</v>
      </c>
      <c r="D1621" s="160">
        <f t="shared" si="31"/>
        <v>0.25</v>
      </c>
      <c r="E1621" s="206"/>
      <c r="F1621" s="206"/>
      <c r="G1621" s="206"/>
      <c r="H1621" s="206"/>
      <c r="I1621" s="206"/>
    </row>
    <row r="1622" spans="1:9" x14ac:dyDescent="0.35">
      <c r="A1622" s="160">
        <f t="shared" si="28"/>
        <v>0</v>
      </c>
      <c r="B1622" s="160">
        <f t="shared" si="29"/>
        <v>1</v>
      </c>
      <c r="C1622" s="160">
        <f t="shared" si="30"/>
        <v>1</v>
      </c>
      <c r="D1622" s="160">
        <f t="shared" si="31"/>
        <v>0.5</v>
      </c>
      <c r="E1622" s="206"/>
      <c r="F1622" s="206"/>
      <c r="G1622" s="206"/>
      <c r="H1622" s="206"/>
      <c r="I1622" s="206"/>
    </row>
    <row r="1623" spans="1:9" x14ac:dyDescent="0.35">
      <c r="A1623" s="160">
        <f t="shared" si="28"/>
        <v>2</v>
      </c>
      <c r="B1623" s="160">
        <f t="shared" si="29"/>
        <v>1</v>
      </c>
      <c r="C1623" s="160">
        <f t="shared" si="30"/>
        <v>3</v>
      </c>
      <c r="D1623" s="160">
        <f t="shared" si="31"/>
        <v>0.25</v>
      </c>
      <c r="E1623" s="206"/>
      <c r="F1623" s="206"/>
      <c r="G1623" s="206"/>
      <c r="H1623" s="206"/>
      <c r="I1623" s="206"/>
    </row>
    <row r="1624" spans="1:9" x14ac:dyDescent="0.35">
      <c r="A1624" s="160">
        <f t="shared" si="28"/>
        <v>6</v>
      </c>
      <c r="B1624" s="160">
        <f t="shared" si="29"/>
        <v>1</v>
      </c>
      <c r="C1624" s="160">
        <f t="shared" si="30"/>
        <v>7</v>
      </c>
      <c r="D1624" s="160">
        <f t="shared" si="31"/>
        <v>0.125</v>
      </c>
      <c r="E1624" s="206"/>
      <c r="F1624" s="206"/>
      <c r="G1624" s="206"/>
      <c r="H1624" s="206"/>
      <c r="I1624" s="206"/>
    </row>
    <row r="1625" spans="1:9" x14ac:dyDescent="0.35">
      <c r="A1625" s="160">
        <f t="shared" si="28"/>
        <v>1</v>
      </c>
      <c r="B1625" s="160">
        <f t="shared" si="29"/>
        <v>0</v>
      </c>
      <c r="C1625" s="160">
        <f t="shared" si="30"/>
        <v>1</v>
      </c>
      <c r="D1625" s="160">
        <f t="shared" si="31"/>
        <v>0.5</v>
      </c>
      <c r="E1625" s="206"/>
      <c r="F1625" s="206"/>
      <c r="G1625" s="206"/>
      <c r="H1625" s="206"/>
      <c r="I1625" s="206"/>
    </row>
    <row r="1626" spans="1:9" x14ac:dyDescent="0.35">
      <c r="A1626" s="160">
        <f t="shared" si="28"/>
        <v>0</v>
      </c>
      <c r="B1626" s="160">
        <f t="shared" si="29"/>
        <v>2</v>
      </c>
      <c r="C1626" s="160">
        <f t="shared" si="30"/>
        <v>2</v>
      </c>
      <c r="D1626" s="160">
        <f t="shared" si="31"/>
        <v>0.33333333333333331</v>
      </c>
      <c r="E1626" s="206"/>
      <c r="F1626" s="206"/>
      <c r="G1626" s="206"/>
      <c r="H1626" s="206"/>
      <c r="I1626" s="206"/>
    </row>
    <row r="1627" spans="1:9" x14ac:dyDescent="0.35">
      <c r="A1627" s="160">
        <f t="shared" si="28"/>
        <v>0</v>
      </c>
      <c r="B1627" s="160">
        <f t="shared" si="29"/>
        <v>0</v>
      </c>
      <c r="C1627" s="160">
        <f t="shared" si="30"/>
        <v>0</v>
      </c>
      <c r="D1627" s="160">
        <f t="shared" si="31"/>
        <v>1</v>
      </c>
      <c r="E1627" s="206"/>
      <c r="F1627" s="206"/>
      <c r="G1627" s="206"/>
      <c r="H1627" s="206"/>
      <c r="I1627" s="206"/>
    </row>
    <row r="1628" spans="1:9" x14ac:dyDescent="0.35">
      <c r="A1628" s="160">
        <f t="shared" si="28"/>
        <v>0</v>
      </c>
      <c r="B1628" s="160">
        <f t="shared" si="29"/>
        <v>0</v>
      </c>
      <c r="C1628" s="160">
        <f t="shared" si="30"/>
        <v>0</v>
      </c>
      <c r="D1628" s="160">
        <f t="shared" si="31"/>
        <v>1</v>
      </c>
      <c r="E1628" s="206"/>
      <c r="F1628" s="206"/>
      <c r="G1628" s="206"/>
      <c r="H1628" s="206"/>
      <c r="I1628" s="206"/>
    </row>
    <row r="1629" spans="1:9" x14ac:dyDescent="0.35">
      <c r="A1629" s="160">
        <f t="shared" si="28"/>
        <v>0</v>
      </c>
      <c r="B1629" s="160">
        <f t="shared" si="29"/>
        <v>0</v>
      </c>
      <c r="C1629" s="160">
        <f t="shared" si="30"/>
        <v>0</v>
      </c>
      <c r="D1629" s="160">
        <f t="shared" si="31"/>
        <v>1</v>
      </c>
      <c r="E1629" s="206"/>
      <c r="F1629" s="206"/>
      <c r="G1629" s="206"/>
      <c r="H1629" s="206"/>
      <c r="I1629" s="206"/>
    </row>
    <row r="1630" spans="1:9" x14ac:dyDescent="0.35">
      <c r="A1630" s="160">
        <f t="shared" si="28"/>
        <v>3</v>
      </c>
      <c r="B1630" s="160">
        <f t="shared" si="29"/>
        <v>0</v>
      </c>
      <c r="C1630" s="160">
        <f t="shared" si="30"/>
        <v>3</v>
      </c>
      <c r="D1630" s="160">
        <f t="shared" si="31"/>
        <v>0.25</v>
      </c>
      <c r="E1630" s="206"/>
      <c r="F1630" s="206"/>
      <c r="G1630" s="206"/>
      <c r="H1630" s="206"/>
      <c r="I1630" s="206"/>
    </row>
    <row r="1631" spans="1:9" x14ac:dyDescent="0.35">
      <c r="A1631" s="160">
        <f t="shared" si="28"/>
        <v>5</v>
      </c>
      <c r="B1631" s="160">
        <f t="shared" si="29"/>
        <v>0</v>
      </c>
      <c r="C1631" s="160">
        <f t="shared" si="30"/>
        <v>5</v>
      </c>
      <c r="D1631" s="160">
        <f t="shared" si="31"/>
        <v>0.16666666666666666</v>
      </c>
      <c r="E1631" s="206"/>
      <c r="F1631" s="206"/>
      <c r="G1631" s="206"/>
      <c r="H1631" s="206"/>
      <c r="I1631" s="206"/>
    </row>
    <row r="1632" spans="1:9" x14ac:dyDescent="0.35">
      <c r="A1632" s="160">
        <f t="shared" si="28"/>
        <v>0</v>
      </c>
      <c r="B1632" s="160">
        <f t="shared" si="29"/>
        <v>0</v>
      </c>
      <c r="C1632" s="160">
        <f t="shared" si="30"/>
        <v>0</v>
      </c>
      <c r="D1632" s="160">
        <f t="shared" si="31"/>
        <v>1</v>
      </c>
      <c r="E1632" s="206"/>
      <c r="F1632" s="206"/>
      <c r="G1632" s="206"/>
      <c r="H1632" s="206"/>
      <c r="I1632" s="206"/>
    </row>
    <row r="1633" spans="1:9" x14ac:dyDescent="0.35">
      <c r="A1633" s="160">
        <f t="shared" si="28"/>
        <v>1</v>
      </c>
      <c r="B1633" s="160">
        <f t="shared" si="29"/>
        <v>0</v>
      </c>
      <c r="C1633" s="160">
        <f t="shared" si="30"/>
        <v>1</v>
      </c>
      <c r="D1633" s="160">
        <f t="shared" si="31"/>
        <v>0.5</v>
      </c>
      <c r="E1633" s="206"/>
      <c r="F1633" s="206"/>
      <c r="G1633" s="206"/>
      <c r="H1633" s="206"/>
      <c r="I1633" s="206"/>
    </row>
    <row r="1634" spans="1:9" x14ac:dyDescent="0.35">
      <c r="A1634" s="160">
        <f t="shared" si="28"/>
        <v>3</v>
      </c>
      <c r="B1634" s="160">
        <f t="shared" si="29"/>
        <v>1</v>
      </c>
      <c r="C1634" s="160">
        <f t="shared" si="30"/>
        <v>4</v>
      </c>
      <c r="D1634" s="160">
        <f t="shared" si="31"/>
        <v>0.2</v>
      </c>
      <c r="E1634" s="206"/>
      <c r="F1634" s="206"/>
      <c r="G1634" s="206"/>
      <c r="H1634" s="206"/>
      <c r="I1634" s="206"/>
    </row>
    <row r="1635" spans="1:9" x14ac:dyDescent="0.35">
      <c r="A1635" s="160">
        <f t="shared" ref="A1635:A1698" si="32">SUMPRODUCT(($R$4:$R$1115=R517)*($Q$4:$Q$1115=Q517)*(ROW($R$4:$R$1115)&gt;ROW(R517)))</f>
        <v>6</v>
      </c>
      <c r="B1635" s="160">
        <f t="shared" ref="B1635:B1698" si="33">SUMPRODUCT(($K$4:$K$1115=K517)*($Q$4:$Q$1115=Q517)*(ROW($K$4:$K$1115)&gt;ROW(K517)))</f>
        <v>0</v>
      </c>
      <c r="C1635" s="160">
        <f t="shared" ref="C1635:C1698" si="34">SUM(A1635:B1635)</f>
        <v>6</v>
      </c>
      <c r="D1635" s="160">
        <f t="shared" ref="D1635:D1698" si="35">1/(1+C1635)</f>
        <v>0.14285714285714285</v>
      </c>
      <c r="E1635" s="206"/>
      <c r="F1635" s="206"/>
      <c r="G1635" s="206"/>
      <c r="H1635" s="206"/>
      <c r="I1635" s="206"/>
    </row>
    <row r="1636" spans="1:9" x14ac:dyDescent="0.35">
      <c r="A1636" s="160">
        <f t="shared" si="32"/>
        <v>1</v>
      </c>
      <c r="B1636" s="160">
        <f t="shared" si="33"/>
        <v>0</v>
      </c>
      <c r="C1636" s="160">
        <f t="shared" si="34"/>
        <v>1</v>
      </c>
      <c r="D1636" s="160">
        <f t="shared" si="35"/>
        <v>0.5</v>
      </c>
      <c r="E1636" s="206"/>
      <c r="F1636" s="206"/>
      <c r="G1636" s="206"/>
      <c r="H1636" s="206"/>
      <c r="I1636" s="206"/>
    </row>
    <row r="1637" spans="1:9" x14ac:dyDescent="0.35">
      <c r="A1637" s="160">
        <f t="shared" si="32"/>
        <v>0</v>
      </c>
      <c r="B1637" s="160">
        <f t="shared" si="33"/>
        <v>0</v>
      </c>
      <c r="C1637" s="160">
        <f t="shared" si="34"/>
        <v>0</v>
      </c>
      <c r="D1637" s="160">
        <f t="shared" si="35"/>
        <v>1</v>
      </c>
      <c r="E1637" s="206"/>
      <c r="F1637" s="206"/>
      <c r="G1637" s="206"/>
      <c r="H1637" s="206"/>
      <c r="I1637" s="206"/>
    </row>
    <row r="1638" spans="1:9" x14ac:dyDescent="0.35">
      <c r="A1638" s="160">
        <f t="shared" si="32"/>
        <v>0</v>
      </c>
      <c r="B1638" s="160">
        <f t="shared" si="33"/>
        <v>0</v>
      </c>
      <c r="C1638" s="160">
        <f t="shared" si="34"/>
        <v>0</v>
      </c>
      <c r="D1638" s="160">
        <f t="shared" si="35"/>
        <v>1</v>
      </c>
      <c r="E1638" s="206"/>
      <c r="F1638" s="206"/>
      <c r="G1638" s="206"/>
      <c r="H1638" s="206"/>
      <c r="I1638" s="206"/>
    </row>
    <row r="1639" spans="1:9" x14ac:dyDescent="0.35">
      <c r="A1639" s="160">
        <f t="shared" si="32"/>
        <v>0</v>
      </c>
      <c r="B1639" s="160">
        <f t="shared" si="33"/>
        <v>0</v>
      </c>
      <c r="C1639" s="160">
        <f t="shared" si="34"/>
        <v>0</v>
      </c>
      <c r="D1639" s="160">
        <f t="shared" si="35"/>
        <v>1</v>
      </c>
      <c r="E1639" s="206"/>
      <c r="F1639" s="206"/>
      <c r="G1639" s="206"/>
      <c r="H1639" s="206"/>
      <c r="I1639" s="206"/>
    </row>
    <row r="1640" spans="1:9" x14ac:dyDescent="0.35">
      <c r="A1640" s="160">
        <f t="shared" si="32"/>
        <v>0</v>
      </c>
      <c r="B1640" s="160">
        <f t="shared" si="33"/>
        <v>0</v>
      </c>
      <c r="C1640" s="160">
        <f t="shared" si="34"/>
        <v>0</v>
      </c>
      <c r="D1640" s="160">
        <f t="shared" si="35"/>
        <v>1</v>
      </c>
      <c r="E1640" s="206"/>
      <c r="F1640" s="206"/>
      <c r="G1640" s="206"/>
      <c r="H1640" s="206"/>
      <c r="I1640" s="206"/>
    </row>
    <row r="1641" spans="1:9" x14ac:dyDescent="0.35">
      <c r="A1641" s="160">
        <f t="shared" si="32"/>
        <v>0</v>
      </c>
      <c r="B1641" s="160">
        <f t="shared" si="33"/>
        <v>0</v>
      </c>
      <c r="C1641" s="160">
        <f t="shared" si="34"/>
        <v>0</v>
      </c>
      <c r="D1641" s="160">
        <f t="shared" si="35"/>
        <v>1</v>
      </c>
      <c r="E1641" s="206"/>
      <c r="F1641" s="206"/>
      <c r="G1641" s="206"/>
      <c r="H1641" s="206"/>
      <c r="I1641" s="206"/>
    </row>
    <row r="1642" spans="1:9" x14ac:dyDescent="0.35">
      <c r="A1642" s="160">
        <f t="shared" si="32"/>
        <v>1</v>
      </c>
      <c r="B1642" s="160">
        <f t="shared" si="33"/>
        <v>3</v>
      </c>
      <c r="C1642" s="160">
        <f t="shared" si="34"/>
        <v>4</v>
      </c>
      <c r="D1642" s="160">
        <f t="shared" si="35"/>
        <v>0.2</v>
      </c>
      <c r="E1642" s="206"/>
      <c r="F1642" s="206"/>
      <c r="G1642" s="206"/>
      <c r="H1642" s="206"/>
      <c r="I1642" s="206"/>
    </row>
    <row r="1643" spans="1:9" x14ac:dyDescent="0.35">
      <c r="A1643" s="160">
        <f t="shared" si="32"/>
        <v>0</v>
      </c>
      <c r="B1643" s="160">
        <f t="shared" si="33"/>
        <v>1</v>
      </c>
      <c r="C1643" s="160">
        <f t="shared" si="34"/>
        <v>1</v>
      </c>
      <c r="D1643" s="160">
        <f t="shared" si="35"/>
        <v>0.5</v>
      </c>
      <c r="E1643" s="206"/>
      <c r="F1643" s="206"/>
      <c r="G1643" s="206"/>
      <c r="H1643" s="206"/>
      <c r="I1643" s="206"/>
    </row>
    <row r="1644" spans="1:9" x14ac:dyDescent="0.35">
      <c r="A1644" s="160">
        <f t="shared" si="32"/>
        <v>3</v>
      </c>
      <c r="B1644" s="160">
        <f t="shared" si="33"/>
        <v>1</v>
      </c>
      <c r="C1644" s="160">
        <f t="shared" si="34"/>
        <v>4</v>
      </c>
      <c r="D1644" s="160">
        <f t="shared" si="35"/>
        <v>0.2</v>
      </c>
      <c r="E1644" s="206"/>
      <c r="F1644" s="206"/>
      <c r="G1644" s="206"/>
      <c r="H1644" s="206"/>
      <c r="I1644" s="206"/>
    </row>
    <row r="1645" spans="1:9" x14ac:dyDescent="0.35">
      <c r="A1645" s="160">
        <f t="shared" si="32"/>
        <v>4</v>
      </c>
      <c r="B1645" s="160">
        <f t="shared" si="33"/>
        <v>1</v>
      </c>
      <c r="C1645" s="160">
        <f t="shared" si="34"/>
        <v>5</v>
      </c>
      <c r="D1645" s="160">
        <f t="shared" si="35"/>
        <v>0.16666666666666666</v>
      </c>
      <c r="E1645" s="206"/>
      <c r="F1645" s="206"/>
      <c r="G1645" s="206"/>
      <c r="H1645" s="206"/>
      <c r="I1645" s="206"/>
    </row>
    <row r="1646" spans="1:9" x14ac:dyDescent="0.35">
      <c r="A1646" s="160">
        <f t="shared" si="32"/>
        <v>0</v>
      </c>
      <c r="B1646" s="160">
        <f t="shared" si="33"/>
        <v>1</v>
      </c>
      <c r="C1646" s="160">
        <f t="shared" si="34"/>
        <v>1</v>
      </c>
      <c r="D1646" s="160">
        <f t="shared" si="35"/>
        <v>0.5</v>
      </c>
      <c r="E1646" s="206"/>
      <c r="F1646" s="206"/>
      <c r="G1646" s="206"/>
      <c r="H1646" s="206"/>
      <c r="I1646" s="206"/>
    </row>
    <row r="1647" spans="1:9" x14ac:dyDescent="0.35">
      <c r="A1647" s="160">
        <f t="shared" si="32"/>
        <v>2</v>
      </c>
      <c r="B1647" s="160">
        <f t="shared" si="33"/>
        <v>0</v>
      </c>
      <c r="C1647" s="160">
        <f t="shared" si="34"/>
        <v>2</v>
      </c>
      <c r="D1647" s="160">
        <f t="shared" si="35"/>
        <v>0.33333333333333331</v>
      </c>
      <c r="E1647" s="206"/>
      <c r="F1647" s="206"/>
      <c r="G1647" s="206"/>
      <c r="H1647" s="206"/>
      <c r="I1647" s="206"/>
    </row>
    <row r="1648" spans="1:9" x14ac:dyDescent="0.35">
      <c r="A1648" s="160">
        <f t="shared" si="32"/>
        <v>0</v>
      </c>
      <c r="B1648" s="160">
        <f t="shared" si="33"/>
        <v>0</v>
      </c>
      <c r="C1648" s="160">
        <f t="shared" si="34"/>
        <v>0</v>
      </c>
      <c r="D1648" s="160">
        <f t="shared" si="35"/>
        <v>1</v>
      </c>
      <c r="E1648" s="206"/>
      <c r="F1648" s="206"/>
      <c r="G1648" s="206"/>
      <c r="H1648" s="206"/>
      <c r="I1648" s="206"/>
    </row>
    <row r="1649" spans="1:9" x14ac:dyDescent="0.35">
      <c r="A1649" s="160">
        <f t="shared" si="32"/>
        <v>1</v>
      </c>
      <c r="B1649" s="160">
        <f t="shared" si="33"/>
        <v>1</v>
      </c>
      <c r="C1649" s="160">
        <f t="shared" si="34"/>
        <v>2</v>
      </c>
      <c r="D1649" s="160">
        <f t="shared" si="35"/>
        <v>0.33333333333333331</v>
      </c>
      <c r="E1649" s="206"/>
      <c r="F1649" s="206"/>
      <c r="G1649" s="206"/>
      <c r="H1649" s="206"/>
      <c r="I1649" s="206"/>
    </row>
    <row r="1650" spans="1:9" x14ac:dyDescent="0.35">
      <c r="A1650" s="160">
        <f t="shared" si="32"/>
        <v>0</v>
      </c>
      <c r="B1650" s="160">
        <f t="shared" si="33"/>
        <v>3</v>
      </c>
      <c r="C1650" s="160">
        <f t="shared" si="34"/>
        <v>3</v>
      </c>
      <c r="D1650" s="160">
        <f t="shared" si="35"/>
        <v>0.25</v>
      </c>
      <c r="E1650" s="206"/>
      <c r="F1650" s="206"/>
      <c r="G1650" s="206"/>
      <c r="H1650" s="206"/>
      <c r="I1650" s="206"/>
    </row>
    <row r="1651" spans="1:9" x14ac:dyDescent="0.35">
      <c r="A1651" s="160">
        <f t="shared" si="32"/>
        <v>1</v>
      </c>
      <c r="B1651" s="160">
        <f t="shared" si="33"/>
        <v>1</v>
      </c>
      <c r="C1651" s="160">
        <f t="shared" si="34"/>
        <v>2</v>
      </c>
      <c r="D1651" s="160">
        <f t="shared" si="35"/>
        <v>0.33333333333333331</v>
      </c>
      <c r="E1651" s="206"/>
      <c r="F1651" s="206"/>
      <c r="G1651" s="206"/>
      <c r="H1651" s="206"/>
      <c r="I1651" s="206"/>
    </row>
    <row r="1652" spans="1:9" x14ac:dyDescent="0.35">
      <c r="A1652" s="160">
        <f t="shared" si="32"/>
        <v>1</v>
      </c>
      <c r="B1652" s="160">
        <f t="shared" si="33"/>
        <v>1</v>
      </c>
      <c r="C1652" s="160">
        <f t="shared" si="34"/>
        <v>2</v>
      </c>
      <c r="D1652" s="160">
        <f t="shared" si="35"/>
        <v>0.33333333333333331</v>
      </c>
      <c r="E1652" s="206"/>
      <c r="F1652" s="206"/>
      <c r="G1652" s="206"/>
      <c r="H1652" s="206"/>
      <c r="I1652" s="206"/>
    </row>
    <row r="1653" spans="1:9" x14ac:dyDescent="0.35">
      <c r="A1653" s="160">
        <f t="shared" si="32"/>
        <v>0</v>
      </c>
      <c r="B1653" s="160">
        <f t="shared" si="33"/>
        <v>0</v>
      </c>
      <c r="C1653" s="160">
        <f t="shared" si="34"/>
        <v>0</v>
      </c>
      <c r="D1653" s="160">
        <f t="shared" si="35"/>
        <v>1</v>
      </c>
      <c r="E1653" s="206"/>
      <c r="F1653" s="206"/>
      <c r="G1653" s="206"/>
      <c r="H1653" s="206"/>
      <c r="I1653" s="206"/>
    </row>
    <row r="1654" spans="1:9" x14ac:dyDescent="0.35">
      <c r="A1654" s="160">
        <f t="shared" si="32"/>
        <v>1</v>
      </c>
      <c r="B1654" s="160">
        <f t="shared" si="33"/>
        <v>3</v>
      </c>
      <c r="C1654" s="160">
        <f t="shared" si="34"/>
        <v>4</v>
      </c>
      <c r="D1654" s="160">
        <f t="shared" si="35"/>
        <v>0.2</v>
      </c>
      <c r="E1654" s="206"/>
      <c r="F1654" s="206"/>
      <c r="G1654" s="206"/>
      <c r="H1654" s="206"/>
      <c r="I1654" s="206"/>
    </row>
    <row r="1655" spans="1:9" x14ac:dyDescent="0.35">
      <c r="A1655" s="160">
        <f t="shared" si="32"/>
        <v>5</v>
      </c>
      <c r="B1655" s="160">
        <f t="shared" si="33"/>
        <v>1</v>
      </c>
      <c r="C1655" s="160">
        <f t="shared" si="34"/>
        <v>6</v>
      </c>
      <c r="D1655" s="160">
        <f t="shared" si="35"/>
        <v>0.14285714285714285</v>
      </c>
      <c r="E1655" s="206"/>
      <c r="F1655" s="206"/>
      <c r="G1655" s="206"/>
      <c r="H1655" s="206"/>
      <c r="I1655" s="206"/>
    </row>
    <row r="1656" spans="1:9" x14ac:dyDescent="0.35">
      <c r="A1656" s="160">
        <f t="shared" si="32"/>
        <v>1</v>
      </c>
      <c r="B1656" s="160">
        <f t="shared" si="33"/>
        <v>1</v>
      </c>
      <c r="C1656" s="160">
        <f t="shared" si="34"/>
        <v>2</v>
      </c>
      <c r="D1656" s="160">
        <f t="shared" si="35"/>
        <v>0.33333333333333331</v>
      </c>
      <c r="E1656" s="206"/>
      <c r="F1656" s="206"/>
      <c r="G1656" s="206"/>
      <c r="H1656" s="206"/>
      <c r="I1656" s="206"/>
    </row>
    <row r="1657" spans="1:9" x14ac:dyDescent="0.35">
      <c r="A1657" s="160">
        <f t="shared" si="32"/>
        <v>2</v>
      </c>
      <c r="B1657" s="160">
        <f t="shared" si="33"/>
        <v>0</v>
      </c>
      <c r="C1657" s="160">
        <f t="shared" si="34"/>
        <v>2</v>
      </c>
      <c r="D1657" s="160">
        <f t="shared" si="35"/>
        <v>0.33333333333333331</v>
      </c>
      <c r="E1657" s="206"/>
      <c r="F1657" s="206"/>
      <c r="G1657" s="206"/>
      <c r="H1657" s="206"/>
      <c r="I1657" s="206"/>
    </row>
    <row r="1658" spans="1:9" x14ac:dyDescent="0.35">
      <c r="A1658" s="160">
        <f t="shared" si="32"/>
        <v>0</v>
      </c>
      <c r="B1658" s="160">
        <f t="shared" si="33"/>
        <v>0</v>
      </c>
      <c r="C1658" s="160">
        <f t="shared" si="34"/>
        <v>0</v>
      </c>
      <c r="D1658" s="160">
        <f t="shared" si="35"/>
        <v>1</v>
      </c>
      <c r="E1658" s="206"/>
      <c r="F1658" s="206"/>
      <c r="G1658" s="206"/>
      <c r="H1658" s="206"/>
      <c r="I1658" s="206"/>
    </row>
    <row r="1659" spans="1:9" x14ac:dyDescent="0.35">
      <c r="A1659" s="160">
        <f t="shared" si="32"/>
        <v>0</v>
      </c>
      <c r="B1659" s="160">
        <f t="shared" si="33"/>
        <v>0</v>
      </c>
      <c r="C1659" s="160">
        <f t="shared" si="34"/>
        <v>0</v>
      </c>
      <c r="D1659" s="160">
        <f t="shared" si="35"/>
        <v>1</v>
      </c>
      <c r="E1659" s="206"/>
      <c r="F1659" s="206"/>
      <c r="G1659" s="206"/>
      <c r="H1659" s="206"/>
      <c r="I1659" s="206"/>
    </row>
    <row r="1660" spans="1:9" x14ac:dyDescent="0.35">
      <c r="A1660" s="160">
        <f t="shared" si="32"/>
        <v>0</v>
      </c>
      <c r="B1660" s="160">
        <f t="shared" si="33"/>
        <v>0</v>
      </c>
      <c r="C1660" s="160">
        <f t="shared" si="34"/>
        <v>0</v>
      </c>
      <c r="D1660" s="160">
        <f t="shared" si="35"/>
        <v>1</v>
      </c>
      <c r="E1660" s="206"/>
      <c r="F1660" s="206"/>
      <c r="G1660" s="206"/>
      <c r="H1660" s="206"/>
      <c r="I1660" s="206"/>
    </row>
    <row r="1661" spans="1:9" x14ac:dyDescent="0.35">
      <c r="A1661" s="160">
        <f t="shared" si="32"/>
        <v>4</v>
      </c>
      <c r="B1661" s="160">
        <f t="shared" si="33"/>
        <v>3</v>
      </c>
      <c r="C1661" s="160">
        <f t="shared" si="34"/>
        <v>7</v>
      </c>
      <c r="D1661" s="160">
        <f t="shared" si="35"/>
        <v>0.125</v>
      </c>
      <c r="E1661" s="206"/>
      <c r="F1661" s="206"/>
      <c r="G1661" s="206"/>
      <c r="H1661" s="206"/>
      <c r="I1661" s="206"/>
    </row>
    <row r="1662" spans="1:9" x14ac:dyDescent="0.35">
      <c r="A1662" s="160">
        <f t="shared" si="32"/>
        <v>0</v>
      </c>
      <c r="B1662" s="160">
        <f t="shared" si="33"/>
        <v>0</v>
      </c>
      <c r="C1662" s="160">
        <f t="shared" si="34"/>
        <v>0</v>
      </c>
      <c r="D1662" s="160">
        <f t="shared" si="35"/>
        <v>1</v>
      </c>
      <c r="E1662" s="206"/>
      <c r="F1662" s="206"/>
      <c r="G1662" s="206"/>
      <c r="H1662" s="206"/>
      <c r="I1662" s="206"/>
    </row>
    <row r="1663" spans="1:9" x14ac:dyDescent="0.35">
      <c r="A1663" s="160">
        <f t="shared" si="32"/>
        <v>1</v>
      </c>
      <c r="B1663" s="160">
        <f t="shared" si="33"/>
        <v>2</v>
      </c>
      <c r="C1663" s="160">
        <f t="shared" si="34"/>
        <v>3</v>
      </c>
      <c r="D1663" s="160">
        <f t="shared" si="35"/>
        <v>0.25</v>
      </c>
      <c r="E1663" s="206"/>
      <c r="F1663" s="206"/>
      <c r="G1663" s="206"/>
      <c r="H1663" s="206"/>
      <c r="I1663" s="206"/>
    </row>
    <row r="1664" spans="1:9" x14ac:dyDescent="0.35">
      <c r="A1664" s="160">
        <f t="shared" si="32"/>
        <v>1</v>
      </c>
      <c r="B1664" s="160">
        <f t="shared" si="33"/>
        <v>1</v>
      </c>
      <c r="C1664" s="160">
        <f t="shared" si="34"/>
        <v>2</v>
      </c>
      <c r="D1664" s="160">
        <f t="shared" si="35"/>
        <v>0.33333333333333331</v>
      </c>
      <c r="E1664" s="206"/>
      <c r="F1664" s="206"/>
      <c r="G1664" s="206"/>
      <c r="H1664" s="206"/>
      <c r="I1664" s="206"/>
    </row>
    <row r="1665" spans="1:9" x14ac:dyDescent="0.35">
      <c r="A1665" s="160">
        <f t="shared" si="32"/>
        <v>4</v>
      </c>
      <c r="B1665" s="160">
        <f t="shared" si="33"/>
        <v>3</v>
      </c>
      <c r="C1665" s="160">
        <f t="shared" si="34"/>
        <v>7</v>
      </c>
      <c r="D1665" s="160">
        <f t="shared" si="35"/>
        <v>0.125</v>
      </c>
      <c r="E1665" s="206"/>
      <c r="F1665" s="206"/>
      <c r="G1665" s="206"/>
      <c r="H1665" s="206"/>
      <c r="I1665" s="206"/>
    </row>
    <row r="1666" spans="1:9" x14ac:dyDescent="0.35">
      <c r="A1666" s="160">
        <f t="shared" si="32"/>
        <v>1</v>
      </c>
      <c r="B1666" s="160">
        <f t="shared" si="33"/>
        <v>0</v>
      </c>
      <c r="C1666" s="160">
        <f t="shared" si="34"/>
        <v>1</v>
      </c>
      <c r="D1666" s="160">
        <f t="shared" si="35"/>
        <v>0.5</v>
      </c>
      <c r="E1666" s="206"/>
      <c r="F1666" s="206"/>
      <c r="G1666" s="206"/>
      <c r="H1666" s="206"/>
      <c r="I1666" s="206"/>
    </row>
    <row r="1667" spans="1:9" x14ac:dyDescent="0.35">
      <c r="A1667" s="160">
        <f t="shared" si="32"/>
        <v>0</v>
      </c>
      <c r="B1667" s="160">
        <f t="shared" si="33"/>
        <v>0</v>
      </c>
      <c r="C1667" s="160">
        <f t="shared" si="34"/>
        <v>0</v>
      </c>
      <c r="D1667" s="160">
        <f t="shared" si="35"/>
        <v>1</v>
      </c>
      <c r="E1667" s="206"/>
      <c r="F1667" s="206"/>
      <c r="G1667" s="206"/>
      <c r="H1667" s="206"/>
      <c r="I1667" s="206"/>
    </row>
    <row r="1668" spans="1:9" x14ac:dyDescent="0.35">
      <c r="A1668" s="160">
        <f t="shared" si="32"/>
        <v>2</v>
      </c>
      <c r="B1668" s="160">
        <f t="shared" si="33"/>
        <v>0</v>
      </c>
      <c r="C1668" s="160">
        <f t="shared" si="34"/>
        <v>2</v>
      </c>
      <c r="D1668" s="160">
        <f t="shared" si="35"/>
        <v>0.33333333333333331</v>
      </c>
      <c r="E1668" s="206"/>
      <c r="F1668" s="206"/>
      <c r="G1668" s="206"/>
      <c r="H1668" s="206"/>
      <c r="I1668" s="206"/>
    </row>
    <row r="1669" spans="1:9" x14ac:dyDescent="0.35">
      <c r="A1669" s="160">
        <f t="shared" si="32"/>
        <v>1</v>
      </c>
      <c r="B1669" s="160">
        <f t="shared" si="33"/>
        <v>3</v>
      </c>
      <c r="C1669" s="160">
        <f t="shared" si="34"/>
        <v>4</v>
      </c>
      <c r="D1669" s="160">
        <f t="shared" si="35"/>
        <v>0.2</v>
      </c>
      <c r="E1669" s="206"/>
      <c r="F1669" s="206"/>
      <c r="G1669" s="206"/>
      <c r="H1669" s="206"/>
      <c r="I1669" s="206"/>
    </row>
    <row r="1670" spans="1:9" x14ac:dyDescent="0.35">
      <c r="A1670" s="160">
        <f t="shared" si="32"/>
        <v>2</v>
      </c>
      <c r="B1670" s="160">
        <f t="shared" si="33"/>
        <v>1</v>
      </c>
      <c r="C1670" s="160">
        <f t="shared" si="34"/>
        <v>3</v>
      </c>
      <c r="D1670" s="160">
        <f t="shared" si="35"/>
        <v>0.25</v>
      </c>
      <c r="E1670" s="206"/>
      <c r="F1670" s="206"/>
      <c r="G1670" s="206"/>
      <c r="H1670" s="206"/>
      <c r="I1670" s="206"/>
    </row>
    <row r="1671" spans="1:9" x14ac:dyDescent="0.35">
      <c r="A1671" s="160">
        <f t="shared" si="32"/>
        <v>1</v>
      </c>
      <c r="B1671" s="160">
        <f t="shared" si="33"/>
        <v>0</v>
      </c>
      <c r="C1671" s="160">
        <f t="shared" si="34"/>
        <v>1</v>
      </c>
      <c r="D1671" s="160">
        <f t="shared" si="35"/>
        <v>0.5</v>
      </c>
      <c r="E1671" s="206"/>
      <c r="F1671" s="206"/>
      <c r="G1671" s="206"/>
      <c r="H1671" s="206"/>
      <c r="I1671" s="206"/>
    </row>
    <row r="1672" spans="1:9" x14ac:dyDescent="0.35">
      <c r="A1672" s="160">
        <f t="shared" si="32"/>
        <v>0</v>
      </c>
      <c r="B1672" s="160">
        <f t="shared" si="33"/>
        <v>0</v>
      </c>
      <c r="C1672" s="160">
        <f t="shared" si="34"/>
        <v>0</v>
      </c>
      <c r="D1672" s="160">
        <f t="shared" si="35"/>
        <v>1</v>
      </c>
      <c r="E1672" s="206"/>
      <c r="F1672" s="206"/>
      <c r="G1672" s="206"/>
      <c r="H1672" s="206"/>
      <c r="I1672" s="206"/>
    </row>
    <row r="1673" spans="1:9" x14ac:dyDescent="0.35">
      <c r="A1673" s="160">
        <f t="shared" si="32"/>
        <v>4</v>
      </c>
      <c r="B1673" s="160">
        <f t="shared" si="33"/>
        <v>2</v>
      </c>
      <c r="C1673" s="160">
        <f t="shared" si="34"/>
        <v>6</v>
      </c>
      <c r="D1673" s="160">
        <f t="shared" si="35"/>
        <v>0.14285714285714285</v>
      </c>
      <c r="E1673" s="206"/>
      <c r="F1673" s="206"/>
      <c r="G1673" s="206"/>
      <c r="H1673" s="206"/>
      <c r="I1673" s="206"/>
    </row>
    <row r="1674" spans="1:9" x14ac:dyDescent="0.35">
      <c r="A1674" s="160">
        <f t="shared" si="32"/>
        <v>0</v>
      </c>
      <c r="B1674" s="160">
        <f t="shared" si="33"/>
        <v>0</v>
      </c>
      <c r="C1674" s="160">
        <f t="shared" si="34"/>
        <v>0</v>
      </c>
      <c r="D1674" s="160">
        <f t="shared" si="35"/>
        <v>1</v>
      </c>
      <c r="E1674" s="206"/>
      <c r="F1674" s="206"/>
      <c r="G1674" s="206"/>
      <c r="H1674" s="206"/>
      <c r="I1674" s="206"/>
    </row>
    <row r="1675" spans="1:9" x14ac:dyDescent="0.35">
      <c r="A1675" s="160">
        <f t="shared" si="32"/>
        <v>0</v>
      </c>
      <c r="B1675" s="160">
        <f t="shared" si="33"/>
        <v>0</v>
      </c>
      <c r="C1675" s="160">
        <f t="shared" si="34"/>
        <v>0</v>
      </c>
      <c r="D1675" s="160">
        <f t="shared" si="35"/>
        <v>1</v>
      </c>
      <c r="E1675" s="206"/>
      <c r="F1675" s="206"/>
      <c r="G1675" s="206"/>
      <c r="H1675" s="206"/>
      <c r="I1675" s="206"/>
    </row>
    <row r="1676" spans="1:9" x14ac:dyDescent="0.35">
      <c r="A1676" s="160">
        <f t="shared" si="32"/>
        <v>3</v>
      </c>
      <c r="B1676" s="160">
        <f t="shared" si="33"/>
        <v>1</v>
      </c>
      <c r="C1676" s="160">
        <f t="shared" si="34"/>
        <v>4</v>
      </c>
      <c r="D1676" s="160">
        <f t="shared" si="35"/>
        <v>0.2</v>
      </c>
      <c r="E1676" s="206"/>
      <c r="F1676" s="206"/>
      <c r="G1676" s="206"/>
      <c r="H1676" s="206"/>
      <c r="I1676" s="206"/>
    </row>
    <row r="1677" spans="1:9" x14ac:dyDescent="0.35">
      <c r="A1677" s="160">
        <f t="shared" si="32"/>
        <v>0</v>
      </c>
      <c r="B1677" s="160">
        <f t="shared" si="33"/>
        <v>0</v>
      </c>
      <c r="C1677" s="160">
        <f t="shared" si="34"/>
        <v>0</v>
      </c>
      <c r="D1677" s="160">
        <f t="shared" si="35"/>
        <v>1</v>
      </c>
      <c r="E1677" s="206"/>
      <c r="F1677" s="206"/>
      <c r="G1677" s="206"/>
      <c r="H1677" s="206"/>
      <c r="I1677" s="206"/>
    </row>
    <row r="1678" spans="1:9" x14ac:dyDescent="0.35">
      <c r="A1678" s="160">
        <f t="shared" si="32"/>
        <v>0</v>
      </c>
      <c r="B1678" s="160">
        <f t="shared" si="33"/>
        <v>1</v>
      </c>
      <c r="C1678" s="160">
        <f t="shared" si="34"/>
        <v>1</v>
      </c>
      <c r="D1678" s="160">
        <f t="shared" si="35"/>
        <v>0.5</v>
      </c>
      <c r="E1678" s="206"/>
      <c r="F1678" s="206"/>
      <c r="G1678" s="206"/>
      <c r="H1678" s="206"/>
      <c r="I1678" s="206"/>
    </row>
    <row r="1679" spans="1:9" x14ac:dyDescent="0.35">
      <c r="A1679" s="160">
        <f t="shared" si="32"/>
        <v>0</v>
      </c>
      <c r="B1679" s="160">
        <f t="shared" si="33"/>
        <v>0</v>
      </c>
      <c r="C1679" s="160">
        <f t="shared" si="34"/>
        <v>0</v>
      </c>
      <c r="D1679" s="160">
        <f t="shared" si="35"/>
        <v>1</v>
      </c>
      <c r="E1679" s="206"/>
      <c r="F1679" s="206"/>
      <c r="G1679" s="206"/>
      <c r="H1679" s="206"/>
      <c r="I1679" s="206"/>
    </row>
    <row r="1680" spans="1:9" x14ac:dyDescent="0.35">
      <c r="A1680" s="160">
        <f t="shared" si="32"/>
        <v>4</v>
      </c>
      <c r="B1680" s="160">
        <f t="shared" si="33"/>
        <v>4</v>
      </c>
      <c r="C1680" s="160">
        <f t="shared" si="34"/>
        <v>8</v>
      </c>
      <c r="D1680" s="160">
        <f t="shared" si="35"/>
        <v>0.1111111111111111</v>
      </c>
      <c r="E1680" s="206"/>
      <c r="F1680" s="206"/>
      <c r="G1680" s="206"/>
      <c r="H1680" s="206"/>
      <c r="I1680" s="206"/>
    </row>
    <row r="1681" spans="1:9" x14ac:dyDescent="0.35">
      <c r="A1681" s="160">
        <f t="shared" si="32"/>
        <v>3</v>
      </c>
      <c r="B1681" s="160">
        <f t="shared" si="33"/>
        <v>1</v>
      </c>
      <c r="C1681" s="160">
        <f t="shared" si="34"/>
        <v>4</v>
      </c>
      <c r="D1681" s="160">
        <f t="shared" si="35"/>
        <v>0.2</v>
      </c>
      <c r="E1681" s="206"/>
      <c r="F1681" s="206"/>
      <c r="G1681" s="206"/>
      <c r="H1681" s="206"/>
      <c r="I1681" s="206"/>
    </row>
    <row r="1682" spans="1:9" x14ac:dyDescent="0.35">
      <c r="A1682" s="160">
        <f t="shared" si="32"/>
        <v>1</v>
      </c>
      <c r="B1682" s="160">
        <f t="shared" si="33"/>
        <v>3</v>
      </c>
      <c r="C1682" s="160">
        <f t="shared" si="34"/>
        <v>4</v>
      </c>
      <c r="D1682" s="160">
        <f t="shared" si="35"/>
        <v>0.2</v>
      </c>
      <c r="E1682" s="206"/>
      <c r="F1682" s="206"/>
      <c r="G1682" s="206"/>
      <c r="H1682" s="206"/>
      <c r="I1682" s="206"/>
    </row>
    <row r="1683" spans="1:9" x14ac:dyDescent="0.35">
      <c r="A1683" s="160">
        <f t="shared" si="32"/>
        <v>1</v>
      </c>
      <c r="B1683" s="160">
        <f t="shared" si="33"/>
        <v>0</v>
      </c>
      <c r="C1683" s="160">
        <f t="shared" si="34"/>
        <v>1</v>
      </c>
      <c r="D1683" s="160">
        <f t="shared" si="35"/>
        <v>0.5</v>
      </c>
      <c r="E1683" s="206"/>
      <c r="F1683" s="206"/>
      <c r="G1683" s="206"/>
      <c r="H1683" s="206"/>
      <c r="I1683" s="206"/>
    </row>
    <row r="1684" spans="1:9" x14ac:dyDescent="0.35">
      <c r="A1684" s="160">
        <f t="shared" si="32"/>
        <v>2</v>
      </c>
      <c r="B1684" s="160">
        <f t="shared" si="33"/>
        <v>0</v>
      </c>
      <c r="C1684" s="160">
        <f t="shared" si="34"/>
        <v>2</v>
      </c>
      <c r="D1684" s="160">
        <f t="shared" si="35"/>
        <v>0.33333333333333331</v>
      </c>
      <c r="E1684" s="206"/>
      <c r="F1684" s="206"/>
      <c r="G1684" s="206"/>
      <c r="H1684" s="206"/>
      <c r="I1684" s="206"/>
    </row>
    <row r="1685" spans="1:9" x14ac:dyDescent="0.35">
      <c r="A1685" s="160">
        <f t="shared" si="32"/>
        <v>0</v>
      </c>
      <c r="B1685" s="160">
        <f t="shared" si="33"/>
        <v>1</v>
      </c>
      <c r="C1685" s="160">
        <f t="shared" si="34"/>
        <v>1</v>
      </c>
      <c r="D1685" s="160">
        <f t="shared" si="35"/>
        <v>0.5</v>
      </c>
      <c r="E1685" s="206"/>
      <c r="F1685" s="206"/>
      <c r="G1685" s="206"/>
      <c r="H1685" s="206"/>
      <c r="I1685" s="206"/>
    </row>
    <row r="1686" spans="1:9" x14ac:dyDescent="0.35">
      <c r="A1686" s="160">
        <f t="shared" si="32"/>
        <v>3</v>
      </c>
      <c r="B1686" s="160">
        <f t="shared" si="33"/>
        <v>4</v>
      </c>
      <c r="C1686" s="160">
        <f t="shared" si="34"/>
        <v>7</v>
      </c>
      <c r="D1686" s="160">
        <f t="shared" si="35"/>
        <v>0.125</v>
      </c>
      <c r="E1686" s="206"/>
      <c r="F1686" s="206"/>
      <c r="G1686" s="206"/>
      <c r="H1686" s="206"/>
      <c r="I1686" s="206"/>
    </row>
    <row r="1687" spans="1:9" x14ac:dyDescent="0.35">
      <c r="A1687" s="160">
        <f t="shared" si="32"/>
        <v>1</v>
      </c>
      <c r="B1687" s="160">
        <f t="shared" si="33"/>
        <v>2</v>
      </c>
      <c r="C1687" s="160">
        <f t="shared" si="34"/>
        <v>3</v>
      </c>
      <c r="D1687" s="160">
        <f t="shared" si="35"/>
        <v>0.25</v>
      </c>
      <c r="E1687" s="206"/>
      <c r="F1687" s="206"/>
      <c r="G1687" s="206"/>
      <c r="H1687" s="206"/>
      <c r="I1687" s="206"/>
    </row>
    <row r="1688" spans="1:9" x14ac:dyDescent="0.35">
      <c r="A1688" s="160">
        <f t="shared" si="32"/>
        <v>2</v>
      </c>
      <c r="B1688" s="160">
        <f t="shared" si="33"/>
        <v>0</v>
      </c>
      <c r="C1688" s="160">
        <f t="shared" si="34"/>
        <v>2</v>
      </c>
      <c r="D1688" s="160">
        <f t="shared" si="35"/>
        <v>0.33333333333333331</v>
      </c>
      <c r="E1688" s="206"/>
      <c r="F1688" s="206"/>
      <c r="G1688" s="206"/>
      <c r="H1688" s="206"/>
      <c r="I1688" s="206"/>
    </row>
    <row r="1689" spans="1:9" x14ac:dyDescent="0.35">
      <c r="A1689" s="160">
        <f t="shared" si="32"/>
        <v>0</v>
      </c>
      <c r="B1689" s="160">
        <f t="shared" si="33"/>
        <v>1</v>
      </c>
      <c r="C1689" s="160">
        <f t="shared" si="34"/>
        <v>1</v>
      </c>
      <c r="D1689" s="160">
        <f t="shared" si="35"/>
        <v>0.5</v>
      </c>
      <c r="E1689" s="206"/>
      <c r="F1689" s="206"/>
      <c r="G1689" s="206"/>
      <c r="H1689" s="206"/>
      <c r="I1689" s="206"/>
    </row>
    <row r="1690" spans="1:9" x14ac:dyDescent="0.35">
      <c r="A1690" s="160">
        <f t="shared" si="32"/>
        <v>0</v>
      </c>
      <c r="B1690" s="160">
        <f t="shared" si="33"/>
        <v>1</v>
      </c>
      <c r="C1690" s="160">
        <f t="shared" si="34"/>
        <v>1</v>
      </c>
      <c r="D1690" s="160">
        <f t="shared" si="35"/>
        <v>0.5</v>
      </c>
      <c r="E1690" s="206"/>
      <c r="F1690" s="206"/>
      <c r="G1690" s="206"/>
      <c r="H1690" s="206"/>
      <c r="I1690" s="206"/>
    </row>
    <row r="1691" spans="1:9" x14ac:dyDescent="0.35">
      <c r="A1691" s="160">
        <f t="shared" si="32"/>
        <v>4</v>
      </c>
      <c r="B1691" s="160">
        <f t="shared" si="33"/>
        <v>0</v>
      </c>
      <c r="C1691" s="160">
        <f t="shared" si="34"/>
        <v>4</v>
      </c>
      <c r="D1691" s="160">
        <f t="shared" si="35"/>
        <v>0.2</v>
      </c>
      <c r="E1691" s="206"/>
      <c r="F1691" s="206"/>
      <c r="G1691" s="206"/>
      <c r="H1691" s="206"/>
      <c r="I1691" s="206"/>
    </row>
    <row r="1692" spans="1:9" x14ac:dyDescent="0.35">
      <c r="A1692" s="160">
        <f t="shared" si="32"/>
        <v>2</v>
      </c>
      <c r="B1692" s="160">
        <f t="shared" si="33"/>
        <v>1</v>
      </c>
      <c r="C1692" s="160">
        <f t="shared" si="34"/>
        <v>3</v>
      </c>
      <c r="D1692" s="160">
        <f t="shared" si="35"/>
        <v>0.25</v>
      </c>
      <c r="E1692" s="206"/>
      <c r="F1692" s="206"/>
      <c r="G1692" s="206"/>
      <c r="H1692" s="206"/>
      <c r="I1692" s="206"/>
    </row>
    <row r="1693" spans="1:9" x14ac:dyDescent="0.35">
      <c r="A1693" s="160">
        <f t="shared" si="32"/>
        <v>0</v>
      </c>
      <c r="B1693" s="160">
        <f t="shared" si="33"/>
        <v>0</v>
      </c>
      <c r="C1693" s="160">
        <f t="shared" si="34"/>
        <v>0</v>
      </c>
      <c r="D1693" s="160">
        <f t="shared" si="35"/>
        <v>1</v>
      </c>
      <c r="E1693" s="206"/>
      <c r="F1693" s="206"/>
      <c r="G1693" s="206"/>
      <c r="H1693" s="206"/>
      <c r="I1693" s="206"/>
    </row>
    <row r="1694" spans="1:9" x14ac:dyDescent="0.35">
      <c r="A1694" s="160">
        <f t="shared" si="32"/>
        <v>0</v>
      </c>
      <c r="B1694" s="160">
        <f t="shared" si="33"/>
        <v>0</v>
      </c>
      <c r="C1694" s="160">
        <f t="shared" si="34"/>
        <v>0</v>
      </c>
      <c r="D1694" s="160">
        <f t="shared" si="35"/>
        <v>1</v>
      </c>
      <c r="E1694" s="206"/>
      <c r="F1694" s="206"/>
      <c r="G1694" s="206"/>
      <c r="H1694" s="206"/>
      <c r="I1694" s="206"/>
    </row>
    <row r="1695" spans="1:9" x14ac:dyDescent="0.35">
      <c r="A1695" s="160">
        <f t="shared" si="32"/>
        <v>0</v>
      </c>
      <c r="B1695" s="160">
        <f t="shared" si="33"/>
        <v>0</v>
      </c>
      <c r="C1695" s="160">
        <f t="shared" si="34"/>
        <v>0</v>
      </c>
      <c r="D1695" s="160">
        <f t="shared" si="35"/>
        <v>1</v>
      </c>
      <c r="E1695" s="206"/>
      <c r="F1695" s="206"/>
      <c r="G1695" s="206"/>
      <c r="H1695" s="206"/>
      <c r="I1695" s="206"/>
    </row>
    <row r="1696" spans="1:9" x14ac:dyDescent="0.35">
      <c r="A1696" s="160">
        <f t="shared" si="32"/>
        <v>0</v>
      </c>
      <c r="B1696" s="160">
        <f t="shared" si="33"/>
        <v>0</v>
      </c>
      <c r="C1696" s="160">
        <f t="shared" si="34"/>
        <v>0</v>
      </c>
      <c r="D1696" s="160">
        <f t="shared" si="35"/>
        <v>1</v>
      </c>
      <c r="E1696" s="206"/>
      <c r="F1696" s="206"/>
      <c r="G1696" s="206"/>
      <c r="H1696" s="206"/>
      <c r="I1696" s="206"/>
    </row>
    <row r="1697" spans="1:9" x14ac:dyDescent="0.35">
      <c r="A1697" s="160">
        <f t="shared" si="32"/>
        <v>2</v>
      </c>
      <c r="B1697" s="160">
        <f t="shared" si="33"/>
        <v>1</v>
      </c>
      <c r="C1697" s="160">
        <f t="shared" si="34"/>
        <v>3</v>
      </c>
      <c r="D1697" s="160">
        <f t="shared" si="35"/>
        <v>0.25</v>
      </c>
      <c r="E1697" s="206"/>
      <c r="F1697" s="206"/>
      <c r="G1697" s="206"/>
      <c r="H1697" s="206"/>
      <c r="I1697" s="206"/>
    </row>
    <row r="1698" spans="1:9" x14ac:dyDescent="0.35">
      <c r="A1698" s="160">
        <f t="shared" si="32"/>
        <v>3</v>
      </c>
      <c r="B1698" s="160">
        <f t="shared" si="33"/>
        <v>2</v>
      </c>
      <c r="C1698" s="160">
        <f t="shared" si="34"/>
        <v>5</v>
      </c>
      <c r="D1698" s="160">
        <f t="shared" si="35"/>
        <v>0.16666666666666666</v>
      </c>
      <c r="E1698" s="206"/>
      <c r="F1698" s="206"/>
      <c r="G1698" s="206"/>
      <c r="H1698" s="206"/>
      <c r="I1698" s="206"/>
    </row>
    <row r="1699" spans="1:9" x14ac:dyDescent="0.35">
      <c r="A1699" s="160">
        <f t="shared" ref="A1699:A1762" si="36">SUMPRODUCT(($R$4:$R$1115=R581)*($Q$4:$Q$1115=Q581)*(ROW($R$4:$R$1115)&gt;ROW(R581)))</f>
        <v>0</v>
      </c>
      <c r="B1699" s="160">
        <f t="shared" ref="B1699:B1762" si="37">SUMPRODUCT(($K$4:$K$1115=K581)*($Q$4:$Q$1115=Q581)*(ROW($K$4:$K$1115)&gt;ROW(K581)))</f>
        <v>0</v>
      </c>
      <c r="C1699" s="160">
        <f t="shared" ref="C1699:C1762" si="38">SUM(A1699:B1699)</f>
        <v>0</v>
      </c>
      <c r="D1699" s="160">
        <f t="shared" ref="D1699:D1762" si="39">1/(1+C1699)</f>
        <v>1</v>
      </c>
      <c r="E1699" s="206"/>
      <c r="F1699" s="206"/>
      <c r="G1699" s="206"/>
      <c r="H1699" s="206"/>
      <c r="I1699" s="206"/>
    </row>
    <row r="1700" spans="1:9" x14ac:dyDescent="0.35">
      <c r="A1700" s="160">
        <f t="shared" si="36"/>
        <v>4</v>
      </c>
      <c r="B1700" s="160">
        <f t="shared" si="37"/>
        <v>0</v>
      </c>
      <c r="C1700" s="160">
        <f t="shared" si="38"/>
        <v>4</v>
      </c>
      <c r="D1700" s="160">
        <f t="shared" si="39"/>
        <v>0.2</v>
      </c>
      <c r="E1700" s="206"/>
      <c r="F1700" s="206"/>
      <c r="G1700" s="206"/>
      <c r="H1700" s="206"/>
      <c r="I1700" s="206"/>
    </row>
    <row r="1701" spans="1:9" x14ac:dyDescent="0.35">
      <c r="A1701" s="160">
        <f t="shared" si="36"/>
        <v>3</v>
      </c>
      <c r="B1701" s="160">
        <f t="shared" si="37"/>
        <v>2</v>
      </c>
      <c r="C1701" s="160">
        <f t="shared" si="38"/>
        <v>5</v>
      </c>
      <c r="D1701" s="160">
        <f t="shared" si="39"/>
        <v>0.16666666666666666</v>
      </c>
      <c r="E1701" s="206"/>
      <c r="F1701" s="206"/>
      <c r="G1701" s="206"/>
      <c r="H1701" s="206"/>
      <c r="I1701" s="206"/>
    </row>
    <row r="1702" spans="1:9" x14ac:dyDescent="0.35">
      <c r="A1702" s="160">
        <f t="shared" si="36"/>
        <v>1</v>
      </c>
      <c r="B1702" s="160">
        <f t="shared" si="37"/>
        <v>1</v>
      </c>
      <c r="C1702" s="160">
        <f t="shared" si="38"/>
        <v>2</v>
      </c>
      <c r="D1702" s="160">
        <f t="shared" si="39"/>
        <v>0.33333333333333331</v>
      </c>
      <c r="E1702" s="206"/>
      <c r="F1702" s="206"/>
      <c r="G1702" s="206"/>
      <c r="H1702" s="206"/>
      <c r="I1702" s="206"/>
    </row>
    <row r="1703" spans="1:9" x14ac:dyDescent="0.35">
      <c r="A1703" s="160">
        <f t="shared" si="36"/>
        <v>2</v>
      </c>
      <c r="B1703" s="160">
        <f t="shared" si="37"/>
        <v>1</v>
      </c>
      <c r="C1703" s="160">
        <f t="shared" si="38"/>
        <v>3</v>
      </c>
      <c r="D1703" s="160">
        <f t="shared" si="39"/>
        <v>0.25</v>
      </c>
      <c r="E1703" s="206"/>
      <c r="F1703" s="206"/>
      <c r="G1703" s="206"/>
      <c r="H1703" s="206"/>
      <c r="I1703" s="206"/>
    </row>
    <row r="1704" spans="1:9" x14ac:dyDescent="0.35">
      <c r="A1704" s="160">
        <f t="shared" si="36"/>
        <v>1</v>
      </c>
      <c r="B1704" s="160">
        <f t="shared" si="37"/>
        <v>0</v>
      </c>
      <c r="C1704" s="160">
        <f t="shared" si="38"/>
        <v>1</v>
      </c>
      <c r="D1704" s="160">
        <f t="shared" si="39"/>
        <v>0.5</v>
      </c>
      <c r="E1704" s="206"/>
      <c r="F1704" s="206"/>
      <c r="G1704" s="206"/>
      <c r="H1704" s="206"/>
      <c r="I1704" s="206"/>
    </row>
    <row r="1705" spans="1:9" x14ac:dyDescent="0.35">
      <c r="A1705" s="160">
        <f t="shared" si="36"/>
        <v>1</v>
      </c>
      <c r="B1705" s="160">
        <f t="shared" si="37"/>
        <v>0</v>
      </c>
      <c r="C1705" s="160">
        <f t="shared" si="38"/>
        <v>1</v>
      </c>
      <c r="D1705" s="160">
        <f t="shared" si="39"/>
        <v>0.5</v>
      </c>
      <c r="E1705" s="206"/>
      <c r="F1705" s="206"/>
      <c r="G1705" s="206"/>
      <c r="H1705" s="206"/>
      <c r="I1705" s="206"/>
    </row>
    <row r="1706" spans="1:9" x14ac:dyDescent="0.35">
      <c r="A1706" s="160">
        <f t="shared" si="36"/>
        <v>0</v>
      </c>
      <c r="B1706" s="160">
        <f t="shared" si="37"/>
        <v>2</v>
      </c>
      <c r="C1706" s="160">
        <f t="shared" si="38"/>
        <v>2</v>
      </c>
      <c r="D1706" s="160">
        <f t="shared" si="39"/>
        <v>0.33333333333333331</v>
      </c>
      <c r="E1706" s="206"/>
      <c r="F1706" s="206"/>
      <c r="G1706" s="206"/>
      <c r="H1706" s="206"/>
      <c r="I1706" s="206"/>
    </row>
    <row r="1707" spans="1:9" x14ac:dyDescent="0.35">
      <c r="A1707" s="160">
        <f t="shared" si="36"/>
        <v>2</v>
      </c>
      <c r="B1707" s="160">
        <f t="shared" si="37"/>
        <v>0</v>
      </c>
      <c r="C1707" s="160">
        <f t="shared" si="38"/>
        <v>2</v>
      </c>
      <c r="D1707" s="160">
        <f t="shared" si="39"/>
        <v>0.33333333333333331</v>
      </c>
      <c r="E1707" s="206"/>
      <c r="F1707" s="206"/>
      <c r="G1707" s="206"/>
      <c r="H1707" s="206"/>
      <c r="I1707" s="206"/>
    </row>
    <row r="1708" spans="1:9" x14ac:dyDescent="0.35">
      <c r="A1708" s="160">
        <f t="shared" si="36"/>
        <v>1</v>
      </c>
      <c r="B1708" s="160">
        <f t="shared" si="37"/>
        <v>0</v>
      </c>
      <c r="C1708" s="160">
        <f t="shared" si="38"/>
        <v>1</v>
      </c>
      <c r="D1708" s="160">
        <f t="shared" si="39"/>
        <v>0.5</v>
      </c>
      <c r="E1708" s="206"/>
      <c r="F1708" s="206"/>
      <c r="G1708" s="206"/>
      <c r="H1708" s="206"/>
      <c r="I1708" s="206"/>
    </row>
    <row r="1709" spans="1:9" x14ac:dyDescent="0.35">
      <c r="A1709" s="160">
        <f t="shared" si="36"/>
        <v>0</v>
      </c>
      <c r="B1709" s="160">
        <f t="shared" si="37"/>
        <v>1</v>
      </c>
      <c r="C1709" s="160">
        <f t="shared" si="38"/>
        <v>1</v>
      </c>
      <c r="D1709" s="160">
        <f t="shared" si="39"/>
        <v>0.5</v>
      </c>
      <c r="E1709" s="206"/>
      <c r="F1709" s="206"/>
      <c r="G1709" s="206"/>
      <c r="H1709" s="206"/>
      <c r="I1709" s="206"/>
    </row>
    <row r="1710" spans="1:9" x14ac:dyDescent="0.35">
      <c r="A1710" s="160">
        <f t="shared" si="36"/>
        <v>0</v>
      </c>
      <c r="B1710" s="160">
        <f t="shared" si="37"/>
        <v>1</v>
      </c>
      <c r="C1710" s="160">
        <f t="shared" si="38"/>
        <v>1</v>
      </c>
      <c r="D1710" s="160">
        <f t="shared" si="39"/>
        <v>0.5</v>
      </c>
      <c r="E1710" s="206"/>
      <c r="F1710" s="206"/>
      <c r="G1710" s="206"/>
      <c r="H1710" s="206"/>
      <c r="I1710" s="206"/>
    </row>
    <row r="1711" spans="1:9" x14ac:dyDescent="0.35">
      <c r="A1711" s="160">
        <f t="shared" si="36"/>
        <v>0</v>
      </c>
      <c r="B1711" s="160">
        <f t="shared" si="37"/>
        <v>0</v>
      </c>
      <c r="C1711" s="160">
        <f t="shared" si="38"/>
        <v>0</v>
      </c>
      <c r="D1711" s="160">
        <f t="shared" si="39"/>
        <v>1</v>
      </c>
      <c r="E1711" s="206"/>
      <c r="F1711" s="206"/>
      <c r="G1711" s="206"/>
      <c r="H1711" s="206"/>
      <c r="I1711" s="206"/>
    </row>
    <row r="1712" spans="1:9" x14ac:dyDescent="0.35">
      <c r="A1712" s="160">
        <f t="shared" si="36"/>
        <v>2</v>
      </c>
      <c r="B1712" s="160">
        <f t="shared" si="37"/>
        <v>1</v>
      </c>
      <c r="C1712" s="160">
        <f t="shared" si="38"/>
        <v>3</v>
      </c>
      <c r="D1712" s="160">
        <f t="shared" si="39"/>
        <v>0.25</v>
      </c>
      <c r="E1712" s="206"/>
      <c r="F1712" s="206"/>
      <c r="G1712" s="206"/>
      <c r="H1712" s="206"/>
      <c r="I1712" s="206"/>
    </row>
    <row r="1713" spans="1:9" x14ac:dyDescent="0.35">
      <c r="A1713" s="160">
        <f t="shared" si="36"/>
        <v>2</v>
      </c>
      <c r="B1713" s="160">
        <f t="shared" si="37"/>
        <v>1</v>
      </c>
      <c r="C1713" s="160">
        <f t="shared" si="38"/>
        <v>3</v>
      </c>
      <c r="D1713" s="160">
        <f t="shared" si="39"/>
        <v>0.25</v>
      </c>
      <c r="E1713" s="206"/>
      <c r="F1713" s="206"/>
      <c r="G1713" s="206"/>
      <c r="H1713" s="206"/>
      <c r="I1713" s="206"/>
    </row>
    <row r="1714" spans="1:9" x14ac:dyDescent="0.35">
      <c r="A1714" s="160">
        <f t="shared" si="36"/>
        <v>0</v>
      </c>
      <c r="B1714" s="160">
        <f t="shared" si="37"/>
        <v>0</v>
      </c>
      <c r="C1714" s="160">
        <f t="shared" si="38"/>
        <v>0</v>
      </c>
      <c r="D1714" s="160">
        <f t="shared" si="39"/>
        <v>1</v>
      </c>
      <c r="E1714" s="206"/>
      <c r="F1714" s="206"/>
      <c r="G1714" s="206"/>
      <c r="H1714" s="206"/>
      <c r="I1714" s="206"/>
    </row>
    <row r="1715" spans="1:9" x14ac:dyDescent="0.35">
      <c r="A1715" s="160">
        <f t="shared" si="36"/>
        <v>0</v>
      </c>
      <c r="B1715" s="160">
        <f t="shared" si="37"/>
        <v>2</v>
      </c>
      <c r="C1715" s="160">
        <f t="shared" si="38"/>
        <v>2</v>
      </c>
      <c r="D1715" s="160">
        <f t="shared" si="39"/>
        <v>0.33333333333333331</v>
      </c>
      <c r="E1715" s="206"/>
      <c r="F1715" s="206"/>
      <c r="G1715" s="206"/>
      <c r="H1715" s="206"/>
      <c r="I1715" s="206"/>
    </row>
    <row r="1716" spans="1:9" x14ac:dyDescent="0.35">
      <c r="A1716" s="160">
        <f t="shared" si="36"/>
        <v>0</v>
      </c>
      <c r="B1716" s="160">
        <f t="shared" si="37"/>
        <v>0</v>
      </c>
      <c r="C1716" s="160">
        <f t="shared" si="38"/>
        <v>0</v>
      </c>
      <c r="D1716" s="160">
        <f t="shared" si="39"/>
        <v>1</v>
      </c>
      <c r="E1716" s="206"/>
      <c r="F1716" s="206"/>
      <c r="G1716" s="206"/>
      <c r="H1716" s="206"/>
      <c r="I1716" s="206"/>
    </row>
    <row r="1717" spans="1:9" x14ac:dyDescent="0.35">
      <c r="A1717" s="160">
        <f t="shared" si="36"/>
        <v>1</v>
      </c>
      <c r="B1717" s="160">
        <f t="shared" si="37"/>
        <v>0</v>
      </c>
      <c r="C1717" s="160">
        <f t="shared" si="38"/>
        <v>1</v>
      </c>
      <c r="D1717" s="160">
        <f t="shared" si="39"/>
        <v>0.5</v>
      </c>
      <c r="E1717" s="206"/>
      <c r="F1717" s="206"/>
      <c r="G1717" s="206"/>
      <c r="H1717" s="206"/>
      <c r="I1717" s="206"/>
    </row>
    <row r="1718" spans="1:9" x14ac:dyDescent="0.35">
      <c r="A1718" s="160">
        <f t="shared" si="36"/>
        <v>1</v>
      </c>
      <c r="B1718" s="160">
        <f t="shared" si="37"/>
        <v>1</v>
      </c>
      <c r="C1718" s="160">
        <f t="shared" si="38"/>
        <v>2</v>
      </c>
      <c r="D1718" s="160">
        <f t="shared" si="39"/>
        <v>0.33333333333333331</v>
      </c>
      <c r="E1718" s="206"/>
      <c r="F1718" s="206"/>
      <c r="G1718" s="206"/>
      <c r="H1718" s="206"/>
      <c r="I1718" s="206"/>
    </row>
    <row r="1719" spans="1:9" x14ac:dyDescent="0.35">
      <c r="A1719" s="160">
        <f t="shared" si="36"/>
        <v>0</v>
      </c>
      <c r="B1719" s="160">
        <f t="shared" si="37"/>
        <v>0</v>
      </c>
      <c r="C1719" s="160">
        <f t="shared" si="38"/>
        <v>0</v>
      </c>
      <c r="D1719" s="160">
        <f t="shared" si="39"/>
        <v>1</v>
      </c>
      <c r="E1719" s="206"/>
      <c r="F1719" s="206"/>
      <c r="G1719" s="206"/>
      <c r="H1719" s="206"/>
      <c r="I1719" s="206"/>
    </row>
    <row r="1720" spans="1:9" x14ac:dyDescent="0.35">
      <c r="A1720" s="160">
        <f t="shared" si="36"/>
        <v>0</v>
      </c>
      <c r="B1720" s="160">
        <f t="shared" si="37"/>
        <v>0</v>
      </c>
      <c r="C1720" s="160">
        <f t="shared" si="38"/>
        <v>0</v>
      </c>
      <c r="D1720" s="160">
        <f t="shared" si="39"/>
        <v>1</v>
      </c>
      <c r="E1720" s="206"/>
      <c r="F1720" s="206"/>
      <c r="G1720" s="206"/>
      <c r="H1720" s="206"/>
      <c r="I1720" s="206"/>
    </row>
    <row r="1721" spans="1:9" x14ac:dyDescent="0.35">
      <c r="A1721" s="160">
        <f t="shared" si="36"/>
        <v>1</v>
      </c>
      <c r="B1721" s="160">
        <f t="shared" si="37"/>
        <v>0</v>
      </c>
      <c r="C1721" s="160">
        <f t="shared" si="38"/>
        <v>1</v>
      </c>
      <c r="D1721" s="160">
        <f t="shared" si="39"/>
        <v>0.5</v>
      </c>
      <c r="E1721" s="206"/>
      <c r="F1721" s="206"/>
      <c r="G1721" s="206"/>
      <c r="H1721" s="206"/>
      <c r="I1721" s="206"/>
    </row>
    <row r="1722" spans="1:9" x14ac:dyDescent="0.35">
      <c r="A1722" s="160">
        <f t="shared" si="36"/>
        <v>1</v>
      </c>
      <c r="B1722" s="160">
        <f t="shared" si="37"/>
        <v>0</v>
      </c>
      <c r="C1722" s="160">
        <f t="shared" si="38"/>
        <v>1</v>
      </c>
      <c r="D1722" s="160">
        <f t="shared" si="39"/>
        <v>0.5</v>
      </c>
      <c r="E1722" s="206"/>
      <c r="F1722" s="206"/>
      <c r="G1722" s="206"/>
      <c r="H1722" s="206"/>
      <c r="I1722" s="206"/>
    </row>
    <row r="1723" spans="1:9" x14ac:dyDescent="0.35">
      <c r="A1723" s="160">
        <f t="shared" si="36"/>
        <v>1</v>
      </c>
      <c r="B1723" s="160">
        <f t="shared" si="37"/>
        <v>1</v>
      </c>
      <c r="C1723" s="160">
        <f t="shared" si="38"/>
        <v>2</v>
      </c>
      <c r="D1723" s="160">
        <f t="shared" si="39"/>
        <v>0.33333333333333331</v>
      </c>
      <c r="E1723" s="206"/>
      <c r="F1723" s="206"/>
      <c r="G1723" s="206"/>
      <c r="H1723" s="206"/>
      <c r="I1723" s="206"/>
    </row>
    <row r="1724" spans="1:9" x14ac:dyDescent="0.35">
      <c r="A1724" s="160">
        <f t="shared" si="36"/>
        <v>0</v>
      </c>
      <c r="B1724" s="160">
        <f t="shared" si="37"/>
        <v>0</v>
      </c>
      <c r="C1724" s="160">
        <f t="shared" si="38"/>
        <v>0</v>
      </c>
      <c r="D1724" s="160">
        <f t="shared" si="39"/>
        <v>1</v>
      </c>
      <c r="E1724" s="206"/>
      <c r="F1724" s="206"/>
      <c r="G1724" s="206"/>
      <c r="H1724" s="206"/>
      <c r="I1724" s="206"/>
    </row>
    <row r="1725" spans="1:9" x14ac:dyDescent="0.35">
      <c r="A1725" s="160">
        <f t="shared" si="36"/>
        <v>0</v>
      </c>
      <c r="B1725" s="160">
        <f t="shared" si="37"/>
        <v>0</v>
      </c>
      <c r="C1725" s="160">
        <f t="shared" si="38"/>
        <v>0</v>
      </c>
      <c r="D1725" s="160">
        <f t="shared" si="39"/>
        <v>1</v>
      </c>
      <c r="E1725" s="206"/>
      <c r="F1725" s="206"/>
      <c r="G1725" s="206"/>
      <c r="H1725" s="206"/>
      <c r="I1725" s="206"/>
    </row>
    <row r="1726" spans="1:9" x14ac:dyDescent="0.35">
      <c r="A1726" s="160">
        <f t="shared" si="36"/>
        <v>0</v>
      </c>
      <c r="B1726" s="160">
        <f t="shared" si="37"/>
        <v>0</v>
      </c>
      <c r="C1726" s="160">
        <f t="shared" si="38"/>
        <v>0</v>
      </c>
      <c r="D1726" s="160">
        <f t="shared" si="39"/>
        <v>1</v>
      </c>
      <c r="E1726" s="206"/>
      <c r="F1726" s="206"/>
      <c r="G1726" s="206"/>
      <c r="H1726" s="206"/>
      <c r="I1726" s="206"/>
    </row>
    <row r="1727" spans="1:9" x14ac:dyDescent="0.35">
      <c r="A1727" s="160">
        <f t="shared" si="36"/>
        <v>3</v>
      </c>
      <c r="B1727" s="160">
        <f t="shared" si="37"/>
        <v>0</v>
      </c>
      <c r="C1727" s="160">
        <f t="shared" si="38"/>
        <v>3</v>
      </c>
      <c r="D1727" s="160">
        <f t="shared" si="39"/>
        <v>0.25</v>
      </c>
      <c r="E1727" s="206"/>
      <c r="F1727" s="206"/>
      <c r="G1727" s="206"/>
      <c r="H1727" s="206"/>
      <c r="I1727" s="206"/>
    </row>
    <row r="1728" spans="1:9" x14ac:dyDescent="0.35">
      <c r="A1728" s="160">
        <f t="shared" si="36"/>
        <v>0</v>
      </c>
      <c r="B1728" s="160">
        <f t="shared" si="37"/>
        <v>0</v>
      </c>
      <c r="C1728" s="160">
        <f t="shared" si="38"/>
        <v>0</v>
      </c>
      <c r="D1728" s="160">
        <f t="shared" si="39"/>
        <v>1</v>
      </c>
      <c r="E1728" s="206"/>
      <c r="F1728" s="206"/>
      <c r="G1728" s="206"/>
      <c r="H1728" s="206"/>
      <c r="I1728" s="206"/>
    </row>
    <row r="1729" spans="1:9" x14ac:dyDescent="0.35">
      <c r="A1729" s="160">
        <f t="shared" si="36"/>
        <v>0</v>
      </c>
      <c r="B1729" s="160">
        <f t="shared" si="37"/>
        <v>0</v>
      </c>
      <c r="C1729" s="160">
        <f t="shared" si="38"/>
        <v>0</v>
      </c>
      <c r="D1729" s="160">
        <f t="shared" si="39"/>
        <v>1</v>
      </c>
      <c r="E1729" s="206"/>
      <c r="F1729" s="206"/>
      <c r="G1729" s="206"/>
      <c r="H1729" s="206"/>
      <c r="I1729" s="206"/>
    </row>
    <row r="1730" spans="1:9" x14ac:dyDescent="0.35">
      <c r="A1730" s="160">
        <f t="shared" si="36"/>
        <v>1</v>
      </c>
      <c r="B1730" s="160">
        <f t="shared" si="37"/>
        <v>0</v>
      </c>
      <c r="C1730" s="160">
        <f t="shared" si="38"/>
        <v>1</v>
      </c>
      <c r="D1730" s="160">
        <f t="shared" si="39"/>
        <v>0.5</v>
      </c>
      <c r="E1730" s="206"/>
      <c r="F1730" s="206"/>
      <c r="G1730" s="206"/>
      <c r="H1730" s="206"/>
      <c r="I1730" s="206"/>
    </row>
    <row r="1731" spans="1:9" x14ac:dyDescent="0.35">
      <c r="A1731" s="160">
        <f t="shared" si="36"/>
        <v>0</v>
      </c>
      <c r="B1731" s="160">
        <f t="shared" si="37"/>
        <v>0</v>
      </c>
      <c r="C1731" s="160">
        <f t="shared" si="38"/>
        <v>0</v>
      </c>
      <c r="D1731" s="160">
        <f t="shared" si="39"/>
        <v>1</v>
      </c>
      <c r="E1731" s="206"/>
      <c r="F1731" s="206"/>
      <c r="G1731" s="206"/>
      <c r="H1731" s="206"/>
      <c r="I1731" s="206"/>
    </row>
    <row r="1732" spans="1:9" x14ac:dyDescent="0.35">
      <c r="A1732" s="160">
        <f t="shared" si="36"/>
        <v>0</v>
      </c>
      <c r="B1732" s="160">
        <f t="shared" si="37"/>
        <v>0</v>
      </c>
      <c r="C1732" s="160">
        <f t="shared" si="38"/>
        <v>0</v>
      </c>
      <c r="D1732" s="160">
        <f t="shared" si="39"/>
        <v>1</v>
      </c>
      <c r="E1732" s="206"/>
      <c r="F1732" s="206"/>
      <c r="G1732" s="206"/>
      <c r="H1732" s="206"/>
      <c r="I1732" s="206"/>
    </row>
    <row r="1733" spans="1:9" x14ac:dyDescent="0.35">
      <c r="A1733" s="160">
        <f t="shared" si="36"/>
        <v>1</v>
      </c>
      <c r="B1733" s="160">
        <f t="shared" si="37"/>
        <v>0</v>
      </c>
      <c r="C1733" s="160">
        <f t="shared" si="38"/>
        <v>1</v>
      </c>
      <c r="D1733" s="160">
        <f t="shared" si="39"/>
        <v>0.5</v>
      </c>
      <c r="E1733" s="206"/>
      <c r="F1733" s="206"/>
      <c r="G1733" s="206"/>
      <c r="H1733" s="206"/>
      <c r="I1733" s="206"/>
    </row>
    <row r="1734" spans="1:9" x14ac:dyDescent="0.35">
      <c r="A1734" s="160">
        <f t="shared" si="36"/>
        <v>7</v>
      </c>
      <c r="B1734" s="160">
        <f t="shared" si="37"/>
        <v>0</v>
      </c>
      <c r="C1734" s="160">
        <f t="shared" si="38"/>
        <v>7</v>
      </c>
      <c r="D1734" s="160">
        <f t="shared" si="39"/>
        <v>0.125</v>
      </c>
      <c r="E1734" s="206"/>
      <c r="F1734" s="206"/>
      <c r="G1734" s="206"/>
      <c r="H1734" s="206"/>
      <c r="I1734" s="206"/>
    </row>
    <row r="1735" spans="1:9" x14ac:dyDescent="0.35">
      <c r="A1735" s="160">
        <f t="shared" si="36"/>
        <v>0</v>
      </c>
      <c r="B1735" s="160">
        <f t="shared" si="37"/>
        <v>0</v>
      </c>
      <c r="C1735" s="160">
        <f t="shared" si="38"/>
        <v>0</v>
      </c>
      <c r="D1735" s="160">
        <f t="shared" si="39"/>
        <v>1</v>
      </c>
      <c r="E1735" s="206"/>
      <c r="F1735" s="206"/>
      <c r="G1735" s="206"/>
      <c r="H1735" s="206"/>
      <c r="I1735" s="206"/>
    </row>
    <row r="1736" spans="1:9" x14ac:dyDescent="0.35">
      <c r="A1736" s="160">
        <f t="shared" si="36"/>
        <v>0</v>
      </c>
      <c r="B1736" s="160">
        <f t="shared" si="37"/>
        <v>0</v>
      </c>
      <c r="C1736" s="160">
        <f t="shared" si="38"/>
        <v>0</v>
      </c>
      <c r="D1736" s="160">
        <f t="shared" si="39"/>
        <v>1</v>
      </c>
      <c r="E1736" s="206"/>
      <c r="F1736" s="206"/>
      <c r="G1736" s="206"/>
      <c r="H1736" s="206"/>
      <c r="I1736" s="206"/>
    </row>
    <row r="1737" spans="1:9" x14ac:dyDescent="0.35">
      <c r="A1737" s="160">
        <f t="shared" si="36"/>
        <v>3</v>
      </c>
      <c r="B1737" s="160">
        <f t="shared" si="37"/>
        <v>1</v>
      </c>
      <c r="C1737" s="160">
        <f t="shared" si="38"/>
        <v>4</v>
      </c>
      <c r="D1737" s="160">
        <f t="shared" si="39"/>
        <v>0.2</v>
      </c>
      <c r="E1737" s="206"/>
      <c r="F1737" s="206"/>
      <c r="G1737" s="206"/>
      <c r="H1737" s="206"/>
      <c r="I1737" s="206"/>
    </row>
    <row r="1738" spans="1:9" x14ac:dyDescent="0.35">
      <c r="A1738" s="160">
        <f t="shared" si="36"/>
        <v>1</v>
      </c>
      <c r="B1738" s="160">
        <f t="shared" si="37"/>
        <v>1</v>
      </c>
      <c r="C1738" s="160">
        <f t="shared" si="38"/>
        <v>2</v>
      </c>
      <c r="D1738" s="160">
        <f t="shared" si="39"/>
        <v>0.33333333333333331</v>
      </c>
      <c r="E1738" s="206"/>
      <c r="F1738" s="206"/>
      <c r="G1738" s="206"/>
      <c r="H1738" s="206"/>
      <c r="I1738" s="206"/>
    </row>
    <row r="1739" spans="1:9" x14ac:dyDescent="0.35">
      <c r="A1739" s="160">
        <f t="shared" si="36"/>
        <v>1</v>
      </c>
      <c r="B1739" s="160">
        <f t="shared" si="37"/>
        <v>0</v>
      </c>
      <c r="C1739" s="160">
        <f t="shared" si="38"/>
        <v>1</v>
      </c>
      <c r="D1739" s="160">
        <f t="shared" si="39"/>
        <v>0.5</v>
      </c>
      <c r="E1739" s="206"/>
      <c r="F1739" s="206"/>
      <c r="G1739" s="206"/>
      <c r="H1739" s="206"/>
      <c r="I1739" s="206"/>
    </row>
    <row r="1740" spans="1:9" x14ac:dyDescent="0.35">
      <c r="A1740" s="160">
        <f t="shared" si="36"/>
        <v>1</v>
      </c>
      <c r="B1740" s="160">
        <f t="shared" si="37"/>
        <v>0</v>
      </c>
      <c r="C1740" s="160">
        <f t="shared" si="38"/>
        <v>1</v>
      </c>
      <c r="D1740" s="160">
        <f t="shared" si="39"/>
        <v>0.5</v>
      </c>
      <c r="E1740" s="206"/>
      <c r="F1740" s="206"/>
      <c r="G1740" s="206"/>
      <c r="H1740" s="206"/>
      <c r="I1740" s="206"/>
    </row>
    <row r="1741" spans="1:9" x14ac:dyDescent="0.35">
      <c r="A1741" s="160">
        <f t="shared" si="36"/>
        <v>0</v>
      </c>
      <c r="B1741" s="160">
        <f t="shared" si="37"/>
        <v>0</v>
      </c>
      <c r="C1741" s="160">
        <f t="shared" si="38"/>
        <v>0</v>
      </c>
      <c r="D1741" s="160">
        <f t="shared" si="39"/>
        <v>1</v>
      </c>
      <c r="E1741" s="206"/>
      <c r="F1741" s="206"/>
      <c r="G1741" s="206"/>
      <c r="H1741" s="206"/>
      <c r="I1741" s="206"/>
    </row>
    <row r="1742" spans="1:9" x14ac:dyDescent="0.35">
      <c r="A1742" s="160">
        <f t="shared" si="36"/>
        <v>2</v>
      </c>
      <c r="B1742" s="160">
        <f t="shared" si="37"/>
        <v>1</v>
      </c>
      <c r="C1742" s="160">
        <f t="shared" si="38"/>
        <v>3</v>
      </c>
      <c r="D1742" s="160">
        <f t="shared" si="39"/>
        <v>0.25</v>
      </c>
      <c r="E1742" s="206"/>
      <c r="F1742" s="206"/>
      <c r="G1742" s="206"/>
      <c r="H1742" s="206"/>
      <c r="I1742" s="206"/>
    </row>
    <row r="1743" spans="1:9" x14ac:dyDescent="0.35">
      <c r="A1743" s="160">
        <f t="shared" si="36"/>
        <v>0</v>
      </c>
      <c r="B1743" s="160">
        <f t="shared" si="37"/>
        <v>0</v>
      </c>
      <c r="C1743" s="160">
        <f t="shared" si="38"/>
        <v>0</v>
      </c>
      <c r="D1743" s="160">
        <f t="shared" si="39"/>
        <v>1</v>
      </c>
      <c r="E1743" s="206"/>
      <c r="F1743" s="206"/>
      <c r="G1743" s="206"/>
      <c r="H1743" s="206"/>
      <c r="I1743" s="206"/>
    </row>
    <row r="1744" spans="1:9" x14ac:dyDescent="0.35">
      <c r="A1744" s="160">
        <f t="shared" si="36"/>
        <v>0</v>
      </c>
      <c r="B1744" s="160">
        <f t="shared" si="37"/>
        <v>1</v>
      </c>
      <c r="C1744" s="160">
        <f t="shared" si="38"/>
        <v>1</v>
      </c>
      <c r="D1744" s="160">
        <f t="shared" si="39"/>
        <v>0.5</v>
      </c>
      <c r="E1744" s="206"/>
      <c r="F1744" s="206"/>
      <c r="G1744" s="206"/>
      <c r="H1744" s="206"/>
      <c r="I1744" s="206"/>
    </row>
    <row r="1745" spans="1:9" x14ac:dyDescent="0.35">
      <c r="A1745" s="160">
        <f t="shared" si="36"/>
        <v>3</v>
      </c>
      <c r="B1745" s="160">
        <f t="shared" si="37"/>
        <v>1</v>
      </c>
      <c r="C1745" s="160">
        <f t="shared" si="38"/>
        <v>4</v>
      </c>
      <c r="D1745" s="160">
        <f t="shared" si="39"/>
        <v>0.2</v>
      </c>
      <c r="E1745" s="206"/>
      <c r="F1745" s="206"/>
      <c r="G1745" s="206"/>
      <c r="H1745" s="206"/>
      <c r="I1745" s="206"/>
    </row>
    <row r="1746" spans="1:9" x14ac:dyDescent="0.35">
      <c r="A1746" s="160">
        <f t="shared" si="36"/>
        <v>0</v>
      </c>
      <c r="B1746" s="160">
        <f t="shared" si="37"/>
        <v>0</v>
      </c>
      <c r="C1746" s="160">
        <f t="shared" si="38"/>
        <v>0</v>
      </c>
      <c r="D1746" s="160">
        <f t="shared" si="39"/>
        <v>1</v>
      </c>
      <c r="E1746" s="206"/>
      <c r="F1746" s="206"/>
      <c r="G1746" s="206"/>
      <c r="H1746" s="206"/>
      <c r="I1746" s="206"/>
    </row>
    <row r="1747" spans="1:9" x14ac:dyDescent="0.35">
      <c r="A1747" s="160">
        <f t="shared" si="36"/>
        <v>0</v>
      </c>
      <c r="B1747" s="160">
        <f t="shared" si="37"/>
        <v>0</v>
      </c>
      <c r="C1747" s="160">
        <f t="shared" si="38"/>
        <v>0</v>
      </c>
      <c r="D1747" s="160">
        <f t="shared" si="39"/>
        <v>1</v>
      </c>
      <c r="E1747" s="206"/>
      <c r="F1747" s="206"/>
      <c r="G1747" s="206"/>
      <c r="H1747" s="206"/>
      <c r="I1747" s="206"/>
    </row>
    <row r="1748" spans="1:9" x14ac:dyDescent="0.35">
      <c r="A1748" s="160">
        <f t="shared" si="36"/>
        <v>3</v>
      </c>
      <c r="B1748" s="160">
        <f t="shared" si="37"/>
        <v>1</v>
      </c>
      <c r="C1748" s="160">
        <f t="shared" si="38"/>
        <v>4</v>
      </c>
      <c r="D1748" s="160">
        <f t="shared" si="39"/>
        <v>0.2</v>
      </c>
      <c r="E1748" s="206"/>
      <c r="F1748" s="206"/>
      <c r="G1748" s="206"/>
      <c r="H1748" s="206"/>
      <c r="I1748" s="206"/>
    </row>
    <row r="1749" spans="1:9" x14ac:dyDescent="0.35">
      <c r="A1749" s="160">
        <f t="shared" si="36"/>
        <v>0</v>
      </c>
      <c r="B1749" s="160">
        <f t="shared" si="37"/>
        <v>0</v>
      </c>
      <c r="C1749" s="160">
        <f t="shared" si="38"/>
        <v>0</v>
      </c>
      <c r="D1749" s="160">
        <f t="shared" si="39"/>
        <v>1</v>
      </c>
      <c r="E1749" s="206"/>
      <c r="F1749" s="206"/>
      <c r="G1749" s="206"/>
      <c r="H1749" s="206"/>
      <c r="I1749" s="206"/>
    </row>
    <row r="1750" spans="1:9" x14ac:dyDescent="0.35">
      <c r="A1750" s="160">
        <f t="shared" si="36"/>
        <v>1</v>
      </c>
      <c r="B1750" s="160">
        <f t="shared" si="37"/>
        <v>1</v>
      </c>
      <c r="C1750" s="160">
        <f t="shared" si="38"/>
        <v>2</v>
      </c>
      <c r="D1750" s="160">
        <f t="shared" si="39"/>
        <v>0.33333333333333331</v>
      </c>
      <c r="E1750" s="206"/>
      <c r="F1750" s="206"/>
      <c r="G1750" s="206"/>
      <c r="H1750" s="206"/>
      <c r="I1750" s="206"/>
    </row>
    <row r="1751" spans="1:9" x14ac:dyDescent="0.35">
      <c r="A1751" s="160">
        <f t="shared" si="36"/>
        <v>2</v>
      </c>
      <c r="B1751" s="160">
        <f t="shared" si="37"/>
        <v>1</v>
      </c>
      <c r="C1751" s="160">
        <f t="shared" si="38"/>
        <v>3</v>
      </c>
      <c r="D1751" s="160">
        <f t="shared" si="39"/>
        <v>0.25</v>
      </c>
      <c r="E1751" s="206"/>
      <c r="F1751" s="206"/>
      <c r="G1751" s="206"/>
      <c r="H1751" s="206"/>
      <c r="I1751" s="206"/>
    </row>
    <row r="1752" spans="1:9" x14ac:dyDescent="0.35">
      <c r="A1752" s="160">
        <f t="shared" si="36"/>
        <v>4</v>
      </c>
      <c r="B1752" s="160">
        <f t="shared" si="37"/>
        <v>1</v>
      </c>
      <c r="C1752" s="160">
        <f t="shared" si="38"/>
        <v>5</v>
      </c>
      <c r="D1752" s="160">
        <f t="shared" si="39"/>
        <v>0.16666666666666666</v>
      </c>
      <c r="E1752" s="206"/>
      <c r="F1752" s="206"/>
      <c r="G1752" s="206"/>
      <c r="H1752" s="206"/>
      <c r="I1752" s="206"/>
    </row>
    <row r="1753" spans="1:9" x14ac:dyDescent="0.35">
      <c r="A1753" s="160">
        <f t="shared" si="36"/>
        <v>2</v>
      </c>
      <c r="B1753" s="160">
        <f t="shared" si="37"/>
        <v>0</v>
      </c>
      <c r="C1753" s="160">
        <f t="shared" si="38"/>
        <v>2</v>
      </c>
      <c r="D1753" s="160">
        <f t="shared" si="39"/>
        <v>0.33333333333333331</v>
      </c>
      <c r="E1753" s="206"/>
      <c r="F1753" s="206"/>
      <c r="G1753" s="206"/>
      <c r="H1753" s="206"/>
      <c r="I1753" s="206"/>
    </row>
    <row r="1754" spans="1:9" x14ac:dyDescent="0.35">
      <c r="A1754" s="160">
        <f t="shared" si="36"/>
        <v>0</v>
      </c>
      <c r="B1754" s="160">
        <f t="shared" si="37"/>
        <v>0</v>
      </c>
      <c r="C1754" s="160">
        <f t="shared" si="38"/>
        <v>0</v>
      </c>
      <c r="D1754" s="160">
        <f t="shared" si="39"/>
        <v>1</v>
      </c>
      <c r="E1754" s="206"/>
      <c r="F1754" s="206"/>
      <c r="G1754" s="206"/>
      <c r="H1754" s="206"/>
      <c r="I1754" s="206"/>
    </row>
    <row r="1755" spans="1:9" x14ac:dyDescent="0.35">
      <c r="A1755" s="160">
        <f t="shared" si="36"/>
        <v>0</v>
      </c>
      <c r="B1755" s="160">
        <f t="shared" si="37"/>
        <v>0</v>
      </c>
      <c r="C1755" s="160">
        <f t="shared" si="38"/>
        <v>0</v>
      </c>
      <c r="D1755" s="160">
        <f t="shared" si="39"/>
        <v>1</v>
      </c>
      <c r="E1755" s="206"/>
      <c r="F1755" s="206"/>
      <c r="G1755" s="206"/>
      <c r="H1755" s="206"/>
      <c r="I1755" s="206"/>
    </row>
    <row r="1756" spans="1:9" x14ac:dyDescent="0.35">
      <c r="A1756" s="160">
        <f t="shared" si="36"/>
        <v>3</v>
      </c>
      <c r="B1756" s="160">
        <f t="shared" si="37"/>
        <v>0</v>
      </c>
      <c r="C1756" s="160">
        <f t="shared" si="38"/>
        <v>3</v>
      </c>
      <c r="D1756" s="160">
        <f t="shared" si="39"/>
        <v>0.25</v>
      </c>
      <c r="E1756" s="206"/>
      <c r="F1756" s="206"/>
      <c r="G1756" s="206"/>
      <c r="H1756" s="206"/>
      <c r="I1756" s="206"/>
    </row>
    <row r="1757" spans="1:9" x14ac:dyDescent="0.35">
      <c r="A1757" s="160">
        <f t="shared" si="36"/>
        <v>6</v>
      </c>
      <c r="B1757" s="160">
        <f t="shared" si="37"/>
        <v>0</v>
      </c>
      <c r="C1757" s="160">
        <f t="shared" si="38"/>
        <v>6</v>
      </c>
      <c r="D1757" s="160">
        <f t="shared" si="39"/>
        <v>0.14285714285714285</v>
      </c>
      <c r="E1757" s="206"/>
      <c r="F1757" s="206"/>
      <c r="G1757" s="206"/>
      <c r="H1757" s="206"/>
      <c r="I1757" s="206"/>
    </row>
    <row r="1758" spans="1:9" x14ac:dyDescent="0.35">
      <c r="A1758" s="160">
        <f t="shared" si="36"/>
        <v>0</v>
      </c>
      <c r="B1758" s="160">
        <f t="shared" si="37"/>
        <v>0</v>
      </c>
      <c r="C1758" s="160">
        <f t="shared" si="38"/>
        <v>0</v>
      </c>
      <c r="D1758" s="160">
        <f t="shared" si="39"/>
        <v>1</v>
      </c>
      <c r="E1758" s="206"/>
      <c r="F1758" s="206"/>
      <c r="G1758" s="206"/>
      <c r="H1758" s="206"/>
      <c r="I1758" s="206"/>
    </row>
    <row r="1759" spans="1:9" x14ac:dyDescent="0.35">
      <c r="A1759" s="160">
        <f t="shared" si="36"/>
        <v>0</v>
      </c>
      <c r="B1759" s="160">
        <f t="shared" si="37"/>
        <v>1</v>
      </c>
      <c r="C1759" s="160">
        <f t="shared" si="38"/>
        <v>1</v>
      </c>
      <c r="D1759" s="160">
        <f t="shared" si="39"/>
        <v>0.5</v>
      </c>
      <c r="E1759" s="206"/>
      <c r="F1759" s="206"/>
      <c r="G1759" s="206"/>
      <c r="H1759" s="206"/>
      <c r="I1759" s="206"/>
    </row>
    <row r="1760" spans="1:9" x14ac:dyDescent="0.35">
      <c r="A1760" s="160">
        <f t="shared" si="36"/>
        <v>0</v>
      </c>
      <c r="B1760" s="160">
        <f t="shared" si="37"/>
        <v>1</v>
      </c>
      <c r="C1760" s="160">
        <f t="shared" si="38"/>
        <v>1</v>
      </c>
      <c r="D1760" s="160">
        <f t="shared" si="39"/>
        <v>0.5</v>
      </c>
      <c r="E1760" s="206"/>
      <c r="F1760" s="206"/>
      <c r="G1760" s="206"/>
      <c r="H1760" s="206"/>
      <c r="I1760" s="206"/>
    </row>
    <row r="1761" spans="1:9" x14ac:dyDescent="0.35">
      <c r="A1761" s="160">
        <f t="shared" si="36"/>
        <v>2</v>
      </c>
      <c r="B1761" s="160">
        <f t="shared" si="37"/>
        <v>0</v>
      </c>
      <c r="C1761" s="160">
        <f t="shared" si="38"/>
        <v>2</v>
      </c>
      <c r="D1761" s="160">
        <f t="shared" si="39"/>
        <v>0.33333333333333331</v>
      </c>
      <c r="E1761" s="206"/>
      <c r="F1761" s="206"/>
      <c r="G1761" s="206"/>
      <c r="H1761" s="206"/>
      <c r="I1761" s="206"/>
    </row>
    <row r="1762" spans="1:9" x14ac:dyDescent="0.35">
      <c r="A1762" s="160">
        <f t="shared" si="36"/>
        <v>0</v>
      </c>
      <c r="B1762" s="160">
        <f t="shared" si="37"/>
        <v>0</v>
      </c>
      <c r="C1762" s="160">
        <f t="shared" si="38"/>
        <v>0</v>
      </c>
      <c r="D1762" s="160">
        <f t="shared" si="39"/>
        <v>1</v>
      </c>
      <c r="E1762" s="206"/>
      <c r="F1762" s="206"/>
      <c r="G1762" s="206"/>
      <c r="H1762" s="206"/>
      <c r="I1762" s="206"/>
    </row>
    <row r="1763" spans="1:9" x14ac:dyDescent="0.35">
      <c r="A1763" s="160">
        <f t="shared" ref="A1763:A1826" si="40">SUMPRODUCT(($R$4:$R$1115=R645)*($Q$4:$Q$1115=Q645)*(ROW($R$4:$R$1115)&gt;ROW(R645)))</f>
        <v>0</v>
      </c>
      <c r="B1763" s="160">
        <f t="shared" ref="B1763:B1826" si="41">SUMPRODUCT(($K$4:$K$1115=K645)*($Q$4:$Q$1115=Q645)*(ROW($K$4:$K$1115)&gt;ROW(K645)))</f>
        <v>1</v>
      </c>
      <c r="C1763" s="160">
        <f t="shared" ref="C1763:C1826" si="42">SUM(A1763:B1763)</f>
        <v>1</v>
      </c>
      <c r="D1763" s="160">
        <f t="shared" ref="D1763:D1826" si="43">1/(1+C1763)</f>
        <v>0.5</v>
      </c>
      <c r="E1763" s="206"/>
      <c r="F1763" s="206"/>
      <c r="G1763" s="206"/>
      <c r="H1763" s="206"/>
      <c r="I1763" s="206"/>
    </row>
    <row r="1764" spans="1:9" x14ac:dyDescent="0.35">
      <c r="A1764" s="160">
        <f t="shared" si="40"/>
        <v>1</v>
      </c>
      <c r="B1764" s="160">
        <f t="shared" si="41"/>
        <v>1</v>
      </c>
      <c r="C1764" s="160">
        <f t="shared" si="42"/>
        <v>2</v>
      </c>
      <c r="D1764" s="160">
        <f t="shared" si="43"/>
        <v>0.33333333333333331</v>
      </c>
      <c r="E1764" s="206"/>
      <c r="F1764" s="206"/>
      <c r="G1764" s="206"/>
      <c r="H1764" s="206"/>
      <c r="I1764" s="206"/>
    </row>
    <row r="1765" spans="1:9" x14ac:dyDescent="0.35">
      <c r="A1765" s="160">
        <f t="shared" si="40"/>
        <v>2</v>
      </c>
      <c r="B1765" s="160">
        <f t="shared" si="41"/>
        <v>0</v>
      </c>
      <c r="C1765" s="160">
        <f t="shared" si="42"/>
        <v>2</v>
      </c>
      <c r="D1765" s="160">
        <f t="shared" si="43"/>
        <v>0.33333333333333331</v>
      </c>
      <c r="E1765" s="206"/>
      <c r="F1765" s="206"/>
      <c r="G1765" s="206"/>
      <c r="H1765" s="206"/>
      <c r="I1765" s="206"/>
    </row>
    <row r="1766" spans="1:9" x14ac:dyDescent="0.35">
      <c r="A1766" s="160">
        <f t="shared" si="40"/>
        <v>0</v>
      </c>
      <c r="B1766" s="160">
        <f t="shared" si="41"/>
        <v>0</v>
      </c>
      <c r="C1766" s="160">
        <f t="shared" si="42"/>
        <v>0</v>
      </c>
      <c r="D1766" s="160">
        <f t="shared" si="43"/>
        <v>1</v>
      </c>
      <c r="E1766" s="206"/>
      <c r="F1766" s="206"/>
      <c r="G1766" s="206"/>
      <c r="H1766" s="206"/>
      <c r="I1766" s="206"/>
    </row>
    <row r="1767" spans="1:9" x14ac:dyDescent="0.35">
      <c r="A1767" s="160">
        <f t="shared" si="40"/>
        <v>1</v>
      </c>
      <c r="B1767" s="160">
        <f t="shared" si="41"/>
        <v>1</v>
      </c>
      <c r="C1767" s="160">
        <f t="shared" si="42"/>
        <v>2</v>
      </c>
      <c r="D1767" s="160">
        <f t="shared" si="43"/>
        <v>0.33333333333333331</v>
      </c>
      <c r="E1767" s="206"/>
      <c r="F1767" s="206"/>
      <c r="G1767" s="206"/>
      <c r="H1767" s="206"/>
      <c r="I1767" s="206"/>
    </row>
    <row r="1768" spans="1:9" x14ac:dyDescent="0.35">
      <c r="A1768" s="160">
        <f t="shared" si="40"/>
        <v>0</v>
      </c>
      <c r="B1768" s="160">
        <f t="shared" si="41"/>
        <v>0</v>
      </c>
      <c r="C1768" s="160">
        <f t="shared" si="42"/>
        <v>0</v>
      </c>
      <c r="D1768" s="160">
        <f t="shared" si="43"/>
        <v>1</v>
      </c>
      <c r="E1768" s="206"/>
      <c r="F1768" s="206"/>
      <c r="G1768" s="206"/>
      <c r="H1768" s="206"/>
      <c r="I1768" s="206"/>
    </row>
    <row r="1769" spans="1:9" x14ac:dyDescent="0.35">
      <c r="A1769" s="160">
        <f t="shared" si="40"/>
        <v>0</v>
      </c>
      <c r="B1769" s="160">
        <f t="shared" si="41"/>
        <v>4</v>
      </c>
      <c r="C1769" s="160">
        <f t="shared" si="42"/>
        <v>4</v>
      </c>
      <c r="D1769" s="160">
        <f t="shared" si="43"/>
        <v>0.2</v>
      </c>
      <c r="E1769" s="206"/>
      <c r="F1769" s="206"/>
      <c r="G1769" s="206"/>
      <c r="H1769" s="206"/>
      <c r="I1769" s="206"/>
    </row>
    <row r="1770" spans="1:9" x14ac:dyDescent="0.35">
      <c r="A1770" s="160">
        <f t="shared" si="40"/>
        <v>2</v>
      </c>
      <c r="B1770" s="160">
        <f t="shared" si="41"/>
        <v>2</v>
      </c>
      <c r="C1770" s="160">
        <f t="shared" si="42"/>
        <v>4</v>
      </c>
      <c r="D1770" s="160">
        <f t="shared" si="43"/>
        <v>0.2</v>
      </c>
      <c r="E1770" s="206"/>
      <c r="F1770" s="206"/>
      <c r="G1770" s="206"/>
      <c r="H1770" s="206"/>
      <c r="I1770" s="206"/>
    </row>
    <row r="1771" spans="1:9" x14ac:dyDescent="0.35">
      <c r="A1771" s="160">
        <f t="shared" si="40"/>
        <v>1</v>
      </c>
      <c r="B1771" s="160">
        <f t="shared" si="41"/>
        <v>0</v>
      </c>
      <c r="C1771" s="160">
        <f t="shared" si="42"/>
        <v>1</v>
      </c>
      <c r="D1771" s="160">
        <f t="shared" si="43"/>
        <v>0.5</v>
      </c>
      <c r="E1771" s="206"/>
      <c r="F1771" s="206"/>
      <c r="G1771" s="206"/>
      <c r="H1771" s="206"/>
      <c r="I1771" s="206"/>
    </row>
    <row r="1772" spans="1:9" x14ac:dyDescent="0.35">
      <c r="A1772" s="160">
        <f t="shared" si="40"/>
        <v>0</v>
      </c>
      <c r="B1772" s="160">
        <f t="shared" si="41"/>
        <v>1</v>
      </c>
      <c r="C1772" s="160">
        <f t="shared" si="42"/>
        <v>1</v>
      </c>
      <c r="D1772" s="160">
        <f t="shared" si="43"/>
        <v>0.5</v>
      </c>
      <c r="E1772" s="206"/>
      <c r="F1772" s="206"/>
      <c r="G1772" s="206"/>
      <c r="H1772" s="206"/>
      <c r="I1772" s="206"/>
    </row>
    <row r="1773" spans="1:9" x14ac:dyDescent="0.35">
      <c r="A1773" s="160">
        <f t="shared" si="40"/>
        <v>4</v>
      </c>
      <c r="B1773" s="160">
        <f t="shared" si="41"/>
        <v>1</v>
      </c>
      <c r="C1773" s="160">
        <f t="shared" si="42"/>
        <v>5</v>
      </c>
      <c r="D1773" s="160">
        <f t="shared" si="43"/>
        <v>0.16666666666666666</v>
      </c>
      <c r="E1773" s="206"/>
      <c r="F1773" s="206"/>
      <c r="G1773" s="206"/>
      <c r="H1773" s="206"/>
      <c r="I1773" s="206"/>
    </row>
    <row r="1774" spans="1:9" x14ac:dyDescent="0.35">
      <c r="A1774" s="160">
        <f t="shared" si="40"/>
        <v>0</v>
      </c>
      <c r="B1774" s="160">
        <f t="shared" si="41"/>
        <v>0</v>
      </c>
      <c r="C1774" s="160">
        <f t="shared" si="42"/>
        <v>0</v>
      </c>
      <c r="D1774" s="160">
        <f t="shared" si="43"/>
        <v>1</v>
      </c>
      <c r="E1774" s="206"/>
      <c r="F1774" s="206"/>
      <c r="G1774" s="206"/>
      <c r="H1774" s="206"/>
      <c r="I1774" s="206"/>
    </row>
    <row r="1775" spans="1:9" x14ac:dyDescent="0.35">
      <c r="A1775" s="160">
        <f t="shared" si="40"/>
        <v>0</v>
      </c>
      <c r="B1775" s="160">
        <f t="shared" si="41"/>
        <v>0</v>
      </c>
      <c r="C1775" s="160">
        <f t="shared" si="42"/>
        <v>0</v>
      </c>
      <c r="D1775" s="160">
        <f t="shared" si="43"/>
        <v>1</v>
      </c>
      <c r="E1775" s="206"/>
      <c r="F1775" s="206"/>
      <c r="G1775" s="206"/>
      <c r="H1775" s="206"/>
      <c r="I1775" s="206"/>
    </row>
    <row r="1776" spans="1:9" x14ac:dyDescent="0.35">
      <c r="A1776" s="160">
        <f t="shared" si="40"/>
        <v>1</v>
      </c>
      <c r="B1776" s="160">
        <f t="shared" si="41"/>
        <v>2</v>
      </c>
      <c r="C1776" s="160">
        <f t="shared" si="42"/>
        <v>3</v>
      </c>
      <c r="D1776" s="160">
        <f t="shared" si="43"/>
        <v>0.25</v>
      </c>
      <c r="E1776" s="206"/>
      <c r="F1776" s="206"/>
      <c r="G1776" s="206"/>
      <c r="H1776" s="206"/>
      <c r="I1776" s="206"/>
    </row>
    <row r="1777" spans="1:9" x14ac:dyDescent="0.35">
      <c r="A1777" s="160">
        <f t="shared" si="40"/>
        <v>2</v>
      </c>
      <c r="B1777" s="160">
        <f t="shared" si="41"/>
        <v>0</v>
      </c>
      <c r="C1777" s="160">
        <f t="shared" si="42"/>
        <v>2</v>
      </c>
      <c r="D1777" s="160">
        <f t="shared" si="43"/>
        <v>0.33333333333333331</v>
      </c>
      <c r="E1777" s="206"/>
      <c r="F1777" s="206"/>
      <c r="G1777" s="206"/>
      <c r="H1777" s="206"/>
      <c r="I1777" s="206"/>
    </row>
    <row r="1778" spans="1:9" x14ac:dyDescent="0.35">
      <c r="A1778" s="160">
        <f t="shared" si="40"/>
        <v>2</v>
      </c>
      <c r="B1778" s="160">
        <f t="shared" si="41"/>
        <v>0</v>
      </c>
      <c r="C1778" s="160">
        <f t="shared" si="42"/>
        <v>2</v>
      </c>
      <c r="D1778" s="160">
        <f t="shared" si="43"/>
        <v>0.33333333333333331</v>
      </c>
      <c r="E1778" s="206"/>
      <c r="F1778" s="206"/>
      <c r="G1778" s="206"/>
      <c r="H1778" s="206"/>
      <c r="I1778" s="206"/>
    </row>
    <row r="1779" spans="1:9" x14ac:dyDescent="0.35">
      <c r="A1779" s="160">
        <f t="shared" si="40"/>
        <v>0</v>
      </c>
      <c r="B1779" s="160">
        <f t="shared" si="41"/>
        <v>0</v>
      </c>
      <c r="C1779" s="160">
        <f t="shared" si="42"/>
        <v>0</v>
      </c>
      <c r="D1779" s="160">
        <f t="shared" si="43"/>
        <v>1</v>
      </c>
      <c r="E1779" s="206"/>
      <c r="F1779" s="206"/>
      <c r="G1779" s="206"/>
      <c r="H1779" s="206"/>
      <c r="I1779" s="206"/>
    </row>
    <row r="1780" spans="1:9" x14ac:dyDescent="0.35">
      <c r="A1780" s="160">
        <f t="shared" si="40"/>
        <v>1</v>
      </c>
      <c r="B1780" s="160">
        <f t="shared" si="41"/>
        <v>0</v>
      </c>
      <c r="C1780" s="160">
        <f t="shared" si="42"/>
        <v>1</v>
      </c>
      <c r="D1780" s="160">
        <f t="shared" si="43"/>
        <v>0.5</v>
      </c>
      <c r="E1780" s="206"/>
      <c r="F1780" s="206"/>
      <c r="G1780" s="206"/>
      <c r="H1780" s="206"/>
      <c r="I1780" s="206"/>
    </row>
    <row r="1781" spans="1:9" x14ac:dyDescent="0.35">
      <c r="A1781" s="160">
        <f t="shared" si="40"/>
        <v>1</v>
      </c>
      <c r="B1781" s="160">
        <f t="shared" si="41"/>
        <v>1</v>
      </c>
      <c r="C1781" s="160">
        <f t="shared" si="42"/>
        <v>2</v>
      </c>
      <c r="D1781" s="160">
        <f t="shared" si="43"/>
        <v>0.33333333333333331</v>
      </c>
      <c r="E1781" s="206"/>
      <c r="F1781" s="206"/>
      <c r="G1781" s="206"/>
      <c r="H1781" s="206"/>
      <c r="I1781" s="206"/>
    </row>
    <row r="1782" spans="1:9" x14ac:dyDescent="0.35">
      <c r="A1782" s="160">
        <f t="shared" si="40"/>
        <v>0</v>
      </c>
      <c r="B1782" s="160">
        <f t="shared" si="41"/>
        <v>0</v>
      </c>
      <c r="C1782" s="160">
        <f t="shared" si="42"/>
        <v>0</v>
      </c>
      <c r="D1782" s="160">
        <f t="shared" si="43"/>
        <v>1</v>
      </c>
      <c r="E1782" s="206"/>
      <c r="F1782" s="206"/>
      <c r="G1782" s="206"/>
      <c r="H1782" s="206"/>
      <c r="I1782" s="206"/>
    </row>
    <row r="1783" spans="1:9" x14ac:dyDescent="0.35">
      <c r="A1783" s="160">
        <f t="shared" si="40"/>
        <v>2</v>
      </c>
      <c r="B1783" s="160">
        <f t="shared" si="41"/>
        <v>1</v>
      </c>
      <c r="C1783" s="160">
        <f t="shared" si="42"/>
        <v>3</v>
      </c>
      <c r="D1783" s="160">
        <f t="shared" si="43"/>
        <v>0.25</v>
      </c>
      <c r="E1783" s="206"/>
      <c r="F1783" s="206"/>
      <c r="G1783" s="206"/>
      <c r="H1783" s="206"/>
      <c r="I1783" s="206"/>
    </row>
    <row r="1784" spans="1:9" x14ac:dyDescent="0.35">
      <c r="A1784" s="160">
        <f t="shared" si="40"/>
        <v>1</v>
      </c>
      <c r="B1784" s="160">
        <f t="shared" si="41"/>
        <v>0</v>
      </c>
      <c r="C1784" s="160">
        <f t="shared" si="42"/>
        <v>1</v>
      </c>
      <c r="D1784" s="160">
        <f t="shared" si="43"/>
        <v>0.5</v>
      </c>
      <c r="E1784" s="206"/>
      <c r="F1784" s="206"/>
      <c r="G1784" s="206"/>
      <c r="H1784" s="206"/>
      <c r="I1784" s="206"/>
    </row>
    <row r="1785" spans="1:9" x14ac:dyDescent="0.35">
      <c r="A1785" s="160">
        <f t="shared" si="40"/>
        <v>0</v>
      </c>
      <c r="B1785" s="160">
        <f t="shared" si="41"/>
        <v>0</v>
      </c>
      <c r="C1785" s="160">
        <f t="shared" si="42"/>
        <v>0</v>
      </c>
      <c r="D1785" s="160">
        <f t="shared" si="43"/>
        <v>1</v>
      </c>
      <c r="E1785" s="206"/>
      <c r="F1785" s="206"/>
      <c r="G1785" s="206"/>
      <c r="H1785" s="206"/>
      <c r="I1785" s="206"/>
    </row>
    <row r="1786" spans="1:9" x14ac:dyDescent="0.35">
      <c r="A1786" s="160">
        <f t="shared" si="40"/>
        <v>2</v>
      </c>
      <c r="B1786" s="160">
        <f t="shared" si="41"/>
        <v>0</v>
      </c>
      <c r="C1786" s="160">
        <f t="shared" si="42"/>
        <v>2</v>
      </c>
      <c r="D1786" s="160">
        <f t="shared" si="43"/>
        <v>0.33333333333333331</v>
      </c>
      <c r="E1786" s="206"/>
      <c r="F1786" s="206"/>
      <c r="G1786" s="206"/>
      <c r="H1786" s="206"/>
      <c r="I1786" s="206"/>
    </row>
    <row r="1787" spans="1:9" x14ac:dyDescent="0.35">
      <c r="A1787" s="160">
        <f t="shared" si="40"/>
        <v>1</v>
      </c>
      <c r="B1787" s="160">
        <f t="shared" si="41"/>
        <v>0</v>
      </c>
      <c r="C1787" s="160">
        <f t="shared" si="42"/>
        <v>1</v>
      </c>
      <c r="D1787" s="160">
        <f t="shared" si="43"/>
        <v>0.5</v>
      </c>
      <c r="E1787" s="206"/>
      <c r="F1787" s="206"/>
      <c r="G1787" s="206"/>
      <c r="H1787" s="206"/>
      <c r="I1787" s="206"/>
    </row>
    <row r="1788" spans="1:9" x14ac:dyDescent="0.35">
      <c r="A1788" s="160">
        <f t="shared" si="40"/>
        <v>1</v>
      </c>
      <c r="B1788" s="160">
        <f t="shared" si="41"/>
        <v>1</v>
      </c>
      <c r="C1788" s="160">
        <f t="shared" si="42"/>
        <v>2</v>
      </c>
      <c r="D1788" s="160">
        <f t="shared" si="43"/>
        <v>0.33333333333333331</v>
      </c>
      <c r="E1788" s="206"/>
      <c r="F1788" s="206"/>
      <c r="G1788" s="206"/>
      <c r="H1788" s="206"/>
      <c r="I1788" s="206"/>
    </row>
    <row r="1789" spans="1:9" x14ac:dyDescent="0.35">
      <c r="A1789" s="160">
        <f t="shared" si="40"/>
        <v>0</v>
      </c>
      <c r="B1789" s="160">
        <f t="shared" si="41"/>
        <v>0</v>
      </c>
      <c r="C1789" s="160">
        <f t="shared" si="42"/>
        <v>0</v>
      </c>
      <c r="D1789" s="160">
        <f t="shared" si="43"/>
        <v>1</v>
      </c>
      <c r="E1789" s="206"/>
      <c r="F1789" s="206"/>
      <c r="G1789" s="206"/>
      <c r="H1789" s="206"/>
      <c r="I1789" s="206"/>
    </row>
    <row r="1790" spans="1:9" x14ac:dyDescent="0.35">
      <c r="A1790" s="160">
        <f t="shared" si="40"/>
        <v>0</v>
      </c>
      <c r="B1790" s="160">
        <f t="shared" si="41"/>
        <v>0</v>
      </c>
      <c r="C1790" s="160">
        <f t="shared" si="42"/>
        <v>0</v>
      </c>
      <c r="D1790" s="160">
        <f t="shared" si="43"/>
        <v>1</v>
      </c>
      <c r="E1790" s="206"/>
      <c r="F1790" s="206"/>
      <c r="G1790" s="206"/>
      <c r="H1790" s="206"/>
      <c r="I1790" s="206"/>
    </row>
    <row r="1791" spans="1:9" x14ac:dyDescent="0.35">
      <c r="A1791" s="160">
        <f t="shared" si="40"/>
        <v>0</v>
      </c>
      <c r="B1791" s="160">
        <f t="shared" si="41"/>
        <v>2</v>
      </c>
      <c r="C1791" s="160">
        <f t="shared" si="42"/>
        <v>2</v>
      </c>
      <c r="D1791" s="160">
        <f t="shared" si="43"/>
        <v>0.33333333333333331</v>
      </c>
      <c r="E1791" s="206"/>
      <c r="F1791" s="206"/>
      <c r="G1791" s="206"/>
      <c r="H1791" s="206"/>
      <c r="I1791" s="206"/>
    </row>
    <row r="1792" spans="1:9" x14ac:dyDescent="0.35">
      <c r="A1792" s="160">
        <f t="shared" si="40"/>
        <v>2</v>
      </c>
      <c r="B1792" s="160">
        <f t="shared" si="41"/>
        <v>3</v>
      </c>
      <c r="C1792" s="160">
        <f t="shared" si="42"/>
        <v>5</v>
      </c>
      <c r="D1792" s="160">
        <f t="shared" si="43"/>
        <v>0.16666666666666666</v>
      </c>
      <c r="E1792" s="206"/>
      <c r="F1792" s="206"/>
      <c r="G1792" s="206"/>
      <c r="H1792" s="206"/>
      <c r="I1792" s="206"/>
    </row>
    <row r="1793" spans="1:9" x14ac:dyDescent="0.35">
      <c r="A1793" s="160">
        <f t="shared" si="40"/>
        <v>1</v>
      </c>
      <c r="B1793" s="160">
        <f t="shared" si="41"/>
        <v>2</v>
      </c>
      <c r="C1793" s="160">
        <f t="shared" si="42"/>
        <v>3</v>
      </c>
      <c r="D1793" s="160">
        <f t="shared" si="43"/>
        <v>0.25</v>
      </c>
      <c r="E1793" s="206"/>
      <c r="F1793" s="206"/>
      <c r="G1793" s="206"/>
      <c r="H1793" s="206"/>
      <c r="I1793" s="206"/>
    </row>
    <row r="1794" spans="1:9" x14ac:dyDescent="0.35">
      <c r="A1794" s="160">
        <f t="shared" si="40"/>
        <v>2</v>
      </c>
      <c r="B1794" s="160">
        <f t="shared" si="41"/>
        <v>0</v>
      </c>
      <c r="C1794" s="160">
        <f t="shared" si="42"/>
        <v>2</v>
      </c>
      <c r="D1794" s="160">
        <f t="shared" si="43"/>
        <v>0.33333333333333331</v>
      </c>
      <c r="E1794" s="206"/>
      <c r="F1794" s="206"/>
      <c r="G1794" s="206"/>
      <c r="H1794" s="206"/>
      <c r="I1794" s="206"/>
    </row>
    <row r="1795" spans="1:9" x14ac:dyDescent="0.35">
      <c r="A1795" s="160">
        <f t="shared" si="40"/>
        <v>0</v>
      </c>
      <c r="B1795" s="160">
        <f t="shared" si="41"/>
        <v>2</v>
      </c>
      <c r="C1795" s="160">
        <f t="shared" si="42"/>
        <v>2</v>
      </c>
      <c r="D1795" s="160">
        <f t="shared" si="43"/>
        <v>0.33333333333333331</v>
      </c>
      <c r="E1795" s="206"/>
      <c r="F1795" s="206"/>
      <c r="G1795" s="206"/>
      <c r="H1795" s="206"/>
      <c r="I1795" s="206"/>
    </row>
    <row r="1796" spans="1:9" x14ac:dyDescent="0.35">
      <c r="A1796" s="160">
        <f t="shared" si="40"/>
        <v>1</v>
      </c>
      <c r="B1796" s="160">
        <f t="shared" si="41"/>
        <v>0</v>
      </c>
      <c r="C1796" s="160">
        <f t="shared" si="42"/>
        <v>1</v>
      </c>
      <c r="D1796" s="160">
        <f t="shared" si="43"/>
        <v>0.5</v>
      </c>
      <c r="E1796" s="206"/>
      <c r="F1796" s="206"/>
      <c r="G1796" s="206"/>
      <c r="H1796" s="206"/>
      <c r="I1796" s="206"/>
    </row>
    <row r="1797" spans="1:9" x14ac:dyDescent="0.35">
      <c r="A1797" s="160">
        <f t="shared" si="40"/>
        <v>0</v>
      </c>
      <c r="B1797" s="160">
        <f t="shared" si="41"/>
        <v>0</v>
      </c>
      <c r="C1797" s="160">
        <f t="shared" si="42"/>
        <v>0</v>
      </c>
      <c r="D1797" s="160">
        <f t="shared" si="43"/>
        <v>1</v>
      </c>
      <c r="E1797" s="206"/>
      <c r="F1797" s="206"/>
      <c r="G1797" s="206"/>
      <c r="H1797" s="206"/>
      <c r="I1797" s="206"/>
    </row>
    <row r="1798" spans="1:9" x14ac:dyDescent="0.35">
      <c r="A1798" s="160">
        <f t="shared" si="40"/>
        <v>1</v>
      </c>
      <c r="B1798" s="160">
        <f t="shared" si="41"/>
        <v>3</v>
      </c>
      <c r="C1798" s="160">
        <f t="shared" si="42"/>
        <v>4</v>
      </c>
      <c r="D1798" s="160">
        <f t="shared" si="43"/>
        <v>0.2</v>
      </c>
      <c r="E1798" s="206"/>
      <c r="F1798" s="206"/>
      <c r="G1798" s="206"/>
      <c r="H1798" s="206"/>
      <c r="I1798" s="206"/>
    </row>
    <row r="1799" spans="1:9" x14ac:dyDescent="0.35">
      <c r="A1799" s="160">
        <f t="shared" si="40"/>
        <v>2</v>
      </c>
      <c r="B1799" s="160">
        <f t="shared" si="41"/>
        <v>1</v>
      </c>
      <c r="C1799" s="160">
        <f t="shared" si="42"/>
        <v>3</v>
      </c>
      <c r="D1799" s="160">
        <f t="shared" si="43"/>
        <v>0.25</v>
      </c>
      <c r="E1799" s="206"/>
      <c r="F1799" s="206"/>
      <c r="G1799" s="206"/>
      <c r="H1799" s="206"/>
      <c r="I1799" s="206"/>
    </row>
    <row r="1800" spans="1:9" x14ac:dyDescent="0.35">
      <c r="A1800" s="160">
        <f t="shared" si="40"/>
        <v>0</v>
      </c>
      <c r="B1800" s="160">
        <f t="shared" si="41"/>
        <v>0</v>
      </c>
      <c r="C1800" s="160">
        <f t="shared" si="42"/>
        <v>0</v>
      </c>
      <c r="D1800" s="160">
        <f t="shared" si="43"/>
        <v>1</v>
      </c>
      <c r="E1800" s="206"/>
      <c r="F1800" s="206"/>
      <c r="G1800" s="206"/>
      <c r="H1800" s="206"/>
      <c r="I1800" s="206"/>
    </row>
    <row r="1801" spans="1:9" x14ac:dyDescent="0.35">
      <c r="A1801" s="160">
        <f t="shared" si="40"/>
        <v>1</v>
      </c>
      <c r="B1801" s="160">
        <f t="shared" si="41"/>
        <v>1</v>
      </c>
      <c r="C1801" s="160">
        <f t="shared" si="42"/>
        <v>2</v>
      </c>
      <c r="D1801" s="160">
        <f t="shared" si="43"/>
        <v>0.33333333333333331</v>
      </c>
      <c r="E1801" s="206"/>
      <c r="F1801" s="206"/>
      <c r="G1801" s="206"/>
      <c r="H1801" s="206"/>
      <c r="I1801" s="206"/>
    </row>
    <row r="1802" spans="1:9" x14ac:dyDescent="0.35">
      <c r="A1802" s="160">
        <f t="shared" si="40"/>
        <v>0</v>
      </c>
      <c r="B1802" s="160">
        <f t="shared" si="41"/>
        <v>3</v>
      </c>
      <c r="C1802" s="160">
        <f t="shared" si="42"/>
        <v>3</v>
      </c>
      <c r="D1802" s="160">
        <f t="shared" si="43"/>
        <v>0.25</v>
      </c>
      <c r="E1802" s="206"/>
      <c r="F1802" s="206"/>
      <c r="G1802" s="206"/>
      <c r="H1802" s="206"/>
      <c r="I1802" s="206"/>
    </row>
    <row r="1803" spans="1:9" x14ac:dyDescent="0.35">
      <c r="A1803" s="160">
        <f t="shared" si="40"/>
        <v>0</v>
      </c>
      <c r="B1803" s="160">
        <f t="shared" si="41"/>
        <v>0</v>
      </c>
      <c r="C1803" s="160">
        <f t="shared" si="42"/>
        <v>0</v>
      </c>
      <c r="D1803" s="160">
        <f t="shared" si="43"/>
        <v>1</v>
      </c>
      <c r="E1803" s="206"/>
      <c r="F1803" s="206"/>
      <c r="G1803" s="206"/>
      <c r="H1803" s="206"/>
      <c r="I1803" s="206"/>
    </row>
    <row r="1804" spans="1:9" x14ac:dyDescent="0.35">
      <c r="A1804" s="160">
        <f t="shared" si="40"/>
        <v>1</v>
      </c>
      <c r="B1804" s="160">
        <f t="shared" si="41"/>
        <v>0</v>
      </c>
      <c r="C1804" s="160">
        <f t="shared" si="42"/>
        <v>1</v>
      </c>
      <c r="D1804" s="160">
        <f t="shared" si="43"/>
        <v>0.5</v>
      </c>
      <c r="E1804" s="206"/>
      <c r="F1804" s="206"/>
      <c r="G1804" s="206"/>
      <c r="H1804" s="206"/>
      <c r="I1804" s="206"/>
    </row>
    <row r="1805" spans="1:9" x14ac:dyDescent="0.35">
      <c r="A1805" s="160">
        <f t="shared" si="40"/>
        <v>0</v>
      </c>
      <c r="B1805" s="160">
        <f t="shared" si="41"/>
        <v>0</v>
      </c>
      <c r="C1805" s="160">
        <f t="shared" si="42"/>
        <v>0</v>
      </c>
      <c r="D1805" s="160">
        <f t="shared" si="43"/>
        <v>1</v>
      </c>
      <c r="E1805" s="206"/>
      <c r="F1805" s="206"/>
      <c r="G1805" s="206"/>
      <c r="H1805" s="206"/>
      <c r="I1805" s="206"/>
    </row>
    <row r="1806" spans="1:9" x14ac:dyDescent="0.35">
      <c r="A1806" s="160">
        <f t="shared" si="40"/>
        <v>0</v>
      </c>
      <c r="B1806" s="160">
        <f t="shared" si="41"/>
        <v>0</v>
      </c>
      <c r="C1806" s="160">
        <f t="shared" si="42"/>
        <v>0</v>
      </c>
      <c r="D1806" s="160">
        <f t="shared" si="43"/>
        <v>1</v>
      </c>
      <c r="E1806" s="206"/>
      <c r="F1806" s="206"/>
      <c r="G1806" s="206"/>
      <c r="H1806" s="206"/>
      <c r="I1806" s="206"/>
    </row>
    <row r="1807" spans="1:9" x14ac:dyDescent="0.35">
      <c r="A1807" s="160">
        <f t="shared" si="40"/>
        <v>0</v>
      </c>
      <c r="B1807" s="160">
        <f t="shared" si="41"/>
        <v>0</v>
      </c>
      <c r="C1807" s="160">
        <f t="shared" si="42"/>
        <v>0</v>
      </c>
      <c r="D1807" s="160">
        <f t="shared" si="43"/>
        <v>1</v>
      </c>
      <c r="E1807" s="206"/>
      <c r="F1807" s="206"/>
      <c r="G1807" s="206"/>
      <c r="H1807" s="206"/>
      <c r="I1807" s="206"/>
    </row>
    <row r="1808" spans="1:9" x14ac:dyDescent="0.35">
      <c r="A1808" s="160">
        <f t="shared" si="40"/>
        <v>0</v>
      </c>
      <c r="B1808" s="160">
        <f t="shared" si="41"/>
        <v>0</v>
      </c>
      <c r="C1808" s="160">
        <f t="shared" si="42"/>
        <v>0</v>
      </c>
      <c r="D1808" s="160">
        <f t="shared" si="43"/>
        <v>1</v>
      </c>
      <c r="E1808" s="206"/>
      <c r="F1808" s="206"/>
      <c r="G1808" s="206"/>
      <c r="H1808" s="206"/>
      <c r="I1808" s="206"/>
    </row>
    <row r="1809" spans="1:9" x14ac:dyDescent="0.35">
      <c r="A1809" s="160">
        <f t="shared" si="40"/>
        <v>1</v>
      </c>
      <c r="B1809" s="160">
        <f t="shared" si="41"/>
        <v>1</v>
      </c>
      <c r="C1809" s="160">
        <f t="shared" si="42"/>
        <v>2</v>
      </c>
      <c r="D1809" s="160">
        <f t="shared" si="43"/>
        <v>0.33333333333333331</v>
      </c>
      <c r="E1809" s="206"/>
      <c r="F1809" s="206"/>
      <c r="G1809" s="206"/>
      <c r="H1809" s="206"/>
      <c r="I1809" s="206"/>
    </row>
    <row r="1810" spans="1:9" x14ac:dyDescent="0.35">
      <c r="A1810" s="160">
        <f t="shared" si="40"/>
        <v>0</v>
      </c>
      <c r="B1810" s="160">
        <f t="shared" si="41"/>
        <v>1</v>
      </c>
      <c r="C1810" s="160">
        <f t="shared" si="42"/>
        <v>1</v>
      </c>
      <c r="D1810" s="160">
        <f t="shared" si="43"/>
        <v>0.5</v>
      </c>
      <c r="E1810" s="206"/>
      <c r="F1810" s="206"/>
      <c r="G1810" s="206"/>
      <c r="H1810" s="206"/>
      <c r="I1810" s="206"/>
    </row>
    <row r="1811" spans="1:9" x14ac:dyDescent="0.35">
      <c r="A1811" s="160">
        <f t="shared" si="40"/>
        <v>2</v>
      </c>
      <c r="B1811" s="160">
        <f t="shared" si="41"/>
        <v>1</v>
      </c>
      <c r="C1811" s="160">
        <f t="shared" si="42"/>
        <v>3</v>
      </c>
      <c r="D1811" s="160">
        <f t="shared" si="43"/>
        <v>0.25</v>
      </c>
      <c r="E1811" s="206"/>
      <c r="F1811" s="206"/>
      <c r="G1811" s="206"/>
      <c r="H1811" s="206"/>
      <c r="I1811" s="206"/>
    </row>
    <row r="1812" spans="1:9" x14ac:dyDescent="0.35">
      <c r="A1812" s="160">
        <f t="shared" si="40"/>
        <v>2</v>
      </c>
      <c r="B1812" s="160">
        <f t="shared" si="41"/>
        <v>1</v>
      </c>
      <c r="C1812" s="160">
        <f t="shared" si="42"/>
        <v>3</v>
      </c>
      <c r="D1812" s="160">
        <f t="shared" si="43"/>
        <v>0.25</v>
      </c>
      <c r="E1812" s="206"/>
      <c r="F1812" s="206"/>
      <c r="G1812" s="206"/>
      <c r="H1812" s="206"/>
      <c r="I1812" s="206"/>
    </row>
    <row r="1813" spans="1:9" x14ac:dyDescent="0.35">
      <c r="A1813" s="160">
        <f t="shared" si="40"/>
        <v>5</v>
      </c>
      <c r="B1813" s="160">
        <f t="shared" si="41"/>
        <v>0</v>
      </c>
      <c r="C1813" s="160">
        <f t="shared" si="42"/>
        <v>5</v>
      </c>
      <c r="D1813" s="160">
        <f t="shared" si="43"/>
        <v>0.16666666666666666</v>
      </c>
      <c r="E1813" s="206"/>
      <c r="F1813" s="206"/>
      <c r="G1813" s="206"/>
      <c r="H1813" s="206"/>
      <c r="I1813" s="206"/>
    </row>
    <row r="1814" spans="1:9" x14ac:dyDescent="0.35">
      <c r="A1814" s="160">
        <f t="shared" si="40"/>
        <v>0</v>
      </c>
      <c r="B1814" s="160">
        <f t="shared" si="41"/>
        <v>0</v>
      </c>
      <c r="C1814" s="160">
        <f t="shared" si="42"/>
        <v>0</v>
      </c>
      <c r="D1814" s="160">
        <f t="shared" si="43"/>
        <v>1</v>
      </c>
      <c r="E1814" s="206"/>
      <c r="F1814" s="206"/>
      <c r="G1814" s="206"/>
      <c r="H1814" s="206"/>
      <c r="I1814" s="206"/>
    </row>
    <row r="1815" spans="1:9" x14ac:dyDescent="0.35">
      <c r="A1815" s="160">
        <f t="shared" si="40"/>
        <v>0</v>
      </c>
      <c r="B1815" s="160">
        <f t="shared" si="41"/>
        <v>0</v>
      </c>
      <c r="C1815" s="160">
        <f t="shared" si="42"/>
        <v>0</v>
      </c>
      <c r="D1815" s="160">
        <f t="shared" si="43"/>
        <v>1</v>
      </c>
      <c r="E1815" s="206"/>
      <c r="F1815" s="206"/>
      <c r="G1815" s="206"/>
      <c r="H1815" s="206"/>
      <c r="I1815" s="206"/>
    </row>
    <row r="1816" spans="1:9" x14ac:dyDescent="0.35">
      <c r="A1816" s="160">
        <f t="shared" si="40"/>
        <v>0</v>
      </c>
      <c r="B1816" s="160">
        <f t="shared" si="41"/>
        <v>2</v>
      </c>
      <c r="C1816" s="160">
        <f t="shared" si="42"/>
        <v>2</v>
      </c>
      <c r="D1816" s="160">
        <f t="shared" si="43"/>
        <v>0.33333333333333331</v>
      </c>
      <c r="E1816" s="206"/>
      <c r="F1816" s="206"/>
      <c r="G1816" s="206"/>
      <c r="H1816" s="206"/>
      <c r="I1816" s="206"/>
    </row>
    <row r="1817" spans="1:9" x14ac:dyDescent="0.35">
      <c r="A1817" s="160">
        <f t="shared" si="40"/>
        <v>0</v>
      </c>
      <c r="B1817" s="160">
        <f t="shared" si="41"/>
        <v>0</v>
      </c>
      <c r="C1817" s="160">
        <f t="shared" si="42"/>
        <v>0</v>
      </c>
      <c r="D1817" s="160">
        <f t="shared" si="43"/>
        <v>1</v>
      </c>
      <c r="E1817" s="206"/>
      <c r="F1817" s="206"/>
      <c r="G1817" s="206"/>
      <c r="H1817" s="206"/>
      <c r="I1817" s="206"/>
    </row>
    <row r="1818" spans="1:9" x14ac:dyDescent="0.35">
      <c r="A1818" s="160">
        <f t="shared" si="40"/>
        <v>2</v>
      </c>
      <c r="B1818" s="160">
        <f t="shared" si="41"/>
        <v>1</v>
      </c>
      <c r="C1818" s="160">
        <f t="shared" si="42"/>
        <v>3</v>
      </c>
      <c r="D1818" s="160">
        <f t="shared" si="43"/>
        <v>0.25</v>
      </c>
      <c r="E1818" s="206"/>
      <c r="F1818" s="206"/>
      <c r="G1818" s="206"/>
      <c r="H1818" s="206"/>
      <c r="I1818" s="206"/>
    </row>
    <row r="1819" spans="1:9" x14ac:dyDescent="0.35">
      <c r="A1819" s="160">
        <f t="shared" si="40"/>
        <v>1</v>
      </c>
      <c r="B1819" s="160">
        <f t="shared" si="41"/>
        <v>1</v>
      </c>
      <c r="C1819" s="160">
        <f t="shared" si="42"/>
        <v>2</v>
      </c>
      <c r="D1819" s="160">
        <f t="shared" si="43"/>
        <v>0.33333333333333331</v>
      </c>
      <c r="E1819" s="206"/>
      <c r="F1819" s="206"/>
      <c r="G1819" s="206"/>
      <c r="H1819" s="206"/>
      <c r="I1819" s="206"/>
    </row>
    <row r="1820" spans="1:9" x14ac:dyDescent="0.35">
      <c r="A1820" s="160">
        <f t="shared" si="40"/>
        <v>0</v>
      </c>
      <c r="B1820" s="160">
        <f t="shared" si="41"/>
        <v>1</v>
      </c>
      <c r="C1820" s="160">
        <f t="shared" si="42"/>
        <v>1</v>
      </c>
      <c r="D1820" s="160">
        <f t="shared" si="43"/>
        <v>0.5</v>
      </c>
      <c r="E1820" s="206"/>
      <c r="F1820" s="206"/>
      <c r="G1820" s="206"/>
      <c r="H1820" s="206"/>
      <c r="I1820" s="206"/>
    </row>
    <row r="1821" spans="1:9" x14ac:dyDescent="0.35">
      <c r="A1821" s="160">
        <f t="shared" si="40"/>
        <v>0</v>
      </c>
      <c r="B1821" s="160">
        <f t="shared" si="41"/>
        <v>0</v>
      </c>
      <c r="C1821" s="160">
        <f t="shared" si="42"/>
        <v>0</v>
      </c>
      <c r="D1821" s="160">
        <f t="shared" si="43"/>
        <v>1</v>
      </c>
      <c r="E1821" s="206"/>
      <c r="F1821" s="206"/>
      <c r="G1821" s="206"/>
      <c r="H1821" s="206"/>
      <c r="I1821" s="206"/>
    </row>
    <row r="1822" spans="1:9" x14ac:dyDescent="0.35">
      <c r="A1822" s="160">
        <f t="shared" si="40"/>
        <v>1</v>
      </c>
      <c r="B1822" s="160">
        <f t="shared" si="41"/>
        <v>0</v>
      </c>
      <c r="C1822" s="160">
        <f t="shared" si="42"/>
        <v>1</v>
      </c>
      <c r="D1822" s="160">
        <f t="shared" si="43"/>
        <v>0.5</v>
      </c>
      <c r="E1822" s="206"/>
      <c r="F1822" s="206"/>
      <c r="G1822" s="206"/>
      <c r="H1822" s="206"/>
      <c r="I1822" s="206"/>
    </row>
    <row r="1823" spans="1:9" x14ac:dyDescent="0.35">
      <c r="A1823" s="160">
        <f t="shared" si="40"/>
        <v>1</v>
      </c>
      <c r="B1823" s="160">
        <f t="shared" si="41"/>
        <v>1</v>
      </c>
      <c r="C1823" s="160">
        <f t="shared" si="42"/>
        <v>2</v>
      </c>
      <c r="D1823" s="160">
        <f t="shared" si="43"/>
        <v>0.33333333333333331</v>
      </c>
      <c r="E1823" s="206"/>
      <c r="F1823" s="206"/>
      <c r="G1823" s="206"/>
      <c r="H1823" s="206"/>
      <c r="I1823" s="206"/>
    </row>
    <row r="1824" spans="1:9" x14ac:dyDescent="0.35">
      <c r="A1824" s="160">
        <f t="shared" si="40"/>
        <v>0</v>
      </c>
      <c r="B1824" s="160">
        <f t="shared" si="41"/>
        <v>2</v>
      </c>
      <c r="C1824" s="160">
        <f t="shared" si="42"/>
        <v>2</v>
      </c>
      <c r="D1824" s="160">
        <f t="shared" si="43"/>
        <v>0.33333333333333331</v>
      </c>
      <c r="E1824" s="206"/>
      <c r="F1824" s="206"/>
      <c r="G1824" s="206"/>
      <c r="H1824" s="206"/>
      <c r="I1824" s="206"/>
    </row>
    <row r="1825" spans="1:9" x14ac:dyDescent="0.35">
      <c r="A1825" s="160">
        <f t="shared" si="40"/>
        <v>3</v>
      </c>
      <c r="B1825" s="160">
        <f t="shared" si="41"/>
        <v>0</v>
      </c>
      <c r="C1825" s="160">
        <f t="shared" si="42"/>
        <v>3</v>
      </c>
      <c r="D1825" s="160">
        <f t="shared" si="43"/>
        <v>0.25</v>
      </c>
      <c r="E1825" s="206"/>
      <c r="F1825" s="206"/>
      <c r="G1825" s="206"/>
      <c r="H1825" s="206"/>
      <c r="I1825" s="206"/>
    </row>
    <row r="1826" spans="1:9" x14ac:dyDescent="0.35">
      <c r="A1826" s="160">
        <f t="shared" si="40"/>
        <v>0</v>
      </c>
      <c r="B1826" s="160">
        <f t="shared" si="41"/>
        <v>0</v>
      </c>
      <c r="C1826" s="160">
        <f t="shared" si="42"/>
        <v>0</v>
      </c>
      <c r="D1826" s="160">
        <f t="shared" si="43"/>
        <v>1</v>
      </c>
      <c r="E1826" s="206"/>
      <c r="F1826" s="206"/>
      <c r="G1826" s="206"/>
      <c r="H1826" s="206"/>
      <c r="I1826" s="206"/>
    </row>
    <row r="1827" spans="1:9" x14ac:dyDescent="0.35">
      <c r="A1827" s="160">
        <f t="shared" ref="A1827:A1890" si="44">SUMPRODUCT(($R$4:$R$1115=R709)*($Q$4:$Q$1115=Q709)*(ROW($R$4:$R$1115)&gt;ROW(R709)))</f>
        <v>0</v>
      </c>
      <c r="B1827" s="160">
        <f t="shared" ref="B1827:B1890" si="45">SUMPRODUCT(($K$4:$K$1115=K709)*($Q$4:$Q$1115=Q709)*(ROW($K$4:$K$1115)&gt;ROW(K709)))</f>
        <v>1</v>
      </c>
      <c r="C1827" s="160">
        <f t="shared" ref="C1827:C1890" si="46">SUM(A1827:B1827)</f>
        <v>1</v>
      </c>
      <c r="D1827" s="160">
        <f t="shared" ref="D1827:D1890" si="47">1/(1+C1827)</f>
        <v>0.5</v>
      </c>
      <c r="E1827" s="206"/>
      <c r="F1827" s="206"/>
      <c r="G1827" s="206"/>
      <c r="H1827" s="206"/>
      <c r="I1827" s="206"/>
    </row>
    <row r="1828" spans="1:9" x14ac:dyDescent="0.35">
      <c r="A1828" s="160">
        <f t="shared" si="44"/>
        <v>0</v>
      </c>
      <c r="B1828" s="160">
        <f t="shared" si="45"/>
        <v>1</v>
      </c>
      <c r="C1828" s="160">
        <f t="shared" si="46"/>
        <v>1</v>
      </c>
      <c r="D1828" s="160">
        <f t="shared" si="47"/>
        <v>0.5</v>
      </c>
      <c r="E1828" s="206"/>
      <c r="F1828" s="206"/>
      <c r="G1828" s="206"/>
      <c r="H1828" s="206"/>
      <c r="I1828" s="206"/>
    </row>
    <row r="1829" spans="1:9" x14ac:dyDescent="0.35">
      <c r="A1829" s="160">
        <f t="shared" si="44"/>
        <v>1</v>
      </c>
      <c r="B1829" s="160">
        <f t="shared" si="45"/>
        <v>1</v>
      </c>
      <c r="C1829" s="160">
        <f t="shared" si="46"/>
        <v>2</v>
      </c>
      <c r="D1829" s="160">
        <f t="shared" si="47"/>
        <v>0.33333333333333331</v>
      </c>
      <c r="E1829" s="206"/>
      <c r="F1829" s="206"/>
      <c r="G1829" s="206"/>
      <c r="H1829" s="206"/>
      <c r="I1829" s="206"/>
    </row>
    <row r="1830" spans="1:9" x14ac:dyDescent="0.35">
      <c r="A1830" s="160">
        <f t="shared" si="44"/>
        <v>0</v>
      </c>
      <c r="B1830" s="160">
        <f t="shared" si="45"/>
        <v>3</v>
      </c>
      <c r="C1830" s="160">
        <f t="shared" si="46"/>
        <v>3</v>
      </c>
      <c r="D1830" s="160">
        <f t="shared" si="47"/>
        <v>0.25</v>
      </c>
      <c r="E1830" s="206"/>
      <c r="F1830" s="206"/>
      <c r="G1830" s="206"/>
      <c r="H1830" s="206"/>
      <c r="I1830" s="206"/>
    </row>
    <row r="1831" spans="1:9" x14ac:dyDescent="0.35">
      <c r="A1831" s="160">
        <f t="shared" si="44"/>
        <v>1</v>
      </c>
      <c r="B1831" s="160">
        <f t="shared" si="45"/>
        <v>0</v>
      </c>
      <c r="C1831" s="160">
        <f t="shared" si="46"/>
        <v>1</v>
      </c>
      <c r="D1831" s="160">
        <f t="shared" si="47"/>
        <v>0.5</v>
      </c>
      <c r="E1831" s="206"/>
      <c r="F1831" s="206"/>
      <c r="G1831" s="206"/>
      <c r="H1831" s="206"/>
      <c r="I1831" s="206"/>
    </row>
    <row r="1832" spans="1:9" x14ac:dyDescent="0.35">
      <c r="A1832" s="160">
        <f t="shared" si="44"/>
        <v>0</v>
      </c>
      <c r="B1832" s="160">
        <f t="shared" si="45"/>
        <v>0</v>
      </c>
      <c r="C1832" s="160">
        <f t="shared" si="46"/>
        <v>0</v>
      </c>
      <c r="D1832" s="160">
        <f t="shared" si="47"/>
        <v>1</v>
      </c>
      <c r="E1832" s="206"/>
      <c r="F1832" s="206"/>
      <c r="G1832" s="206"/>
      <c r="H1832" s="206"/>
      <c r="I1832" s="206"/>
    </row>
    <row r="1833" spans="1:9" x14ac:dyDescent="0.35">
      <c r="A1833" s="160">
        <f t="shared" si="44"/>
        <v>1</v>
      </c>
      <c r="B1833" s="160">
        <f t="shared" si="45"/>
        <v>0</v>
      </c>
      <c r="C1833" s="160">
        <f t="shared" si="46"/>
        <v>1</v>
      </c>
      <c r="D1833" s="160">
        <f t="shared" si="47"/>
        <v>0.5</v>
      </c>
      <c r="E1833" s="206"/>
      <c r="F1833" s="206"/>
      <c r="G1833" s="206"/>
      <c r="H1833" s="206"/>
      <c r="I1833" s="206"/>
    </row>
    <row r="1834" spans="1:9" x14ac:dyDescent="0.35">
      <c r="A1834" s="160">
        <f t="shared" si="44"/>
        <v>2</v>
      </c>
      <c r="B1834" s="160">
        <f t="shared" si="45"/>
        <v>1</v>
      </c>
      <c r="C1834" s="160">
        <f t="shared" si="46"/>
        <v>3</v>
      </c>
      <c r="D1834" s="160">
        <f t="shared" si="47"/>
        <v>0.25</v>
      </c>
      <c r="E1834" s="206"/>
      <c r="F1834" s="206"/>
      <c r="G1834" s="206"/>
      <c r="H1834" s="206"/>
      <c r="I1834" s="206"/>
    </row>
    <row r="1835" spans="1:9" x14ac:dyDescent="0.35">
      <c r="A1835" s="160">
        <f t="shared" si="44"/>
        <v>0</v>
      </c>
      <c r="B1835" s="160">
        <f t="shared" si="45"/>
        <v>0</v>
      </c>
      <c r="C1835" s="160">
        <f t="shared" si="46"/>
        <v>0</v>
      </c>
      <c r="D1835" s="160">
        <f t="shared" si="47"/>
        <v>1</v>
      </c>
      <c r="E1835" s="206"/>
      <c r="F1835" s="206"/>
      <c r="G1835" s="206"/>
      <c r="H1835" s="206"/>
      <c r="I1835" s="206"/>
    </row>
    <row r="1836" spans="1:9" x14ac:dyDescent="0.35">
      <c r="A1836" s="160">
        <f t="shared" si="44"/>
        <v>1</v>
      </c>
      <c r="B1836" s="160">
        <f t="shared" si="45"/>
        <v>1</v>
      </c>
      <c r="C1836" s="160">
        <f t="shared" si="46"/>
        <v>2</v>
      </c>
      <c r="D1836" s="160">
        <f t="shared" si="47"/>
        <v>0.33333333333333331</v>
      </c>
      <c r="E1836" s="206"/>
      <c r="F1836" s="206"/>
      <c r="G1836" s="206"/>
      <c r="H1836" s="206"/>
      <c r="I1836" s="206"/>
    </row>
    <row r="1837" spans="1:9" x14ac:dyDescent="0.35">
      <c r="A1837" s="160">
        <f t="shared" si="44"/>
        <v>0</v>
      </c>
      <c r="B1837" s="160">
        <f t="shared" si="45"/>
        <v>0</v>
      </c>
      <c r="C1837" s="160">
        <f t="shared" si="46"/>
        <v>0</v>
      </c>
      <c r="D1837" s="160">
        <f t="shared" si="47"/>
        <v>1</v>
      </c>
      <c r="E1837" s="206"/>
      <c r="F1837" s="206"/>
      <c r="G1837" s="206"/>
      <c r="H1837" s="206"/>
      <c r="I1837" s="206"/>
    </row>
    <row r="1838" spans="1:9" x14ac:dyDescent="0.35">
      <c r="A1838" s="160">
        <f t="shared" si="44"/>
        <v>2</v>
      </c>
      <c r="B1838" s="160">
        <f t="shared" si="45"/>
        <v>1</v>
      </c>
      <c r="C1838" s="160">
        <f t="shared" si="46"/>
        <v>3</v>
      </c>
      <c r="D1838" s="160">
        <f t="shared" si="47"/>
        <v>0.25</v>
      </c>
      <c r="E1838" s="206"/>
      <c r="F1838" s="206"/>
      <c r="G1838" s="206"/>
      <c r="H1838" s="206"/>
      <c r="I1838" s="206"/>
    </row>
    <row r="1839" spans="1:9" x14ac:dyDescent="0.35">
      <c r="A1839" s="160">
        <f t="shared" si="44"/>
        <v>3</v>
      </c>
      <c r="B1839" s="160">
        <f t="shared" si="45"/>
        <v>0</v>
      </c>
      <c r="C1839" s="160">
        <f t="shared" si="46"/>
        <v>3</v>
      </c>
      <c r="D1839" s="160">
        <f t="shared" si="47"/>
        <v>0.25</v>
      </c>
      <c r="E1839" s="206"/>
      <c r="F1839" s="206"/>
      <c r="G1839" s="206"/>
      <c r="H1839" s="206"/>
      <c r="I1839" s="206"/>
    </row>
    <row r="1840" spans="1:9" x14ac:dyDescent="0.35">
      <c r="A1840" s="160">
        <f t="shared" si="44"/>
        <v>1</v>
      </c>
      <c r="B1840" s="160">
        <f t="shared" si="45"/>
        <v>0</v>
      </c>
      <c r="C1840" s="160">
        <f t="shared" si="46"/>
        <v>1</v>
      </c>
      <c r="D1840" s="160">
        <f t="shared" si="47"/>
        <v>0.5</v>
      </c>
      <c r="E1840" s="206"/>
      <c r="F1840" s="206"/>
      <c r="G1840" s="206"/>
      <c r="H1840" s="206"/>
      <c r="I1840" s="206"/>
    </row>
    <row r="1841" spans="1:9" x14ac:dyDescent="0.35">
      <c r="A1841" s="160">
        <f t="shared" si="44"/>
        <v>0</v>
      </c>
      <c r="B1841" s="160">
        <f t="shared" si="45"/>
        <v>0</v>
      </c>
      <c r="C1841" s="160">
        <f t="shared" si="46"/>
        <v>0</v>
      </c>
      <c r="D1841" s="160">
        <f t="shared" si="47"/>
        <v>1</v>
      </c>
      <c r="E1841" s="206"/>
      <c r="F1841" s="206"/>
      <c r="G1841" s="206"/>
      <c r="H1841" s="206"/>
      <c r="I1841" s="206"/>
    </row>
    <row r="1842" spans="1:9" x14ac:dyDescent="0.35">
      <c r="A1842" s="160">
        <f t="shared" si="44"/>
        <v>2</v>
      </c>
      <c r="B1842" s="160">
        <f t="shared" si="45"/>
        <v>1</v>
      </c>
      <c r="C1842" s="160">
        <f t="shared" si="46"/>
        <v>3</v>
      </c>
      <c r="D1842" s="160">
        <f t="shared" si="47"/>
        <v>0.25</v>
      </c>
      <c r="E1842" s="206"/>
      <c r="F1842" s="206"/>
      <c r="G1842" s="206"/>
      <c r="H1842" s="206"/>
      <c r="I1842" s="206"/>
    </row>
    <row r="1843" spans="1:9" x14ac:dyDescent="0.35">
      <c r="A1843" s="160">
        <f t="shared" si="44"/>
        <v>0</v>
      </c>
      <c r="B1843" s="160">
        <f t="shared" si="45"/>
        <v>0</v>
      </c>
      <c r="C1843" s="160">
        <f t="shared" si="46"/>
        <v>0</v>
      </c>
      <c r="D1843" s="160">
        <f t="shared" si="47"/>
        <v>1</v>
      </c>
      <c r="E1843" s="206"/>
      <c r="F1843" s="206"/>
      <c r="G1843" s="206"/>
      <c r="H1843" s="206"/>
      <c r="I1843" s="206"/>
    </row>
    <row r="1844" spans="1:9" x14ac:dyDescent="0.35">
      <c r="A1844" s="160">
        <f t="shared" si="44"/>
        <v>0</v>
      </c>
      <c r="B1844" s="160">
        <f t="shared" si="45"/>
        <v>0</v>
      </c>
      <c r="C1844" s="160">
        <f t="shared" si="46"/>
        <v>0</v>
      </c>
      <c r="D1844" s="160">
        <f t="shared" si="47"/>
        <v>1</v>
      </c>
      <c r="E1844" s="206"/>
      <c r="F1844" s="206"/>
      <c r="G1844" s="206"/>
      <c r="H1844" s="206"/>
      <c r="I1844" s="206"/>
    </row>
    <row r="1845" spans="1:9" x14ac:dyDescent="0.35">
      <c r="A1845" s="160">
        <f t="shared" si="44"/>
        <v>1</v>
      </c>
      <c r="B1845" s="160">
        <f t="shared" si="45"/>
        <v>1</v>
      </c>
      <c r="C1845" s="160">
        <f t="shared" si="46"/>
        <v>2</v>
      </c>
      <c r="D1845" s="160">
        <f t="shared" si="47"/>
        <v>0.33333333333333331</v>
      </c>
      <c r="E1845" s="206"/>
      <c r="F1845" s="206"/>
      <c r="G1845" s="206"/>
      <c r="H1845" s="206"/>
      <c r="I1845" s="206"/>
    </row>
    <row r="1846" spans="1:9" x14ac:dyDescent="0.35">
      <c r="A1846" s="160">
        <f t="shared" si="44"/>
        <v>0</v>
      </c>
      <c r="B1846" s="160">
        <f t="shared" si="45"/>
        <v>0</v>
      </c>
      <c r="C1846" s="160">
        <f t="shared" si="46"/>
        <v>0</v>
      </c>
      <c r="D1846" s="160">
        <f t="shared" si="47"/>
        <v>1</v>
      </c>
      <c r="E1846" s="206"/>
      <c r="F1846" s="206"/>
      <c r="G1846" s="206"/>
      <c r="H1846" s="206"/>
      <c r="I1846" s="206"/>
    </row>
    <row r="1847" spans="1:9" x14ac:dyDescent="0.35">
      <c r="A1847" s="160">
        <f t="shared" si="44"/>
        <v>0</v>
      </c>
      <c r="B1847" s="160">
        <f t="shared" si="45"/>
        <v>2</v>
      </c>
      <c r="C1847" s="160">
        <f t="shared" si="46"/>
        <v>2</v>
      </c>
      <c r="D1847" s="160">
        <f t="shared" si="47"/>
        <v>0.33333333333333331</v>
      </c>
      <c r="E1847" s="206"/>
      <c r="F1847" s="206"/>
      <c r="G1847" s="206"/>
      <c r="H1847" s="206"/>
      <c r="I1847" s="206"/>
    </row>
    <row r="1848" spans="1:9" x14ac:dyDescent="0.35">
      <c r="A1848" s="160">
        <f t="shared" si="44"/>
        <v>0</v>
      </c>
      <c r="B1848" s="160">
        <f t="shared" si="45"/>
        <v>2</v>
      </c>
      <c r="C1848" s="160">
        <f t="shared" si="46"/>
        <v>2</v>
      </c>
      <c r="D1848" s="160">
        <f t="shared" si="47"/>
        <v>0.33333333333333331</v>
      </c>
      <c r="E1848" s="206"/>
      <c r="F1848" s="206"/>
      <c r="G1848" s="206"/>
      <c r="H1848" s="206"/>
      <c r="I1848" s="206"/>
    </row>
    <row r="1849" spans="1:9" x14ac:dyDescent="0.35">
      <c r="A1849" s="160">
        <f t="shared" si="44"/>
        <v>2</v>
      </c>
      <c r="B1849" s="160">
        <f t="shared" si="45"/>
        <v>0</v>
      </c>
      <c r="C1849" s="160">
        <f t="shared" si="46"/>
        <v>2</v>
      </c>
      <c r="D1849" s="160">
        <f t="shared" si="47"/>
        <v>0.33333333333333331</v>
      </c>
      <c r="E1849" s="206"/>
      <c r="F1849" s="206"/>
      <c r="G1849" s="206"/>
      <c r="H1849" s="206"/>
      <c r="I1849" s="206"/>
    </row>
    <row r="1850" spans="1:9" x14ac:dyDescent="0.35">
      <c r="A1850" s="160">
        <f t="shared" si="44"/>
        <v>1</v>
      </c>
      <c r="B1850" s="160">
        <f t="shared" si="45"/>
        <v>2</v>
      </c>
      <c r="C1850" s="160">
        <f t="shared" si="46"/>
        <v>3</v>
      </c>
      <c r="D1850" s="160">
        <f t="shared" si="47"/>
        <v>0.25</v>
      </c>
      <c r="E1850" s="206"/>
      <c r="F1850" s="206"/>
      <c r="G1850" s="206"/>
      <c r="H1850" s="206"/>
      <c r="I1850" s="206"/>
    </row>
    <row r="1851" spans="1:9" x14ac:dyDescent="0.35">
      <c r="A1851" s="160">
        <f t="shared" si="44"/>
        <v>0</v>
      </c>
      <c r="B1851" s="160">
        <f t="shared" si="45"/>
        <v>2</v>
      </c>
      <c r="C1851" s="160">
        <f t="shared" si="46"/>
        <v>2</v>
      </c>
      <c r="D1851" s="160">
        <f t="shared" si="47"/>
        <v>0.33333333333333331</v>
      </c>
      <c r="E1851" s="206"/>
      <c r="F1851" s="206"/>
      <c r="G1851" s="206"/>
      <c r="H1851" s="206"/>
      <c r="I1851" s="206"/>
    </row>
    <row r="1852" spans="1:9" x14ac:dyDescent="0.35">
      <c r="A1852" s="160">
        <f t="shared" si="44"/>
        <v>0</v>
      </c>
      <c r="B1852" s="160">
        <f t="shared" si="45"/>
        <v>0</v>
      </c>
      <c r="C1852" s="160">
        <f t="shared" si="46"/>
        <v>0</v>
      </c>
      <c r="D1852" s="160">
        <f t="shared" si="47"/>
        <v>1</v>
      </c>
      <c r="E1852" s="206"/>
      <c r="F1852" s="206"/>
      <c r="G1852" s="206"/>
      <c r="H1852" s="206"/>
      <c r="I1852" s="206"/>
    </row>
    <row r="1853" spans="1:9" x14ac:dyDescent="0.35">
      <c r="A1853" s="160">
        <f t="shared" si="44"/>
        <v>0</v>
      </c>
      <c r="B1853" s="160">
        <f t="shared" si="45"/>
        <v>0</v>
      </c>
      <c r="C1853" s="160">
        <f t="shared" si="46"/>
        <v>0</v>
      </c>
      <c r="D1853" s="160">
        <f t="shared" si="47"/>
        <v>1</v>
      </c>
      <c r="E1853" s="206"/>
      <c r="F1853" s="206"/>
      <c r="G1853" s="206"/>
      <c r="H1853" s="206"/>
      <c r="I1853" s="206"/>
    </row>
    <row r="1854" spans="1:9" x14ac:dyDescent="0.35">
      <c r="A1854" s="160">
        <f t="shared" si="44"/>
        <v>0</v>
      </c>
      <c r="B1854" s="160">
        <f t="shared" si="45"/>
        <v>1</v>
      </c>
      <c r="C1854" s="160">
        <f t="shared" si="46"/>
        <v>1</v>
      </c>
      <c r="D1854" s="160">
        <f t="shared" si="47"/>
        <v>0.5</v>
      </c>
      <c r="E1854" s="206"/>
      <c r="F1854" s="206"/>
      <c r="G1854" s="206"/>
      <c r="H1854" s="206"/>
      <c r="I1854" s="206"/>
    </row>
    <row r="1855" spans="1:9" x14ac:dyDescent="0.35">
      <c r="A1855" s="160">
        <f t="shared" si="44"/>
        <v>0</v>
      </c>
      <c r="B1855" s="160">
        <f t="shared" si="45"/>
        <v>1</v>
      </c>
      <c r="C1855" s="160">
        <f t="shared" si="46"/>
        <v>1</v>
      </c>
      <c r="D1855" s="160">
        <f t="shared" si="47"/>
        <v>0.5</v>
      </c>
      <c r="E1855" s="206"/>
      <c r="F1855" s="206"/>
      <c r="G1855" s="206"/>
      <c r="H1855" s="206"/>
      <c r="I1855" s="206"/>
    </row>
    <row r="1856" spans="1:9" x14ac:dyDescent="0.35">
      <c r="A1856" s="160">
        <f t="shared" si="44"/>
        <v>1</v>
      </c>
      <c r="B1856" s="160">
        <f t="shared" si="45"/>
        <v>0</v>
      </c>
      <c r="C1856" s="160">
        <f t="shared" si="46"/>
        <v>1</v>
      </c>
      <c r="D1856" s="160">
        <f t="shared" si="47"/>
        <v>0.5</v>
      </c>
      <c r="E1856" s="206"/>
      <c r="F1856" s="206"/>
      <c r="G1856" s="206"/>
      <c r="H1856" s="206"/>
      <c r="I1856" s="206"/>
    </row>
    <row r="1857" spans="1:9" x14ac:dyDescent="0.35">
      <c r="A1857" s="160">
        <f t="shared" si="44"/>
        <v>0</v>
      </c>
      <c r="B1857" s="160">
        <f t="shared" si="45"/>
        <v>0</v>
      </c>
      <c r="C1857" s="160">
        <f t="shared" si="46"/>
        <v>0</v>
      </c>
      <c r="D1857" s="160">
        <f t="shared" si="47"/>
        <v>1</v>
      </c>
      <c r="E1857" s="206"/>
      <c r="F1857" s="206"/>
      <c r="G1857" s="206"/>
      <c r="H1857" s="206"/>
      <c r="I1857" s="206"/>
    </row>
    <row r="1858" spans="1:9" x14ac:dyDescent="0.35">
      <c r="A1858" s="160">
        <f t="shared" si="44"/>
        <v>0</v>
      </c>
      <c r="B1858" s="160">
        <f t="shared" si="45"/>
        <v>2</v>
      </c>
      <c r="C1858" s="160">
        <f t="shared" si="46"/>
        <v>2</v>
      </c>
      <c r="D1858" s="160">
        <f t="shared" si="47"/>
        <v>0.33333333333333331</v>
      </c>
      <c r="E1858" s="206"/>
      <c r="F1858" s="206"/>
      <c r="G1858" s="206"/>
      <c r="H1858" s="206"/>
      <c r="I1858" s="206"/>
    </row>
    <row r="1859" spans="1:9" x14ac:dyDescent="0.35">
      <c r="A1859" s="160">
        <f t="shared" si="44"/>
        <v>0</v>
      </c>
      <c r="B1859" s="160">
        <f t="shared" si="45"/>
        <v>1</v>
      </c>
      <c r="C1859" s="160">
        <f t="shared" si="46"/>
        <v>1</v>
      </c>
      <c r="D1859" s="160">
        <f t="shared" si="47"/>
        <v>0.5</v>
      </c>
      <c r="E1859" s="206"/>
      <c r="F1859" s="206"/>
      <c r="G1859" s="206"/>
      <c r="H1859" s="206"/>
      <c r="I1859" s="206"/>
    </row>
    <row r="1860" spans="1:9" x14ac:dyDescent="0.35">
      <c r="A1860" s="160">
        <f t="shared" si="44"/>
        <v>1</v>
      </c>
      <c r="B1860" s="160">
        <f t="shared" si="45"/>
        <v>1</v>
      </c>
      <c r="C1860" s="160">
        <f t="shared" si="46"/>
        <v>2</v>
      </c>
      <c r="D1860" s="160">
        <f t="shared" si="47"/>
        <v>0.33333333333333331</v>
      </c>
      <c r="E1860" s="206"/>
      <c r="F1860" s="206"/>
      <c r="G1860" s="206"/>
      <c r="H1860" s="206"/>
      <c r="I1860" s="206"/>
    </row>
    <row r="1861" spans="1:9" x14ac:dyDescent="0.35">
      <c r="A1861" s="160">
        <f t="shared" si="44"/>
        <v>1</v>
      </c>
      <c r="B1861" s="160">
        <f t="shared" si="45"/>
        <v>2</v>
      </c>
      <c r="C1861" s="160">
        <f t="shared" si="46"/>
        <v>3</v>
      </c>
      <c r="D1861" s="160">
        <f t="shared" si="47"/>
        <v>0.25</v>
      </c>
      <c r="E1861" s="206"/>
      <c r="F1861" s="206"/>
      <c r="G1861" s="206"/>
      <c r="H1861" s="206"/>
      <c r="I1861" s="206"/>
    </row>
    <row r="1862" spans="1:9" x14ac:dyDescent="0.35">
      <c r="A1862" s="160">
        <f t="shared" si="44"/>
        <v>0</v>
      </c>
      <c r="B1862" s="160">
        <f t="shared" si="45"/>
        <v>2</v>
      </c>
      <c r="C1862" s="160">
        <f t="shared" si="46"/>
        <v>2</v>
      </c>
      <c r="D1862" s="160">
        <f t="shared" si="47"/>
        <v>0.33333333333333331</v>
      </c>
      <c r="E1862" s="206"/>
      <c r="F1862" s="206"/>
      <c r="G1862" s="206"/>
      <c r="H1862" s="206"/>
      <c r="I1862" s="206"/>
    </row>
    <row r="1863" spans="1:9" x14ac:dyDescent="0.35">
      <c r="A1863" s="160">
        <f t="shared" si="44"/>
        <v>3</v>
      </c>
      <c r="B1863" s="160">
        <f t="shared" si="45"/>
        <v>1</v>
      </c>
      <c r="C1863" s="160">
        <f t="shared" si="46"/>
        <v>4</v>
      </c>
      <c r="D1863" s="160">
        <f t="shared" si="47"/>
        <v>0.2</v>
      </c>
      <c r="E1863" s="206"/>
      <c r="F1863" s="206"/>
      <c r="G1863" s="206"/>
      <c r="H1863" s="206"/>
      <c r="I1863" s="206"/>
    </row>
    <row r="1864" spans="1:9" x14ac:dyDescent="0.35">
      <c r="A1864" s="160">
        <f t="shared" si="44"/>
        <v>0</v>
      </c>
      <c r="B1864" s="160">
        <f t="shared" si="45"/>
        <v>0</v>
      </c>
      <c r="C1864" s="160">
        <f t="shared" si="46"/>
        <v>0</v>
      </c>
      <c r="D1864" s="160">
        <f t="shared" si="47"/>
        <v>1</v>
      </c>
      <c r="E1864" s="206"/>
      <c r="F1864" s="206"/>
      <c r="G1864" s="206"/>
      <c r="H1864" s="206"/>
      <c r="I1864" s="206"/>
    </row>
    <row r="1865" spans="1:9" x14ac:dyDescent="0.35">
      <c r="A1865" s="160">
        <f t="shared" si="44"/>
        <v>1</v>
      </c>
      <c r="B1865" s="160">
        <f t="shared" si="45"/>
        <v>0</v>
      </c>
      <c r="C1865" s="160">
        <f t="shared" si="46"/>
        <v>1</v>
      </c>
      <c r="D1865" s="160">
        <f t="shared" si="47"/>
        <v>0.5</v>
      </c>
      <c r="E1865" s="206"/>
      <c r="F1865" s="206"/>
      <c r="G1865" s="206"/>
      <c r="H1865" s="206"/>
      <c r="I1865" s="206"/>
    </row>
    <row r="1866" spans="1:9" x14ac:dyDescent="0.35">
      <c r="A1866" s="160">
        <f t="shared" si="44"/>
        <v>0</v>
      </c>
      <c r="B1866" s="160">
        <f t="shared" si="45"/>
        <v>0</v>
      </c>
      <c r="C1866" s="160">
        <f t="shared" si="46"/>
        <v>0</v>
      </c>
      <c r="D1866" s="160">
        <f t="shared" si="47"/>
        <v>1</v>
      </c>
      <c r="E1866" s="206"/>
      <c r="F1866" s="206"/>
      <c r="G1866" s="206"/>
      <c r="H1866" s="206"/>
      <c r="I1866" s="206"/>
    </row>
    <row r="1867" spans="1:9" x14ac:dyDescent="0.35">
      <c r="A1867" s="160">
        <f t="shared" si="44"/>
        <v>0</v>
      </c>
      <c r="B1867" s="160">
        <f t="shared" si="45"/>
        <v>2</v>
      </c>
      <c r="C1867" s="160">
        <f t="shared" si="46"/>
        <v>2</v>
      </c>
      <c r="D1867" s="160">
        <f t="shared" si="47"/>
        <v>0.33333333333333331</v>
      </c>
      <c r="E1867" s="206"/>
      <c r="F1867" s="206"/>
      <c r="G1867" s="206"/>
      <c r="H1867" s="206"/>
      <c r="I1867" s="206"/>
    </row>
    <row r="1868" spans="1:9" x14ac:dyDescent="0.35">
      <c r="A1868" s="160">
        <f t="shared" si="44"/>
        <v>2</v>
      </c>
      <c r="B1868" s="160">
        <f t="shared" si="45"/>
        <v>2</v>
      </c>
      <c r="C1868" s="160">
        <f t="shared" si="46"/>
        <v>4</v>
      </c>
      <c r="D1868" s="160">
        <f t="shared" si="47"/>
        <v>0.2</v>
      </c>
      <c r="E1868" s="206"/>
      <c r="F1868" s="206"/>
      <c r="G1868" s="206"/>
      <c r="H1868" s="206"/>
      <c r="I1868" s="206"/>
    </row>
    <row r="1869" spans="1:9" x14ac:dyDescent="0.35">
      <c r="A1869" s="160">
        <f t="shared" si="44"/>
        <v>3</v>
      </c>
      <c r="B1869" s="160">
        <f t="shared" si="45"/>
        <v>2</v>
      </c>
      <c r="C1869" s="160">
        <f t="shared" si="46"/>
        <v>5</v>
      </c>
      <c r="D1869" s="160">
        <f t="shared" si="47"/>
        <v>0.16666666666666666</v>
      </c>
      <c r="E1869" s="206"/>
      <c r="F1869" s="206"/>
      <c r="G1869" s="206"/>
      <c r="H1869" s="206"/>
      <c r="I1869" s="206"/>
    </row>
    <row r="1870" spans="1:9" x14ac:dyDescent="0.35">
      <c r="A1870" s="160">
        <f t="shared" si="44"/>
        <v>0</v>
      </c>
      <c r="B1870" s="160">
        <f t="shared" si="45"/>
        <v>0</v>
      </c>
      <c r="C1870" s="160">
        <f t="shared" si="46"/>
        <v>0</v>
      </c>
      <c r="D1870" s="160">
        <f t="shared" si="47"/>
        <v>1</v>
      </c>
      <c r="E1870" s="206"/>
      <c r="F1870" s="206"/>
      <c r="G1870" s="206"/>
      <c r="H1870" s="206"/>
      <c r="I1870" s="206"/>
    </row>
    <row r="1871" spans="1:9" x14ac:dyDescent="0.35">
      <c r="A1871" s="160">
        <f t="shared" si="44"/>
        <v>0</v>
      </c>
      <c r="B1871" s="160">
        <f t="shared" si="45"/>
        <v>0</v>
      </c>
      <c r="C1871" s="160">
        <f t="shared" si="46"/>
        <v>0</v>
      </c>
      <c r="D1871" s="160">
        <f t="shared" si="47"/>
        <v>1</v>
      </c>
      <c r="E1871" s="206"/>
      <c r="F1871" s="206"/>
      <c r="G1871" s="206"/>
      <c r="H1871" s="206"/>
      <c r="I1871" s="206"/>
    </row>
    <row r="1872" spans="1:9" x14ac:dyDescent="0.35">
      <c r="A1872" s="160">
        <f t="shared" si="44"/>
        <v>0</v>
      </c>
      <c r="B1872" s="160">
        <f t="shared" si="45"/>
        <v>1</v>
      </c>
      <c r="C1872" s="160">
        <f t="shared" si="46"/>
        <v>1</v>
      </c>
      <c r="D1872" s="160">
        <f t="shared" si="47"/>
        <v>0.5</v>
      </c>
      <c r="E1872" s="206"/>
      <c r="F1872" s="206"/>
      <c r="G1872" s="206"/>
      <c r="H1872" s="206"/>
      <c r="I1872" s="206"/>
    </row>
    <row r="1873" spans="1:9" x14ac:dyDescent="0.35">
      <c r="A1873" s="160">
        <f t="shared" si="44"/>
        <v>1</v>
      </c>
      <c r="B1873" s="160">
        <f t="shared" si="45"/>
        <v>0</v>
      </c>
      <c r="C1873" s="160">
        <f t="shared" si="46"/>
        <v>1</v>
      </c>
      <c r="D1873" s="160">
        <f t="shared" si="47"/>
        <v>0.5</v>
      </c>
      <c r="E1873" s="206"/>
      <c r="F1873" s="206"/>
      <c r="G1873" s="206"/>
      <c r="H1873" s="206"/>
      <c r="I1873" s="206"/>
    </row>
    <row r="1874" spans="1:9" x14ac:dyDescent="0.35">
      <c r="A1874" s="160">
        <f t="shared" si="44"/>
        <v>0</v>
      </c>
      <c r="B1874" s="160">
        <f t="shared" si="45"/>
        <v>0</v>
      </c>
      <c r="C1874" s="160">
        <f t="shared" si="46"/>
        <v>0</v>
      </c>
      <c r="D1874" s="160">
        <f t="shared" si="47"/>
        <v>1</v>
      </c>
      <c r="E1874" s="206"/>
      <c r="F1874" s="206"/>
      <c r="G1874" s="206"/>
      <c r="H1874" s="206"/>
      <c r="I1874" s="206"/>
    </row>
    <row r="1875" spans="1:9" x14ac:dyDescent="0.35">
      <c r="A1875" s="160">
        <f t="shared" si="44"/>
        <v>1</v>
      </c>
      <c r="B1875" s="160">
        <f t="shared" si="45"/>
        <v>2</v>
      </c>
      <c r="C1875" s="160">
        <f t="shared" si="46"/>
        <v>3</v>
      </c>
      <c r="D1875" s="160">
        <f t="shared" si="47"/>
        <v>0.25</v>
      </c>
      <c r="E1875" s="206"/>
      <c r="F1875" s="206"/>
      <c r="G1875" s="206"/>
      <c r="H1875" s="206"/>
      <c r="I1875" s="206"/>
    </row>
    <row r="1876" spans="1:9" x14ac:dyDescent="0.35">
      <c r="A1876" s="160">
        <f t="shared" si="44"/>
        <v>1</v>
      </c>
      <c r="B1876" s="160">
        <f t="shared" si="45"/>
        <v>2</v>
      </c>
      <c r="C1876" s="160">
        <f t="shared" si="46"/>
        <v>3</v>
      </c>
      <c r="D1876" s="160">
        <f t="shared" si="47"/>
        <v>0.25</v>
      </c>
      <c r="E1876" s="206"/>
      <c r="F1876" s="206"/>
      <c r="G1876" s="206"/>
      <c r="H1876" s="206"/>
      <c r="I1876" s="206"/>
    </row>
    <row r="1877" spans="1:9" x14ac:dyDescent="0.35">
      <c r="A1877" s="160">
        <f t="shared" si="44"/>
        <v>3</v>
      </c>
      <c r="B1877" s="160">
        <f t="shared" si="45"/>
        <v>1</v>
      </c>
      <c r="C1877" s="160">
        <f t="shared" si="46"/>
        <v>4</v>
      </c>
      <c r="D1877" s="160">
        <f t="shared" si="47"/>
        <v>0.2</v>
      </c>
      <c r="E1877" s="206"/>
      <c r="F1877" s="206"/>
      <c r="G1877" s="206"/>
      <c r="H1877" s="206"/>
      <c r="I1877" s="206"/>
    </row>
    <row r="1878" spans="1:9" x14ac:dyDescent="0.35">
      <c r="A1878" s="160">
        <f t="shared" si="44"/>
        <v>1</v>
      </c>
      <c r="B1878" s="160">
        <f t="shared" si="45"/>
        <v>1</v>
      </c>
      <c r="C1878" s="160">
        <f t="shared" si="46"/>
        <v>2</v>
      </c>
      <c r="D1878" s="160">
        <f t="shared" si="47"/>
        <v>0.33333333333333331</v>
      </c>
      <c r="E1878" s="206"/>
      <c r="F1878" s="206"/>
      <c r="G1878" s="206"/>
      <c r="H1878" s="206"/>
      <c r="I1878" s="206"/>
    </row>
    <row r="1879" spans="1:9" x14ac:dyDescent="0.35">
      <c r="A1879" s="160">
        <f t="shared" si="44"/>
        <v>0</v>
      </c>
      <c r="B1879" s="160">
        <f t="shared" si="45"/>
        <v>0</v>
      </c>
      <c r="C1879" s="160">
        <f t="shared" si="46"/>
        <v>0</v>
      </c>
      <c r="D1879" s="160">
        <f t="shared" si="47"/>
        <v>1</v>
      </c>
      <c r="E1879" s="206"/>
      <c r="F1879" s="206"/>
      <c r="G1879" s="206"/>
      <c r="H1879" s="206"/>
      <c r="I1879" s="206"/>
    </row>
    <row r="1880" spans="1:9" x14ac:dyDescent="0.35">
      <c r="A1880" s="160">
        <f t="shared" si="44"/>
        <v>1</v>
      </c>
      <c r="B1880" s="160">
        <f t="shared" si="45"/>
        <v>1</v>
      </c>
      <c r="C1880" s="160">
        <f t="shared" si="46"/>
        <v>2</v>
      </c>
      <c r="D1880" s="160">
        <f t="shared" si="47"/>
        <v>0.33333333333333331</v>
      </c>
      <c r="E1880" s="206"/>
      <c r="F1880" s="206"/>
      <c r="G1880" s="206"/>
      <c r="H1880" s="206"/>
      <c r="I1880" s="206"/>
    </row>
    <row r="1881" spans="1:9" x14ac:dyDescent="0.35">
      <c r="A1881" s="160">
        <f t="shared" si="44"/>
        <v>1</v>
      </c>
      <c r="B1881" s="160">
        <f t="shared" si="45"/>
        <v>0</v>
      </c>
      <c r="C1881" s="160">
        <f t="shared" si="46"/>
        <v>1</v>
      </c>
      <c r="D1881" s="160">
        <f t="shared" si="47"/>
        <v>0.5</v>
      </c>
      <c r="E1881" s="206"/>
      <c r="F1881" s="206"/>
      <c r="G1881" s="206"/>
      <c r="H1881" s="206"/>
      <c r="I1881" s="206"/>
    </row>
    <row r="1882" spans="1:9" x14ac:dyDescent="0.35">
      <c r="A1882" s="160">
        <f t="shared" si="44"/>
        <v>1</v>
      </c>
      <c r="B1882" s="160">
        <f t="shared" si="45"/>
        <v>0</v>
      </c>
      <c r="C1882" s="160">
        <f t="shared" si="46"/>
        <v>1</v>
      </c>
      <c r="D1882" s="160">
        <f t="shared" si="47"/>
        <v>0.5</v>
      </c>
      <c r="E1882" s="206"/>
      <c r="F1882" s="206"/>
      <c r="G1882" s="206"/>
      <c r="H1882" s="206"/>
      <c r="I1882" s="206"/>
    </row>
    <row r="1883" spans="1:9" x14ac:dyDescent="0.35">
      <c r="A1883" s="160">
        <f t="shared" si="44"/>
        <v>1</v>
      </c>
      <c r="B1883" s="160">
        <f t="shared" si="45"/>
        <v>1</v>
      </c>
      <c r="C1883" s="160">
        <f t="shared" si="46"/>
        <v>2</v>
      </c>
      <c r="D1883" s="160">
        <f t="shared" si="47"/>
        <v>0.33333333333333331</v>
      </c>
      <c r="E1883" s="206"/>
      <c r="F1883" s="206"/>
      <c r="G1883" s="206"/>
      <c r="H1883" s="206"/>
      <c r="I1883" s="206"/>
    </row>
    <row r="1884" spans="1:9" x14ac:dyDescent="0.35">
      <c r="A1884" s="160">
        <f t="shared" si="44"/>
        <v>0</v>
      </c>
      <c r="B1884" s="160">
        <f t="shared" si="45"/>
        <v>1</v>
      </c>
      <c r="C1884" s="160">
        <f t="shared" si="46"/>
        <v>1</v>
      </c>
      <c r="D1884" s="160">
        <f t="shared" si="47"/>
        <v>0.5</v>
      </c>
      <c r="E1884" s="206"/>
      <c r="F1884" s="206"/>
      <c r="G1884" s="206"/>
      <c r="H1884" s="206"/>
      <c r="I1884" s="206"/>
    </row>
    <row r="1885" spans="1:9" x14ac:dyDescent="0.35">
      <c r="A1885" s="160">
        <f t="shared" si="44"/>
        <v>0</v>
      </c>
      <c r="B1885" s="160">
        <f t="shared" si="45"/>
        <v>0</v>
      </c>
      <c r="C1885" s="160">
        <f t="shared" si="46"/>
        <v>0</v>
      </c>
      <c r="D1885" s="160">
        <f t="shared" si="47"/>
        <v>1</v>
      </c>
      <c r="E1885" s="206"/>
      <c r="F1885" s="206"/>
      <c r="G1885" s="206"/>
      <c r="H1885" s="206"/>
      <c r="I1885" s="206"/>
    </row>
    <row r="1886" spans="1:9" x14ac:dyDescent="0.35">
      <c r="A1886" s="160">
        <f t="shared" si="44"/>
        <v>1</v>
      </c>
      <c r="B1886" s="160">
        <f t="shared" si="45"/>
        <v>0</v>
      </c>
      <c r="C1886" s="160">
        <f t="shared" si="46"/>
        <v>1</v>
      </c>
      <c r="D1886" s="160">
        <f t="shared" si="47"/>
        <v>0.5</v>
      </c>
      <c r="E1886" s="206"/>
      <c r="F1886" s="206"/>
      <c r="G1886" s="206"/>
      <c r="H1886" s="206"/>
      <c r="I1886" s="206"/>
    </row>
    <row r="1887" spans="1:9" x14ac:dyDescent="0.35">
      <c r="A1887" s="160">
        <f t="shared" si="44"/>
        <v>0</v>
      </c>
      <c r="B1887" s="160">
        <f t="shared" si="45"/>
        <v>0</v>
      </c>
      <c r="C1887" s="160">
        <f t="shared" si="46"/>
        <v>0</v>
      </c>
      <c r="D1887" s="160">
        <f t="shared" si="47"/>
        <v>1</v>
      </c>
      <c r="E1887" s="206"/>
      <c r="F1887" s="206"/>
      <c r="G1887" s="206"/>
      <c r="H1887" s="206"/>
      <c r="I1887" s="206"/>
    </row>
    <row r="1888" spans="1:9" x14ac:dyDescent="0.35">
      <c r="A1888" s="160">
        <f t="shared" si="44"/>
        <v>5</v>
      </c>
      <c r="B1888" s="160">
        <f t="shared" si="45"/>
        <v>0</v>
      </c>
      <c r="C1888" s="160">
        <f t="shared" si="46"/>
        <v>5</v>
      </c>
      <c r="D1888" s="160">
        <f t="shared" si="47"/>
        <v>0.16666666666666666</v>
      </c>
      <c r="E1888" s="206"/>
      <c r="F1888" s="206"/>
      <c r="G1888" s="206"/>
      <c r="H1888" s="206"/>
      <c r="I1888" s="206"/>
    </row>
    <row r="1889" spans="1:9" x14ac:dyDescent="0.35">
      <c r="A1889" s="160">
        <f t="shared" si="44"/>
        <v>0</v>
      </c>
      <c r="B1889" s="160">
        <f t="shared" si="45"/>
        <v>0</v>
      </c>
      <c r="C1889" s="160">
        <f t="shared" si="46"/>
        <v>0</v>
      </c>
      <c r="D1889" s="160">
        <f t="shared" si="47"/>
        <v>1</v>
      </c>
      <c r="E1889" s="206"/>
      <c r="F1889" s="206"/>
      <c r="G1889" s="206"/>
      <c r="H1889" s="206"/>
      <c r="I1889" s="206"/>
    </row>
    <row r="1890" spans="1:9" x14ac:dyDescent="0.35">
      <c r="A1890" s="160">
        <f t="shared" si="44"/>
        <v>1</v>
      </c>
      <c r="B1890" s="160">
        <f t="shared" si="45"/>
        <v>1</v>
      </c>
      <c r="C1890" s="160">
        <f t="shared" si="46"/>
        <v>2</v>
      </c>
      <c r="D1890" s="160">
        <f t="shared" si="47"/>
        <v>0.33333333333333331</v>
      </c>
      <c r="E1890" s="206"/>
      <c r="F1890" s="206"/>
      <c r="G1890" s="206"/>
      <c r="H1890" s="206"/>
      <c r="I1890" s="206"/>
    </row>
    <row r="1891" spans="1:9" x14ac:dyDescent="0.35">
      <c r="A1891" s="160">
        <f t="shared" ref="A1891:A1954" si="48">SUMPRODUCT(($R$4:$R$1115=R773)*($Q$4:$Q$1115=Q773)*(ROW($R$4:$R$1115)&gt;ROW(R773)))</f>
        <v>3</v>
      </c>
      <c r="B1891" s="160">
        <f t="shared" ref="B1891:B1954" si="49">SUMPRODUCT(($K$4:$K$1115=K773)*($Q$4:$Q$1115=Q773)*(ROW($K$4:$K$1115)&gt;ROW(K773)))</f>
        <v>1</v>
      </c>
      <c r="C1891" s="160">
        <f t="shared" ref="C1891:C1954" si="50">SUM(A1891:B1891)</f>
        <v>4</v>
      </c>
      <c r="D1891" s="160">
        <f t="shared" ref="D1891:D1954" si="51">1/(1+C1891)</f>
        <v>0.2</v>
      </c>
      <c r="E1891" s="206"/>
      <c r="F1891" s="206"/>
      <c r="G1891" s="206"/>
      <c r="H1891" s="206"/>
      <c r="I1891" s="206"/>
    </row>
    <row r="1892" spans="1:9" x14ac:dyDescent="0.35">
      <c r="A1892" s="160">
        <f t="shared" si="48"/>
        <v>0</v>
      </c>
      <c r="B1892" s="160">
        <f t="shared" si="49"/>
        <v>1</v>
      </c>
      <c r="C1892" s="160">
        <f t="shared" si="50"/>
        <v>1</v>
      </c>
      <c r="D1892" s="160">
        <f t="shared" si="51"/>
        <v>0.5</v>
      </c>
      <c r="E1892" s="206"/>
      <c r="F1892" s="206"/>
      <c r="G1892" s="206"/>
      <c r="H1892" s="206"/>
      <c r="I1892" s="206"/>
    </row>
    <row r="1893" spans="1:9" x14ac:dyDescent="0.35">
      <c r="A1893" s="160">
        <f t="shared" si="48"/>
        <v>2</v>
      </c>
      <c r="B1893" s="160">
        <f t="shared" si="49"/>
        <v>0</v>
      </c>
      <c r="C1893" s="160">
        <f t="shared" si="50"/>
        <v>2</v>
      </c>
      <c r="D1893" s="160">
        <f t="shared" si="51"/>
        <v>0.33333333333333331</v>
      </c>
      <c r="E1893" s="206"/>
      <c r="F1893" s="206"/>
      <c r="G1893" s="206"/>
      <c r="H1893" s="206"/>
      <c r="I1893" s="206"/>
    </row>
    <row r="1894" spans="1:9" x14ac:dyDescent="0.35">
      <c r="A1894" s="160">
        <f t="shared" si="48"/>
        <v>1</v>
      </c>
      <c r="B1894" s="160">
        <f t="shared" si="49"/>
        <v>0</v>
      </c>
      <c r="C1894" s="160">
        <f t="shared" si="50"/>
        <v>1</v>
      </c>
      <c r="D1894" s="160">
        <f t="shared" si="51"/>
        <v>0.5</v>
      </c>
      <c r="E1894" s="206"/>
      <c r="F1894" s="206"/>
      <c r="G1894" s="206"/>
      <c r="H1894" s="206"/>
      <c r="I1894" s="206"/>
    </row>
    <row r="1895" spans="1:9" x14ac:dyDescent="0.35">
      <c r="A1895" s="160">
        <f t="shared" si="48"/>
        <v>1</v>
      </c>
      <c r="B1895" s="160">
        <f t="shared" si="49"/>
        <v>0</v>
      </c>
      <c r="C1895" s="160">
        <f t="shared" si="50"/>
        <v>1</v>
      </c>
      <c r="D1895" s="160">
        <f t="shared" si="51"/>
        <v>0.5</v>
      </c>
      <c r="E1895" s="206"/>
      <c r="F1895" s="206"/>
      <c r="G1895" s="206"/>
      <c r="H1895" s="206"/>
      <c r="I1895" s="206"/>
    </row>
    <row r="1896" spans="1:9" x14ac:dyDescent="0.35">
      <c r="A1896" s="160">
        <f t="shared" si="48"/>
        <v>0</v>
      </c>
      <c r="B1896" s="160">
        <f t="shared" si="49"/>
        <v>0</v>
      </c>
      <c r="C1896" s="160">
        <f t="shared" si="50"/>
        <v>0</v>
      </c>
      <c r="D1896" s="160">
        <f t="shared" si="51"/>
        <v>1</v>
      </c>
      <c r="E1896" s="206"/>
      <c r="F1896" s="206"/>
      <c r="G1896" s="206"/>
      <c r="H1896" s="206"/>
      <c r="I1896" s="206"/>
    </row>
    <row r="1897" spans="1:9" x14ac:dyDescent="0.35">
      <c r="A1897" s="160">
        <f t="shared" si="48"/>
        <v>0</v>
      </c>
      <c r="B1897" s="160">
        <f t="shared" si="49"/>
        <v>0</v>
      </c>
      <c r="C1897" s="160">
        <f t="shared" si="50"/>
        <v>0</v>
      </c>
      <c r="D1897" s="160">
        <f t="shared" si="51"/>
        <v>1</v>
      </c>
      <c r="E1897" s="206"/>
      <c r="F1897" s="206"/>
      <c r="G1897" s="206"/>
      <c r="H1897" s="206"/>
      <c r="I1897" s="206"/>
    </row>
    <row r="1898" spans="1:9" x14ac:dyDescent="0.35">
      <c r="A1898" s="160">
        <f t="shared" si="48"/>
        <v>0</v>
      </c>
      <c r="B1898" s="160">
        <f t="shared" si="49"/>
        <v>0</v>
      </c>
      <c r="C1898" s="160">
        <f t="shared" si="50"/>
        <v>0</v>
      </c>
      <c r="D1898" s="160">
        <f t="shared" si="51"/>
        <v>1</v>
      </c>
      <c r="E1898" s="206"/>
      <c r="F1898" s="206"/>
      <c r="G1898" s="206"/>
      <c r="H1898" s="206"/>
      <c r="I1898" s="206"/>
    </row>
    <row r="1899" spans="1:9" x14ac:dyDescent="0.35">
      <c r="A1899" s="160">
        <f t="shared" si="48"/>
        <v>0</v>
      </c>
      <c r="B1899" s="160">
        <f t="shared" si="49"/>
        <v>0</v>
      </c>
      <c r="C1899" s="160">
        <f t="shared" si="50"/>
        <v>0</v>
      </c>
      <c r="D1899" s="160">
        <f t="shared" si="51"/>
        <v>1</v>
      </c>
      <c r="E1899" s="206"/>
      <c r="F1899" s="206"/>
      <c r="G1899" s="206"/>
      <c r="H1899" s="206"/>
      <c r="I1899" s="206"/>
    </row>
    <row r="1900" spans="1:9" x14ac:dyDescent="0.35">
      <c r="A1900" s="160">
        <f t="shared" si="48"/>
        <v>0</v>
      </c>
      <c r="B1900" s="160">
        <f t="shared" si="49"/>
        <v>1</v>
      </c>
      <c r="C1900" s="160">
        <f t="shared" si="50"/>
        <v>1</v>
      </c>
      <c r="D1900" s="160">
        <f t="shared" si="51"/>
        <v>0.5</v>
      </c>
      <c r="E1900" s="206"/>
      <c r="F1900" s="206"/>
      <c r="G1900" s="206"/>
      <c r="H1900" s="206"/>
      <c r="I1900" s="206"/>
    </row>
    <row r="1901" spans="1:9" x14ac:dyDescent="0.35">
      <c r="A1901" s="160">
        <f t="shared" si="48"/>
        <v>0</v>
      </c>
      <c r="B1901" s="160">
        <f t="shared" si="49"/>
        <v>2</v>
      </c>
      <c r="C1901" s="160">
        <f t="shared" si="50"/>
        <v>2</v>
      </c>
      <c r="D1901" s="160">
        <f t="shared" si="51"/>
        <v>0.33333333333333331</v>
      </c>
      <c r="E1901" s="206"/>
      <c r="F1901" s="206"/>
      <c r="G1901" s="206"/>
      <c r="H1901" s="206"/>
      <c r="I1901" s="206"/>
    </row>
    <row r="1902" spans="1:9" x14ac:dyDescent="0.35">
      <c r="A1902" s="160">
        <f t="shared" si="48"/>
        <v>0</v>
      </c>
      <c r="B1902" s="160">
        <f t="shared" si="49"/>
        <v>0</v>
      </c>
      <c r="C1902" s="160">
        <f t="shared" si="50"/>
        <v>0</v>
      </c>
      <c r="D1902" s="160">
        <f t="shared" si="51"/>
        <v>1</v>
      </c>
      <c r="E1902" s="206"/>
      <c r="F1902" s="206"/>
      <c r="G1902" s="206"/>
      <c r="H1902" s="206"/>
      <c r="I1902" s="206"/>
    </row>
    <row r="1903" spans="1:9" x14ac:dyDescent="0.35">
      <c r="A1903" s="160">
        <f t="shared" si="48"/>
        <v>0</v>
      </c>
      <c r="B1903" s="160">
        <f t="shared" si="49"/>
        <v>2</v>
      </c>
      <c r="C1903" s="160">
        <f t="shared" si="50"/>
        <v>2</v>
      </c>
      <c r="D1903" s="160">
        <f t="shared" si="51"/>
        <v>0.33333333333333331</v>
      </c>
      <c r="E1903" s="206"/>
      <c r="F1903" s="206"/>
      <c r="G1903" s="206"/>
      <c r="H1903" s="206"/>
      <c r="I1903" s="206"/>
    </row>
    <row r="1904" spans="1:9" x14ac:dyDescent="0.35">
      <c r="A1904" s="160">
        <f t="shared" si="48"/>
        <v>1</v>
      </c>
      <c r="B1904" s="160">
        <f t="shared" si="49"/>
        <v>1</v>
      </c>
      <c r="C1904" s="160">
        <f t="shared" si="50"/>
        <v>2</v>
      </c>
      <c r="D1904" s="160">
        <f t="shared" si="51"/>
        <v>0.33333333333333331</v>
      </c>
      <c r="E1904" s="206"/>
      <c r="F1904" s="206"/>
      <c r="G1904" s="206"/>
      <c r="H1904" s="206"/>
      <c r="I1904" s="206"/>
    </row>
    <row r="1905" spans="1:9" x14ac:dyDescent="0.35">
      <c r="A1905" s="160">
        <f t="shared" si="48"/>
        <v>0</v>
      </c>
      <c r="B1905" s="160">
        <f t="shared" si="49"/>
        <v>1</v>
      </c>
      <c r="C1905" s="160">
        <f t="shared" si="50"/>
        <v>1</v>
      </c>
      <c r="D1905" s="160">
        <f t="shared" si="51"/>
        <v>0.5</v>
      </c>
      <c r="E1905" s="206"/>
      <c r="F1905" s="206"/>
      <c r="G1905" s="206"/>
      <c r="H1905" s="206"/>
      <c r="I1905" s="206"/>
    </row>
    <row r="1906" spans="1:9" x14ac:dyDescent="0.35">
      <c r="A1906" s="160">
        <f t="shared" si="48"/>
        <v>4</v>
      </c>
      <c r="B1906" s="160">
        <f t="shared" si="49"/>
        <v>0</v>
      </c>
      <c r="C1906" s="160">
        <f t="shared" si="50"/>
        <v>4</v>
      </c>
      <c r="D1906" s="160">
        <f t="shared" si="51"/>
        <v>0.2</v>
      </c>
      <c r="E1906" s="206"/>
      <c r="F1906" s="206"/>
      <c r="G1906" s="206"/>
      <c r="H1906" s="206"/>
      <c r="I1906" s="206"/>
    </row>
    <row r="1907" spans="1:9" x14ac:dyDescent="0.35">
      <c r="A1907" s="160">
        <f t="shared" si="48"/>
        <v>0</v>
      </c>
      <c r="B1907" s="160">
        <f t="shared" si="49"/>
        <v>0</v>
      </c>
      <c r="C1907" s="160">
        <f t="shared" si="50"/>
        <v>0</v>
      </c>
      <c r="D1907" s="160">
        <f t="shared" si="51"/>
        <v>1</v>
      </c>
      <c r="E1907" s="206"/>
      <c r="F1907" s="206"/>
      <c r="G1907" s="206"/>
      <c r="H1907" s="206"/>
      <c r="I1907" s="206"/>
    </row>
    <row r="1908" spans="1:9" x14ac:dyDescent="0.35">
      <c r="A1908" s="160">
        <f t="shared" si="48"/>
        <v>3</v>
      </c>
      <c r="B1908" s="160">
        <f t="shared" si="49"/>
        <v>0</v>
      </c>
      <c r="C1908" s="160">
        <f t="shared" si="50"/>
        <v>3</v>
      </c>
      <c r="D1908" s="160">
        <f t="shared" si="51"/>
        <v>0.25</v>
      </c>
      <c r="E1908" s="206"/>
      <c r="F1908" s="206"/>
      <c r="G1908" s="206"/>
      <c r="H1908" s="206"/>
      <c r="I1908" s="206"/>
    </row>
    <row r="1909" spans="1:9" x14ac:dyDescent="0.35">
      <c r="A1909" s="160">
        <f t="shared" si="48"/>
        <v>1</v>
      </c>
      <c r="B1909" s="160">
        <f t="shared" si="49"/>
        <v>0</v>
      </c>
      <c r="C1909" s="160">
        <f t="shared" si="50"/>
        <v>1</v>
      </c>
      <c r="D1909" s="160">
        <f t="shared" si="51"/>
        <v>0.5</v>
      </c>
      <c r="E1909" s="206"/>
      <c r="F1909" s="206"/>
      <c r="G1909" s="206"/>
      <c r="H1909" s="206"/>
      <c r="I1909" s="206"/>
    </row>
    <row r="1910" spans="1:9" x14ac:dyDescent="0.35">
      <c r="A1910" s="160">
        <f t="shared" si="48"/>
        <v>0</v>
      </c>
      <c r="B1910" s="160">
        <f t="shared" si="49"/>
        <v>0</v>
      </c>
      <c r="C1910" s="160">
        <f t="shared" si="50"/>
        <v>0</v>
      </c>
      <c r="D1910" s="160">
        <f t="shared" si="51"/>
        <v>1</v>
      </c>
      <c r="E1910" s="206"/>
      <c r="F1910" s="206"/>
      <c r="G1910" s="206"/>
      <c r="H1910" s="206"/>
      <c r="I1910" s="206"/>
    </row>
    <row r="1911" spans="1:9" x14ac:dyDescent="0.35">
      <c r="A1911" s="160">
        <f t="shared" si="48"/>
        <v>3</v>
      </c>
      <c r="B1911" s="160">
        <f t="shared" si="49"/>
        <v>0</v>
      </c>
      <c r="C1911" s="160">
        <f t="shared" si="50"/>
        <v>3</v>
      </c>
      <c r="D1911" s="160">
        <f t="shared" si="51"/>
        <v>0.25</v>
      </c>
      <c r="E1911" s="206"/>
      <c r="F1911" s="206"/>
      <c r="G1911" s="206"/>
      <c r="H1911" s="206"/>
      <c r="I1911" s="206"/>
    </row>
    <row r="1912" spans="1:9" x14ac:dyDescent="0.35">
      <c r="A1912" s="160">
        <f t="shared" si="48"/>
        <v>2</v>
      </c>
      <c r="B1912" s="160">
        <f t="shared" si="49"/>
        <v>1</v>
      </c>
      <c r="C1912" s="160">
        <f t="shared" si="50"/>
        <v>3</v>
      </c>
      <c r="D1912" s="160">
        <f t="shared" si="51"/>
        <v>0.25</v>
      </c>
      <c r="E1912" s="206"/>
      <c r="F1912" s="206"/>
      <c r="G1912" s="206"/>
      <c r="H1912" s="206"/>
      <c r="I1912" s="206"/>
    </row>
    <row r="1913" spans="1:9" x14ac:dyDescent="0.35">
      <c r="A1913" s="160">
        <f t="shared" si="48"/>
        <v>1</v>
      </c>
      <c r="B1913" s="160">
        <f t="shared" si="49"/>
        <v>0</v>
      </c>
      <c r="C1913" s="160">
        <f t="shared" si="50"/>
        <v>1</v>
      </c>
      <c r="D1913" s="160">
        <f t="shared" si="51"/>
        <v>0.5</v>
      </c>
      <c r="E1913" s="206"/>
      <c r="F1913" s="206"/>
      <c r="G1913" s="206"/>
      <c r="H1913" s="206"/>
      <c r="I1913" s="206"/>
    </row>
    <row r="1914" spans="1:9" x14ac:dyDescent="0.35">
      <c r="A1914" s="160">
        <f t="shared" si="48"/>
        <v>0</v>
      </c>
      <c r="B1914" s="160">
        <f t="shared" si="49"/>
        <v>0</v>
      </c>
      <c r="C1914" s="160">
        <f t="shared" si="50"/>
        <v>0</v>
      </c>
      <c r="D1914" s="160">
        <f t="shared" si="51"/>
        <v>1</v>
      </c>
      <c r="E1914" s="206"/>
      <c r="F1914" s="206"/>
      <c r="G1914" s="206"/>
      <c r="H1914" s="206"/>
      <c r="I1914" s="206"/>
    </row>
    <row r="1915" spans="1:9" x14ac:dyDescent="0.35">
      <c r="A1915" s="160">
        <f t="shared" si="48"/>
        <v>1</v>
      </c>
      <c r="B1915" s="160">
        <f t="shared" si="49"/>
        <v>1</v>
      </c>
      <c r="C1915" s="160">
        <f t="shared" si="50"/>
        <v>2</v>
      </c>
      <c r="D1915" s="160">
        <f t="shared" si="51"/>
        <v>0.33333333333333331</v>
      </c>
      <c r="E1915" s="206"/>
      <c r="F1915" s="206"/>
      <c r="G1915" s="206"/>
      <c r="H1915" s="206"/>
      <c r="I1915" s="206"/>
    </row>
    <row r="1916" spans="1:9" x14ac:dyDescent="0.35">
      <c r="A1916" s="160">
        <f t="shared" si="48"/>
        <v>1</v>
      </c>
      <c r="B1916" s="160">
        <f t="shared" si="49"/>
        <v>1</v>
      </c>
      <c r="C1916" s="160">
        <f t="shared" si="50"/>
        <v>2</v>
      </c>
      <c r="D1916" s="160">
        <f t="shared" si="51"/>
        <v>0.33333333333333331</v>
      </c>
      <c r="E1916" s="206"/>
      <c r="F1916" s="206"/>
      <c r="G1916" s="206"/>
      <c r="H1916" s="206"/>
      <c r="I1916" s="206"/>
    </row>
    <row r="1917" spans="1:9" x14ac:dyDescent="0.35">
      <c r="A1917" s="160">
        <f t="shared" si="48"/>
        <v>0</v>
      </c>
      <c r="B1917" s="160">
        <f t="shared" si="49"/>
        <v>0</v>
      </c>
      <c r="C1917" s="160">
        <f t="shared" si="50"/>
        <v>0</v>
      </c>
      <c r="D1917" s="160">
        <f t="shared" si="51"/>
        <v>1</v>
      </c>
      <c r="E1917" s="206"/>
      <c r="F1917" s="206"/>
      <c r="G1917" s="206"/>
      <c r="H1917" s="206"/>
      <c r="I1917" s="206"/>
    </row>
    <row r="1918" spans="1:9" x14ac:dyDescent="0.35">
      <c r="A1918" s="160">
        <f t="shared" si="48"/>
        <v>0</v>
      </c>
      <c r="B1918" s="160">
        <f t="shared" si="49"/>
        <v>0</v>
      </c>
      <c r="C1918" s="160">
        <f t="shared" si="50"/>
        <v>0</v>
      </c>
      <c r="D1918" s="160">
        <f t="shared" si="51"/>
        <v>1</v>
      </c>
      <c r="E1918" s="206"/>
      <c r="F1918" s="206"/>
      <c r="G1918" s="206"/>
      <c r="H1918" s="206"/>
      <c r="I1918" s="206"/>
    </row>
    <row r="1919" spans="1:9" x14ac:dyDescent="0.35">
      <c r="A1919" s="160">
        <f t="shared" si="48"/>
        <v>1</v>
      </c>
      <c r="B1919" s="160">
        <f t="shared" si="49"/>
        <v>1</v>
      </c>
      <c r="C1919" s="160">
        <f t="shared" si="50"/>
        <v>2</v>
      </c>
      <c r="D1919" s="160">
        <f t="shared" si="51"/>
        <v>0.33333333333333331</v>
      </c>
      <c r="E1919" s="206"/>
      <c r="F1919" s="206"/>
      <c r="G1919" s="206"/>
      <c r="H1919" s="206"/>
      <c r="I1919" s="206"/>
    </row>
    <row r="1920" spans="1:9" x14ac:dyDescent="0.35">
      <c r="A1920" s="160">
        <f t="shared" si="48"/>
        <v>1</v>
      </c>
      <c r="B1920" s="160">
        <f t="shared" si="49"/>
        <v>0</v>
      </c>
      <c r="C1920" s="160">
        <f t="shared" si="50"/>
        <v>1</v>
      </c>
      <c r="D1920" s="160">
        <f t="shared" si="51"/>
        <v>0.5</v>
      </c>
      <c r="E1920" s="206"/>
      <c r="F1920" s="206"/>
      <c r="G1920" s="206"/>
      <c r="H1920" s="206"/>
      <c r="I1920" s="206"/>
    </row>
    <row r="1921" spans="1:9" x14ac:dyDescent="0.35">
      <c r="A1921" s="160">
        <f t="shared" si="48"/>
        <v>1</v>
      </c>
      <c r="B1921" s="160">
        <f t="shared" si="49"/>
        <v>0</v>
      </c>
      <c r="C1921" s="160">
        <f t="shared" si="50"/>
        <v>1</v>
      </c>
      <c r="D1921" s="160">
        <f t="shared" si="51"/>
        <v>0.5</v>
      </c>
      <c r="E1921" s="206"/>
      <c r="F1921" s="206"/>
      <c r="G1921" s="206"/>
      <c r="H1921" s="206"/>
      <c r="I1921" s="206"/>
    </row>
    <row r="1922" spans="1:9" x14ac:dyDescent="0.35">
      <c r="A1922" s="160">
        <f t="shared" si="48"/>
        <v>3</v>
      </c>
      <c r="B1922" s="160">
        <f t="shared" si="49"/>
        <v>2</v>
      </c>
      <c r="C1922" s="160">
        <f t="shared" si="50"/>
        <v>5</v>
      </c>
      <c r="D1922" s="160">
        <f t="shared" si="51"/>
        <v>0.16666666666666666</v>
      </c>
      <c r="E1922" s="206"/>
      <c r="F1922" s="206"/>
      <c r="G1922" s="206"/>
      <c r="H1922" s="206"/>
      <c r="I1922" s="206"/>
    </row>
    <row r="1923" spans="1:9" x14ac:dyDescent="0.35">
      <c r="A1923" s="160">
        <f t="shared" si="48"/>
        <v>1</v>
      </c>
      <c r="B1923" s="160">
        <f t="shared" si="49"/>
        <v>0</v>
      </c>
      <c r="C1923" s="160">
        <f t="shared" si="50"/>
        <v>1</v>
      </c>
      <c r="D1923" s="160">
        <f t="shared" si="51"/>
        <v>0.5</v>
      </c>
      <c r="E1923" s="206"/>
      <c r="F1923" s="206"/>
      <c r="G1923" s="206"/>
      <c r="H1923" s="206"/>
      <c r="I1923" s="206"/>
    </row>
    <row r="1924" spans="1:9" x14ac:dyDescent="0.35">
      <c r="A1924" s="160">
        <f t="shared" si="48"/>
        <v>1</v>
      </c>
      <c r="B1924" s="160">
        <f t="shared" si="49"/>
        <v>1</v>
      </c>
      <c r="C1924" s="160">
        <f t="shared" si="50"/>
        <v>2</v>
      </c>
      <c r="D1924" s="160">
        <f t="shared" si="51"/>
        <v>0.33333333333333331</v>
      </c>
      <c r="E1924" s="206"/>
      <c r="F1924" s="206"/>
      <c r="G1924" s="206"/>
      <c r="H1924" s="206"/>
      <c r="I1924" s="206"/>
    </row>
    <row r="1925" spans="1:9" x14ac:dyDescent="0.35">
      <c r="A1925" s="160">
        <f t="shared" si="48"/>
        <v>0</v>
      </c>
      <c r="B1925" s="160">
        <f t="shared" si="49"/>
        <v>0</v>
      </c>
      <c r="C1925" s="160">
        <f t="shared" si="50"/>
        <v>0</v>
      </c>
      <c r="D1925" s="160">
        <f t="shared" si="51"/>
        <v>1</v>
      </c>
      <c r="E1925" s="206"/>
      <c r="F1925" s="206"/>
      <c r="G1925" s="206"/>
      <c r="H1925" s="206"/>
      <c r="I1925" s="206"/>
    </row>
    <row r="1926" spans="1:9" x14ac:dyDescent="0.35">
      <c r="A1926" s="160">
        <f t="shared" si="48"/>
        <v>1</v>
      </c>
      <c r="B1926" s="160">
        <f t="shared" si="49"/>
        <v>0</v>
      </c>
      <c r="C1926" s="160">
        <f t="shared" si="50"/>
        <v>1</v>
      </c>
      <c r="D1926" s="160">
        <f t="shared" si="51"/>
        <v>0.5</v>
      </c>
      <c r="E1926" s="206"/>
      <c r="F1926" s="206"/>
      <c r="G1926" s="206"/>
      <c r="H1926" s="206"/>
      <c r="I1926" s="206"/>
    </row>
    <row r="1927" spans="1:9" x14ac:dyDescent="0.35">
      <c r="A1927" s="160">
        <f t="shared" si="48"/>
        <v>0</v>
      </c>
      <c r="B1927" s="160">
        <f t="shared" si="49"/>
        <v>1</v>
      </c>
      <c r="C1927" s="160">
        <f t="shared" si="50"/>
        <v>1</v>
      </c>
      <c r="D1927" s="160">
        <f t="shared" si="51"/>
        <v>0.5</v>
      </c>
      <c r="E1927" s="206"/>
      <c r="F1927" s="206"/>
      <c r="G1927" s="206"/>
      <c r="H1927" s="206"/>
      <c r="I1927" s="206"/>
    </row>
    <row r="1928" spans="1:9" x14ac:dyDescent="0.35">
      <c r="A1928" s="160">
        <f t="shared" si="48"/>
        <v>0</v>
      </c>
      <c r="B1928" s="160">
        <f t="shared" si="49"/>
        <v>1</v>
      </c>
      <c r="C1928" s="160">
        <f t="shared" si="50"/>
        <v>1</v>
      </c>
      <c r="D1928" s="160">
        <f t="shared" si="51"/>
        <v>0.5</v>
      </c>
      <c r="E1928" s="206"/>
      <c r="F1928" s="206"/>
      <c r="G1928" s="206"/>
      <c r="H1928" s="206"/>
      <c r="I1928" s="206"/>
    </row>
    <row r="1929" spans="1:9" x14ac:dyDescent="0.35">
      <c r="A1929" s="160">
        <f t="shared" si="48"/>
        <v>2</v>
      </c>
      <c r="B1929" s="160">
        <f t="shared" si="49"/>
        <v>0</v>
      </c>
      <c r="C1929" s="160">
        <f t="shared" si="50"/>
        <v>2</v>
      </c>
      <c r="D1929" s="160">
        <f t="shared" si="51"/>
        <v>0.33333333333333331</v>
      </c>
      <c r="E1929" s="206"/>
      <c r="F1929" s="206"/>
      <c r="G1929" s="206"/>
      <c r="H1929" s="206"/>
      <c r="I1929" s="206"/>
    </row>
    <row r="1930" spans="1:9" x14ac:dyDescent="0.35">
      <c r="A1930" s="160">
        <f t="shared" si="48"/>
        <v>0</v>
      </c>
      <c r="B1930" s="160">
        <f t="shared" si="49"/>
        <v>2</v>
      </c>
      <c r="C1930" s="160">
        <f t="shared" si="50"/>
        <v>2</v>
      </c>
      <c r="D1930" s="160">
        <f t="shared" si="51"/>
        <v>0.33333333333333331</v>
      </c>
      <c r="E1930" s="206"/>
      <c r="F1930" s="206"/>
      <c r="G1930" s="206"/>
      <c r="H1930" s="206"/>
      <c r="I1930" s="206"/>
    </row>
    <row r="1931" spans="1:9" x14ac:dyDescent="0.35">
      <c r="A1931" s="160">
        <f t="shared" si="48"/>
        <v>0</v>
      </c>
      <c r="B1931" s="160">
        <f t="shared" si="49"/>
        <v>0</v>
      </c>
      <c r="C1931" s="160">
        <f t="shared" si="50"/>
        <v>0</v>
      </c>
      <c r="D1931" s="160">
        <f t="shared" si="51"/>
        <v>1</v>
      </c>
      <c r="E1931" s="206"/>
      <c r="F1931" s="206"/>
      <c r="G1931" s="206"/>
      <c r="H1931" s="206"/>
      <c r="I1931" s="206"/>
    </row>
    <row r="1932" spans="1:9" x14ac:dyDescent="0.35">
      <c r="A1932" s="160">
        <f t="shared" si="48"/>
        <v>0</v>
      </c>
      <c r="B1932" s="160">
        <f t="shared" si="49"/>
        <v>0</v>
      </c>
      <c r="C1932" s="160">
        <f t="shared" si="50"/>
        <v>0</v>
      </c>
      <c r="D1932" s="160">
        <f t="shared" si="51"/>
        <v>1</v>
      </c>
      <c r="E1932" s="206"/>
      <c r="F1932" s="206"/>
      <c r="G1932" s="206"/>
      <c r="H1932" s="206"/>
      <c r="I1932" s="206"/>
    </row>
    <row r="1933" spans="1:9" x14ac:dyDescent="0.35">
      <c r="A1933" s="160">
        <f t="shared" si="48"/>
        <v>0</v>
      </c>
      <c r="B1933" s="160">
        <f t="shared" si="49"/>
        <v>0</v>
      </c>
      <c r="C1933" s="160">
        <f t="shared" si="50"/>
        <v>0</v>
      </c>
      <c r="D1933" s="160">
        <f t="shared" si="51"/>
        <v>1</v>
      </c>
      <c r="E1933" s="206"/>
      <c r="F1933" s="206"/>
      <c r="G1933" s="206"/>
      <c r="H1933" s="206"/>
      <c r="I1933" s="206"/>
    </row>
    <row r="1934" spans="1:9" x14ac:dyDescent="0.35">
      <c r="A1934" s="160">
        <f t="shared" si="48"/>
        <v>0</v>
      </c>
      <c r="B1934" s="160">
        <f t="shared" si="49"/>
        <v>0</v>
      </c>
      <c r="C1934" s="160">
        <f t="shared" si="50"/>
        <v>0</v>
      </c>
      <c r="D1934" s="160">
        <f t="shared" si="51"/>
        <v>1</v>
      </c>
      <c r="E1934" s="206"/>
      <c r="F1934" s="206"/>
      <c r="G1934" s="206"/>
      <c r="H1934" s="206"/>
      <c r="I1934" s="206"/>
    </row>
    <row r="1935" spans="1:9" x14ac:dyDescent="0.35">
      <c r="A1935" s="160">
        <f t="shared" si="48"/>
        <v>0</v>
      </c>
      <c r="B1935" s="160">
        <f t="shared" si="49"/>
        <v>1</v>
      </c>
      <c r="C1935" s="160">
        <f t="shared" si="50"/>
        <v>1</v>
      </c>
      <c r="D1935" s="160">
        <f t="shared" si="51"/>
        <v>0.5</v>
      </c>
      <c r="E1935" s="206"/>
      <c r="F1935" s="206"/>
      <c r="G1935" s="206"/>
      <c r="H1935" s="206"/>
      <c r="I1935" s="206"/>
    </row>
    <row r="1936" spans="1:9" x14ac:dyDescent="0.35">
      <c r="A1936" s="160">
        <f t="shared" si="48"/>
        <v>1</v>
      </c>
      <c r="B1936" s="160">
        <f t="shared" si="49"/>
        <v>0</v>
      </c>
      <c r="C1936" s="160">
        <f t="shared" si="50"/>
        <v>1</v>
      </c>
      <c r="D1936" s="160">
        <f t="shared" si="51"/>
        <v>0.5</v>
      </c>
      <c r="E1936" s="206"/>
      <c r="F1936" s="206"/>
      <c r="G1936" s="206"/>
      <c r="H1936" s="206"/>
      <c r="I1936" s="206"/>
    </row>
    <row r="1937" spans="1:9" x14ac:dyDescent="0.35">
      <c r="A1937" s="160">
        <f t="shared" si="48"/>
        <v>1</v>
      </c>
      <c r="B1937" s="160">
        <f t="shared" si="49"/>
        <v>0</v>
      </c>
      <c r="C1937" s="160">
        <f t="shared" si="50"/>
        <v>1</v>
      </c>
      <c r="D1937" s="160">
        <f t="shared" si="51"/>
        <v>0.5</v>
      </c>
      <c r="E1937" s="206"/>
      <c r="F1937" s="206"/>
      <c r="G1937" s="206"/>
      <c r="H1937" s="206"/>
      <c r="I1937" s="206"/>
    </row>
    <row r="1938" spans="1:9" x14ac:dyDescent="0.35">
      <c r="A1938" s="160">
        <f t="shared" si="48"/>
        <v>0</v>
      </c>
      <c r="B1938" s="160">
        <f t="shared" si="49"/>
        <v>0</v>
      </c>
      <c r="C1938" s="160">
        <f t="shared" si="50"/>
        <v>0</v>
      </c>
      <c r="D1938" s="160">
        <f t="shared" si="51"/>
        <v>1</v>
      </c>
      <c r="E1938" s="206"/>
      <c r="F1938" s="206"/>
      <c r="G1938" s="206"/>
      <c r="H1938" s="206"/>
      <c r="I1938" s="206"/>
    </row>
    <row r="1939" spans="1:9" x14ac:dyDescent="0.35">
      <c r="A1939" s="160">
        <f t="shared" si="48"/>
        <v>0</v>
      </c>
      <c r="B1939" s="160">
        <f t="shared" si="49"/>
        <v>0</v>
      </c>
      <c r="C1939" s="160">
        <f t="shared" si="50"/>
        <v>0</v>
      </c>
      <c r="D1939" s="160">
        <f t="shared" si="51"/>
        <v>1</v>
      </c>
      <c r="E1939" s="206"/>
      <c r="F1939" s="206"/>
      <c r="G1939" s="206"/>
      <c r="H1939" s="206"/>
      <c r="I1939" s="206"/>
    </row>
    <row r="1940" spans="1:9" x14ac:dyDescent="0.35">
      <c r="A1940" s="160">
        <f t="shared" si="48"/>
        <v>0</v>
      </c>
      <c r="B1940" s="160">
        <f t="shared" si="49"/>
        <v>1</v>
      </c>
      <c r="C1940" s="160">
        <f t="shared" si="50"/>
        <v>1</v>
      </c>
      <c r="D1940" s="160">
        <f t="shared" si="51"/>
        <v>0.5</v>
      </c>
      <c r="E1940" s="206"/>
      <c r="F1940" s="206"/>
      <c r="G1940" s="206"/>
      <c r="H1940" s="206"/>
      <c r="I1940" s="206"/>
    </row>
    <row r="1941" spans="1:9" x14ac:dyDescent="0.35">
      <c r="A1941" s="160">
        <f t="shared" si="48"/>
        <v>0</v>
      </c>
      <c r="B1941" s="160">
        <f t="shared" si="49"/>
        <v>0</v>
      </c>
      <c r="C1941" s="160">
        <f t="shared" si="50"/>
        <v>0</v>
      </c>
      <c r="D1941" s="160">
        <f t="shared" si="51"/>
        <v>1</v>
      </c>
      <c r="E1941" s="206"/>
      <c r="F1941" s="206"/>
      <c r="G1941" s="206"/>
      <c r="H1941" s="206"/>
      <c r="I1941" s="206"/>
    </row>
    <row r="1942" spans="1:9" x14ac:dyDescent="0.35">
      <c r="A1942" s="160">
        <f t="shared" si="48"/>
        <v>0</v>
      </c>
      <c r="B1942" s="160">
        <f t="shared" si="49"/>
        <v>0</v>
      </c>
      <c r="C1942" s="160">
        <f t="shared" si="50"/>
        <v>0</v>
      </c>
      <c r="D1942" s="160">
        <f t="shared" si="51"/>
        <v>1</v>
      </c>
      <c r="E1942" s="206"/>
      <c r="F1942" s="206"/>
      <c r="G1942" s="206"/>
      <c r="H1942" s="206"/>
      <c r="I1942" s="206"/>
    </row>
    <row r="1943" spans="1:9" x14ac:dyDescent="0.35">
      <c r="A1943" s="160">
        <f t="shared" si="48"/>
        <v>0</v>
      </c>
      <c r="B1943" s="160">
        <f t="shared" si="49"/>
        <v>0</v>
      </c>
      <c r="C1943" s="160">
        <f t="shared" si="50"/>
        <v>0</v>
      </c>
      <c r="D1943" s="160">
        <f t="shared" si="51"/>
        <v>1</v>
      </c>
      <c r="E1943" s="206"/>
      <c r="F1943" s="206"/>
      <c r="G1943" s="206"/>
      <c r="H1943" s="206"/>
      <c r="I1943" s="206"/>
    </row>
    <row r="1944" spans="1:9" x14ac:dyDescent="0.35">
      <c r="A1944" s="160">
        <f t="shared" si="48"/>
        <v>4</v>
      </c>
      <c r="B1944" s="160">
        <f t="shared" si="49"/>
        <v>0</v>
      </c>
      <c r="C1944" s="160">
        <f t="shared" si="50"/>
        <v>4</v>
      </c>
      <c r="D1944" s="160">
        <f t="shared" si="51"/>
        <v>0.2</v>
      </c>
      <c r="E1944" s="206"/>
      <c r="F1944" s="206"/>
      <c r="G1944" s="206"/>
      <c r="H1944" s="206"/>
      <c r="I1944" s="206"/>
    </row>
    <row r="1945" spans="1:9" x14ac:dyDescent="0.35">
      <c r="A1945" s="160">
        <f t="shared" si="48"/>
        <v>0</v>
      </c>
      <c r="B1945" s="160">
        <f t="shared" si="49"/>
        <v>0</v>
      </c>
      <c r="C1945" s="160">
        <f t="shared" si="50"/>
        <v>0</v>
      </c>
      <c r="D1945" s="160">
        <f t="shared" si="51"/>
        <v>1</v>
      </c>
      <c r="E1945" s="206"/>
      <c r="F1945" s="206"/>
      <c r="G1945" s="206"/>
      <c r="H1945" s="206"/>
      <c r="I1945" s="206"/>
    </row>
    <row r="1946" spans="1:9" x14ac:dyDescent="0.35">
      <c r="A1946" s="160">
        <f t="shared" si="48"/>
        <v>0</v>
      </c>
      <c r="B1946" s="160">
        <f t="shared" si="49"/>
        <v>1</v>
      </c>
      <c r="C1946" s="160">
        <f t="shared" si="50"/>
        <v>1</v>
      </c>
      <c r="D1946" s="160">
        <f t="shared" si="51"/>
        <v>0.5</v>
      </c>
      <c r="E1946" s="206"/>
      <c r="F1946" s="206"/>
      <c r="G1946" s="206"/>
      <c r="H1946" s="206"/>
      <c r="I1946" s="206"/>
    </row>
    <row r="1947" spans="1:9" x14ac:dyDescent="0.35">
      <c r="A1947" s="160">
        <f t="shared" si="48"/>
        <v>1</v>
      </c>
      <c r="B1947" s="160">
        <f t="shared" si="49"/>
        <v>0</v>
      </c>
      <c r="C1947" s="160">
        <f t="shared" si="50"/>
        <v>1</v>
      </c>
      <c r="D1947" s="160">
        <f t="shared" si="51"/>
        <v>0.5</v>
      </c>
      <c r="E1947" s="206"/>
      <c r="F1947" s="206"/>
      <c r="G1947" s="206"/>
      <c r="H1947" s="206"/>
      <c r="I1947" s="206"/>
    </row>
    <row r="1948" spans="1:9" x14ac:dyDescent="0.35">
      <c r="A1948" s="160">
        <f t="shared" si="48"/>
        <v>0</v>
      </c>
      <c r="B1948" s="160">
        <f t="shared" si="49"/>
        <v>0</v>
      </c>
      <c r="C1948" s="160">
        <f t="shared" si="50"/>
        <v>0</v>
      </c>
      <c r="D1948" s="160">
        <f t="shared" si="51"/>
        <v>1</v>
      </c>
      <c r="E1948" s="206"/>
      <c r="F1948" s="206"/>
      <c r="G1948" s="206"/>
      <c r="H1948" s="206"/>
      <c r="I1948" s="206"/>
    </row>
    <row r="1949" spans="1:9" x14ac:dyDescent="0.35">
      <c r="A1949" s="160">
        <f t="shared" si="48"/>
        <v>0</v>
      </c>
      <c r="B1949" s="160">
        <f t="shared" si="49"/>
        <v>0</v>
      </c>
      <c r="C1949" s="160">
        <f t="shared" si="50"/>
        <v>0</v>
      </c>
      <c r="D1949" s="160">
        <f t="shared" si="51"/>
        <v>1</v>
      </c>
      <c r="E1949" s="206"/>
      <c r="F1949" s="206"/>
      <c r="G1949" s="206"/>
      <c r="H1949" s="206"/>
      <c r="I1949" s="206"/>
    </row>
    <row r="1950" spans="1:9" x14ac:dyDescent="0.35">
      <c r="A1950" s="160">
        <f t="shared" si="48"/>
        <v>2</v>
      </c>
      <c r="B1950" s="160">
        <f t="shared" si="49"/>
        <v>0</v>
      </c>
      <c r="C1950" s="160">
        <f t="shared" si="50"/>
        <v>2</v>
      </c>
      <c r="D1950" s="160">
        <f t="shared" si="51"/>
        <v>0.33333333333333331</v>
      </c>
      <c r="E1950" s="206"/>
      <c r="F1950" s="206"/>
      <c r="G1950" s="206"/>
      <c r="H1950" s="206"/>
      <c r="I1950" s="206"/>
    </row>
    <row r="1951" spans="1:9" x14ac:dyDescent="0.35">
      <c r="A1951" s="160">
        <f t="shared" si="48"/>
        <v>0</v>
      </c>
      <c r="B1951" s="160">
        <f t="shared" si="49"/>
        <v>0</v>
      </c>
      <c r="C1951" s="160">
        <f t="shared" si="50"/>
        <v>0</v>
      </c>
      <c r="D1951" s="160">
        <f t="shared" si="51"/>
        <v>1</v>
      </c>
      <c r="E1951" s="206"/>
      <c r="F1951" s="206"/>
      <c r="G1951" s="206"/>
      <c r="H1951" s="206"/>
      <c r="I1951" s="206"/>
    </row>
    <row r="1952" spans="1:9" x14ac:dyDescent="0.35">
      <c r="A1952" s="160">
        <f t="shared" si="48"/>
        <v>0</v>
      </c>
      <c r="B1952" s="160">
        <f t="shared" si="49"/>
        <v>1</v>
      </c>
      <c r="C1952" s="160">
        <f t="shared" si="50"/>
        <v>1</v>
      </c>
      <c r="D1952" s="160">
        <f t="shared" si="51"/>
        <v>0.5</v>
      </c>
      <c r="E1952" s="206"/>
      <c r="F1952" s="206"/>
      <c r="G1952" s="206"/>
      <c r="H1952" s="206"/>
      <c r="I1952" s="206"/>
    </row>
    <row r="1953" spans="1:9" x14ac:dyDescent="0.35">
      <c r="A1953" s="160">
        <f t="shared" si="48"/>
        <v>0</v>
      </c>
      <c r="B1953" s="160">
        <f t="shared" si="49"/>
        <v>1</v>
      </c>
      <c r="C1953" s="160">
        <f t="shared" si="50"/>
        <v>1</v>
      </c>
      <c r="D1953" s="160">
        <f t="shared" si="51"/>
        <v>0.5</v>
      </c>
      <c r="E1953" s="206"/>
      <c r="F1953" s="206"/>
      <c r="G1953" s="206"/>
      <c r="H1953" s="206"/>
      <c r="I1953" s="206"/>
    </row>
    <row r="1954" spans="1:9" x14ac:dyDescent="0.35">
      <c r="A1954" s="160">
        <f t="shared" si="48"/>
        <v>0</v>
      </c>
      <c r="B1954" s="160">
        <f t="shared" si="49"/>
        <v>0</v>
      </c>
      <c r="C1954" s="160">
        <f t="shared" si="50"/>
        <v>0</v>
      </c>
      <c r="D1954" s="160">
        <f t="shared" si="51"/>
        <v>1</v>
      </c>
      <c r="E1954" s="206"/>
      <c r="F1954" s="206"/>
      <c r="G1954" s="206"/>
      <c r="H1954" s="206"/>
      <c r="I1954" s="206"/>
    </row>
    <row r="1955" spans="1:9" x14ac:dyDescent="0.35">
      <c r="A1955" s="160">
        <f t="shared" ref="A1955:A2018" si="52">SUMPRODUCT(($R$4:$R$1115=R837)*($Q$4:$Q$1115=Q837)*(ROW($R$4:$R$1115)&gt;ROW(R837)))</f>
        <v>1</v>
      </c>
      <c r="B1955" s="160">
        <f t="shared" ref="B1955:B2018" si="53">SUMPRODUCT(($K$4:$K$1115=K837)*($Q$4:$Q$1115=Q837)*(ROW($K$4:$K$1115)&gt;ROW(K837)))</f>
        <v>3</v>
      </c>
      <c r="C1955" s="160">
        <f t="shared" ref="C1955:C2018" si="54">SUM(A1955:B1955)</f>
        <v>4</v>
      </c>
      <c r="D1955" s="160">
        <f t="shared" ref="D1955:D2018" si="55">1/(1+C1955)</f>
        <v>0.2</v>
      </c>
      <c r="E1955" s="206"/>
      <c r="F1955" s="206"/>
      <c r="G1955" s="206"/>
      <c r="H1955" s="206"/>
      <c r="I1955" s="206"/>
    </row>
    <row r="1956" spans="1:9" x14ac:dyDescent="0.35">
      <c r="A1956" s="160">
        <f t="shared" si="52"/>
        <v>0</v>
      </c>
      <c r="B1956" s="160">
        <f t="shared" si="53"/>
        <v>0</v>
      </c>
      <c r="C1956" s="160">
        <f t="shared" si="54"/>
        <v>0</v>
      </c>
      <c r="D1956" s="160">
        <f t="shared" si="55"/>
        <v>1</v>
      </c>
      <c r="E1956" s="206"/>
      <c r="F1956" s="206"/>
      <c r="G1956" s="206"/>
      <c r="H1956" s="206"/>
      <c r="I1956" s="206"/>
    </row>
    <row r="1957" spans="1:9" x14ac:dyDescent="0.35">
      <c r="A1957" s="160">
        <f t="shared" si="52"/>
        <v>2</v>
      </c>
      <c r="B1957" s="160">
        <f t="shared" si="53"/>
        <v>0</v>
      </c>
      <c r="C1957" s="160">
        <f t="shared" si="54"/>
        <v>2</v>
      </c>
      <c r="D1957" s="160">
        <f t="shared" si="55"/>
        <v>0.33333333333333331</v>
      </c>
      <c r="E1957" s="206"/>
      <c r="F1957" s="206"/>
      <c r="G1957" s="206"/>
      <c r="H1957" s="206"/>
      <c r="I1957" s="206"/>
    </row>
    <row r="1958" spans="1:9" x14ac:dyDescent="0.35">
      <c r="A1958" s="160">
        <f t="shared" si="52"/>
        <v>2</v>
      </c>
      <c r="B1958" s="160">
        <f t="shared" si="53"/>
        <v>0</v>
      </c>
      <c r="C1958" s="160">
        <f t="shared" si="54"/>
        <v>2</v>
      </c>
      <c r="D1958" s="160">
        <f t="shared" si="55"/>
        <v>0.33333333333333331</v>
      </c>
      <c r="E1958" s="206"/>
      <c r="F1958" s="206"/>
      <c r="G1958" s="206"/>
      <c r="H1958" s="206"/>
      <c r="I1958" s="206"/>
    </row>
    <row r="1959" spans="1:9" x14ac:dyDescent="0.35">
      <c r="A1959" s="160">
        <f t="shared" si="52"/>
        <v>0</v>
      </c>
      <c r="B1959" s="160">
        <f t="shared" si="53"/>
        <v>0</v>
      </c>
      <c r="C1959" s="160">
        <f t="shared" si="54"/>
        <v>0</v>
      </c>
      <c r="D1959" s="160">
        <f t="shared" si="55"/>
        <v>1</v>
      </c>
      <c r="E1959" s="206"/>
      <c r="F1959" s="206"/>
      <c r="G1959" s="206"/>
      <c r="H1959" s="206"/>
      <c r="I1959" s="206"/>
    </row>
    <row r="1960" spans="1:9" x14ac:dyDescent="0.35">
      <c r="A1960" s="160">
        <f t="shared" si="52"/>
        <v>1</v>
      </c>
      <c r="B1960" s="160">
        <f t="shared" si="53"/>
        <v>0</v>
      </c>
      <c r="C1960" s="160">
        <f t="shared" si="54"/>
        <v>1</v>
      </c>
      <c r="D1960" s="160">
        <f t="shared" si="55"/>
        <v>0.5</v>
      </c>
      <c r="E1960" s="206"/>
      <c r="F1960" s="206"/>
      <c r="G1960" s="206"/>
      <c r="H1960" s="206"/>
      <c r="I1960" s="206"/>
    </row>
    <row r="1961" spans="1:9" x14ac:dyDescent="0.35">
      <c r="A1961" s="160">
        <f t="shared" si="52"/>
        <v>0</v>
      </c>
      <c r="B1961" s="160">
        <f t="shared" si="53"/>
        <v>1</v>
      </c>
      <c r="C1961" s="160">
        <f t="shared" si="54"/>
        <v>1</v>
      </c>
      <c r="D1961" s="160">
        <f t="shared" si="55"/>
        <v>0.5</v>
      </c>
      <c r="E1961" s="206"/>
      <c r="F1961" s="206"/>
      <c r="G1961" s="206"/>
      <c r="H1961" s="206"/>
      <c r="I1961" s="206"/>
    </row>
    <row r="1962" spans="1:9" x14ac:dyDescent="0.35">
      <c r="A1962" s="160">
        <f t="shared" si="52"/>
        <v>0</v>
      </c>
      <c r="B1962" s="160">
        <f t="shared" si="53"/>
        <v>0</v>
      </c>
      <c r="C1962" s="160">
        <f t="shared" si="54"/>
        <v>0</v>
      </c>
      <c r="D1962" s="160">
        <f t="shared" si="55"/>
        <v>1</v>
      </c>
      <c r="E1962" s="206"/>
      <c r="F1962" s="206"/>
      <c r="G1962" s="206"/>
      <c r="H1962" s="206"/>
      <c r="I1962" s="206"/>
    </row>
    <row r="1963" spans="1:9" x14ac:dyDescent="0.35">
      <c r="A1963" s="160">
        <f t="shared" si="52"/>
        <v>0</v>
      </c>
      <c r="B1963" s="160">
        <f t="shared" si="53"/>
        <v>0</v>
      </c>
      <c r="C1963" s="160">
        <f t="shared" si="54"/>
        <v>0</v>
      </c>
      <c r="D1963" s="160">
        <f t="shared" si="55"/>
        <v>1</v>
      </c>
      <c r="E1963" s="206"/>
      <c r="F1963" s="206"/>
      <c r="G1963" s="206"/>
      <c r="H1963" s="206"/>
      <c r="I1963" s="206"/>
    </row>
    <row r="1964" spans="1:9" x14ac:dyDescent="0.35">
      <c r="A1964" s="160">
        <f t="shared" si="52"/>
        <v>0</v>
      </c>
      <c r="B1964" s="160">
        <f t="shared" si="53"/>
        <v>0</v>
      </c>
      <c r="C1964" s="160">
        <f t="shared" si="54"/>
        <v>0</v>
      </c>
      <c r="D1964" s="160">
        <f t="shared" si="55"/>
        <v>1</v>
      </c>
      <c r="E1964" s="206"/>
      <c r="F1964" s="206"/>
      <c r="G1964" s="206"/>
      <c r="H1964" s="206"/>
      <c r="I1964" s="206"/>
    </row>
    <row r="1965" spans="1:9" x14ac:dyDescent="0.35">
      <c r="A1965" s="160">
        <f t="shared" si="52"/>
        <v>0</v>
      </c>
      <c r="B1965" s="160">
        <f t="shared" si="53"/>
        <v>0</v>
      </c>
      <c r="C1965" s="160">
        <f t="shared" si="54"/>
        <v>0</v>
      </c>
      <c r="D1965" s="160">
        <f t="shared" si="55"/>
        <v>1</v>
      </c>
      <c r="E1965" s="206"/>
      <c r="F1965" s="206"/>
      <c r="G1965" s="206"/>
      <c r="H1965" s="206"/>
      <c r="I1965" s="206"/>
    </row>
    <row r="1966" spans="1:9" x14ac:dyDescent="0.35">
      <c r="A1966" s="160">
        <f t="shared" si="52"/>
        <v>0</v>
      </c>
      <c r="B1966" s="160">
        <f t="shared" si="53"/>
        <v>0</v>
      </c>
      <c r="C1966" s="160">
        <f t="shared" si="54"/>
        <v>0</v>
      </c>
      <c r="D1966" s="160">
        <f t="shared" si="55"/>
        <v>1</v>
      </c>
      <c r="E1966" s="206"/>
      <c r="F1966" s="206"/>
      <c r="G1966" s="206"/>
      <c r="H1966" s="206"/>
      <c r="I1966" s="206"/>
    </row>
    <row r="1967" spans="1:9" x14ac:dyDescent="0.35">
      <c r="A1967" s="160">
        <f t="shared" si="52"/>
        <v>1</v>
      </c>
      <c r="B1967" s="160">
        <f t="shared" si="53"/>
        <v>0</v>
      </c>
      <c r="C1967" s="160">
        <f t="shared" si="54"/>
        <v>1</v>
      </c>
      <c r="D1967" s="160">
        <f t="shared" si="55"/>
        <v>0.5</v>
      </c>
      <c r="E1967" s="206"/>
      <c r="F1967" s="206"/>
      <c r="G1967" s="206"/>
      <c r="H1967" s="206"/>
      <c r="I1967" s="206"/>
    </row>
    <row r="1968" spans="1:9" x14ac:dyDescent="0.35">
      <c r="A1968" s="160">
        <f t="shared" si="52"/>
        <v>3</v>
      </c>
      <c r="B1968" s="160">
        <f t="shared" si="53"/>
        <v>1</v>
      </c>
      <c r="C1968" s="160">
        <f t="shared" si="54"/>
        <v>4</v>
      </c>
      <c r="D1968" s="160">
        <f t="shared" si="55"/>
        <v>0.2</v>
      </c>
      <c r="E1968" s="206"/>
      <c r="F1968" s="206"/>
      <c r="G1968" s="206"/>
      <c r="H1968" s="206"/>
      <c r="I1968" s="206"/>
    </row>
    <row r="1969" spans="1:9" x14ac:dyDescent="0.35">
      <c r="A1969" s="160">
        <f t="shared" si="52"/>
        <v>2</v>
      </c>
      <c r="B1969" s="160">
        <f t="shared" si="53"/>
        <v>1</v>
      </c>
      <c r="C1969" s="160">
        <f t="shared" si="54"/>
        <v>3</v>
      </c>
      <c r="D1969" s="160">
        <f t="shared" si="55"/>
        <v>0.25</v>
      </c>
      <c r="E1969" s="206"/>
      <c r="F1969" s="206"/>
      <c r="G1969" s="206"/>
      <c r="H1969" s="206"/>
      <c r="I1969" s="206"/>
    </row>
    <row r="1970" spans="1:9" x14ac:dyDescent="0.35">
      <c r="A1970" s="160">
        <f t="shared" si="52"/>
        <v>2</v>
      </c>
      <c r="B1970" s="160">
        <f t="shared" si="53"/>
        <v>2</v>
      </c>
      <c r="C1970" s="160">
        <f t="shared" si="54"/>
        <v>4</v>
      </c>
      <c r="D1970" s="160">
        <f t="shared" si="55"/>
        <v>0.2</v>
      </c>
      <c r="E1970" s="206"/>
      <c r="F1970" s="206"/>
      <c r="G1970" s="206"/>
      <c r="H1970" s="206"/>
      <c r="I1970" s="206"/>
    </row>
    <row r="1971" spans="1:9" x14ac:dyDescent="0.35">
      <c r="A1971" s="160">
        <f t="shared" si="52"/>
        <v>0</v>
      </c>
      <c r="B1971" s="160">
        <f t="shared" si="53"/>
        <v>0</v>
      </c>
      <c r="C1971" s="160">
        <f t="shared" si="54"/>
        <v>0</v>
      </c>
      <c r="D1971" s="160">
        <f t="shared" si="55"/>
        <v>1</v>
      </c>
      <c r="E1971" s="206"/>
      <c r="F1971" s="206"/>
      <c r="G1971" s="206"/>
      <c r="H1971" s="206"/>
      <c r="I1971" s="206"/>
    </row>
    <row r="1972" spans="1:9" x14ac:dyDescent="0.35">
      <c r="A1972" s="160">
        <f t="shared" si="52"/>
        <v>0</v>
      </c>
      <c r="B1972" s="160">
        <f t="shared" si="53"/>
        <v>0</v>
      </c>
      <c r="C1972" s="160">
        <f t="shared" si="54"/>
        <v>0</v>
      </c>
      <c r="D1972" s="160">
        <f t="shared" si="55"/>
        <v>1</v>
      </c>
      <c r="E1972" s="206"/>
      <c r="F1972" s="206"/>
      <c r="G1972" s="206"/>
      <c r="H1972" s="206"/>
      <c r="I1972" s="206"/>
    </row>
    <row r="1973" spans="1:9" x14ac:dyDescent="0.35">
      <c r="A1973" s="160">
        <f t="shared" si="52"/>
        <v>1</v>
      </c>
      <c r="B1973" s="160">
        <f t="shared" si="53"/>
        <v>0</v>
      </c>
      <c r="C1973" s="160">
        <f t="shared" si="54"/>
        <v>1</v>
      </c>
      <c r="D1973" s="160">
        <f t="shared" si="55"/>
        <v>0.5</v>
      </c>
      <c r="E1973" s="206"/>
      <c r="F1973" s="206"/>
      <c r="G1973" s="206"/>
      <c r="H1973" s="206"/>
      <c r="I1973" s="206"/>
    </row>
    <row r="1974" spans="1:9" x14ac:dyDescent="0.35">
      <c r="A1974" s="160">
        <f t="shared" si="52"/>
        <v>2</v>
      </c>
      <c r="B1974" s="160">
        <f t="shared" si="53"/>
        <v>0</v>
      </c>
      <c r="C1974" s="160">
        <f t="shared" si="54"/>
        <v>2</v>
      </c>
      <c r="D1974" s="160">
        <f t="shared" si="55"/>
        <v>0.33333333333333331</v>
      </c>
      <c r="E1974" s="206"/>
      <c r="F1974" s="206"/>
      <c r="G1974" s="206"/>
      <c r="H1974" s="206"/>
      <c r="I1974" s="206"/>
    </row>
    <row r="1975" spans="1:9" x14ac:dyDescent="0.35">
      <c r="A1975" s="160">
        <f t="shared" si="52"/>
        <v>0</v>
      </c>
      <c r="B1975" s="160">
        <f t="shared" si="53"/>
        <v>1</v>
      </c>
      <c r="C1975" s="160">
        <f t="shared" si="54"/>
        <v>1</v>
      </c>
      <c r="D1975" s="160">
        <f t="shared" si="55"/>
        <v>0.5</v>
      </c>
      <c r="E1975" s="206"/>
      <c r="F1975" s="206"/>
      <c r="G1975" s="206"/>
      <c r="H1975" s="206"/>
      <c r="I1975" s="206"/>
    </row>
    <row r="1976" spans="1:9" x14ac:dyDescent="0.35">
      <c r="A1976" s="160">
        <f t="shared" si="52"/>
        <v>1</v>
      </c>
      <c r="B1976" s="160">
        <f t="shared" si="53"/>
        <v>0</v>
      </c>
      <c r="C1976" s="160">
        <f t="shared" si="54"/>
        <v>1</v>
      </c>
      <c r="D1976" s="160">
        <f t="shared" si="55"/>
        <v>0.5</v>
      </c>
      <c r="E1976" s="206"/>
      <c r="F1976" s="206"/>
      <c r="G1976" s="206"/>
      <c r="H1976" s="206"/>
      <c r="I1976" s="206"/>
    </row>
    <row r="1977" spans="1:9" x14ac:dyDescent="0.35">
      <c r="A1977" s="160">
        <f t="shared" si="52"/>
        <v>0</v>
      </c>
      <c r="B1977" s="160">
        <f t="shared" si="53"/>
        <v>0</v>
      </c>
      <c r="C1977" s="160">
        <f t="shared" si="54"/>
        <v>0</v>
      </c>
      <c r="D1977" s="160">
        <f t="shared" si="55"/>
        <v>1</v>
      </c>
      <c r="E1977" s="206"/>
      <c r="F1977" s="206"/>
      <c r="G1977" s="206"/>
      <c r="H1977" s="206"/>
      <c r="I1977" s="206"/>
    </row>
    <row r="1978" spans="1:9" x14ac:dyDescent="0.35">
      <c r="A1978" s="160">
        <f t="shared" si="52"/>
        <v>0</v>
      </c>
      <c r="B1978" s="160">
        <f t="shared" si="53"/>
        <v>0</v>
      </c>
      <c r="C1978" s="160">
        <f t="shared" si="54"/>
        <v>0</v>
      </c>
      <c r="D1978" s="160">
        <f t="shared" si="55"/>
        <v>1</v>
      </c>
      <c r="E1978" s="206"/>
      <c r="F1978" s="206"/>
      <c r="G1978" s="206"/>
      <c r="H1978" s="206"/>
      <c r="I1978" s="206"/>
    </row>
    <row r="1979" spans="1:9" x14ac:dyDescent="0.35">
      <c r="A1979" s="160">
        <f t="shared" si="52"/>
        <v>0</v>
      </c>
      <c r="B1979" s="160">
        <f t="shared" si="53"/>
        <v>0</v>
      </c>
      <c r="C1979" s="160">
        <f t="shared" si="54"/>
        <v>0</v>
      </c>
      <c r="D1979" s="160">
        <f t="shared" si="55"/>
        <v>1</v>
      </c>
      <c r="E1979" s="206"/>
      <c r="F1979" s="206"/>
      <c r="G1979" s="206"/>
      <c r="H1979" s="206"/>
      <c r="I1979" s="206"/>
    </row>
    <row r="1980" spans="1:9" x14ac:dyDescent="0.35">
      <c r="A1980" s="160">
        <f t="shared" si="52"/>
        <v>0</v>
      </c>
      <c r="B1980" s="160">
        <f t="shared" si="53"/>
        <v>0</v>
      </c>
      <c r="C1980" s="160">
        <f t="shared" si="54"/>
        <v>0</v>
      </c>
      <c r="D1980" s="160">
        <f t="shared" si="55"/>
        <v>1</v>
      </c>
      <c r="E1980" s="206"/>
      <c r="F1980" s="206"/>
      <c r="G1980" s="206"/>
      <c r="H1980" s="206"/>
      <c r="I1980" s="206"/>
    </row>
    <row r="1981" spans="1:9" x14ac:dyDescent="0.35">
      <c r="A1981" s="160">
        <f t="shared" si="52"/>
        <v>0</v>
      </c>
      <c r="B1981" s="160">
        <f t="shared" si="53"/>
        <v>0</v>
      </c>
      <c r="C1981" s="160">
        <f t="shared" si="54"/>
        <v>0</v>
      </c>
      <c r="D1981" s="160">
        <f t="shared" si="55"/>
        <v>1</v>
      </c>
      <c r="E1981" s="206"/>
      <c r="F1981" s="206"/>
      <c r="G1981" s="206"/>
      <c r="H1981" s="206"/>
      <c r="I1981" s="206"/>
    </row>
    <row r="1982" spans="1:9" x14ac:dyDescent="0.35">
      <c r="A1982" s="160">
        <f t="shared" si="52"/>
        <v>0</v>
      </c>
      <c r="B1982" s="160">
        <f t="shared" si="53"/>
        <v>1</v>
      </c>
      <c r="C1982" s="160">
        <f t="shared" si="54"/>
        <v>1</v>
      </c>
      <c r="D1982" s="160">
        <f t="shared" si="55"/>
        <v>0.5</v>
      </c>
      <c r="E1982" s="206"/>
      <c r="F1982" s="206"/>
      <c r="G1982" s="206"/>
      <c r="H1982" s="206"/>
      <c r="I1982" s="206"/>
    </row>
    <row r="1983" spans="1:9" x14ac:dyDescent="0.35">
      <c r="A1983" s="160">
        <f t="shared" si="52"/>
        <v>1</v>
      </c>
      <c r="B1983" s="160">
        <f t="shared" si="53"/>
        <v>0</v>
      </c>
      <c r="C1983" s="160">
        <f t="shared" si="54"/>
        <v>1</v>
      </c>
      <c r="D1983" s="160">
        <f t="shared" si="55"/>
        <v>0.5</v>
      </c>
      <c r="E1983" s="206"/>
      <c r="F1983" s="206"/>
      <c r="G1983" s="206"/>
      <c r="H1983" s="206"/>
      <c r="I1983" s="206"/>
    </row>
    <row r="1984" spans="1:9" x14ac:dyDescent="0.35">
      <c r="A1984" s="160">
        <f t="shared" si="52"/>
        <v>0</v>
      </c>
      <c r="B1984" s="160">
        <f t="shared" si="53"/>
        <v>0</v>
      </c>
      <c r="C1984" s="160">
        <f t="shared" si="54"/>
        <v>0</v>
      </c>
      <c r="D1984" s="160">
        <f t="shared" si="55"/>
        <v>1</v>
      </c>
      <c r="E1984" s="206"/>
      <c r="F1984" s="206"/>
      <c r="G1984" s="206"/>
      <c r="H1984" s="206"/>
      <c r="I1984" s="206"/>
    </row>
    <row r="1985" spans="1:9" x14ac:dyDescent="0.35">
      <c r="A1985" s="160">
        <f t="shared" si="52"/>
        <v>1</v>
      </c>
      <c r="B1985" s="160">
        <f t="shared" si="53"/>
        <v>0</v>
      </c>
      <c r="C1985" s="160">
        <f t="shared" si="54"/>
        <v>1</v>
      </c>
      <c r="D1985" s="160">
        <f t="shared" si="55"/>
        <v>0.5</v>
      </c>
      <c r="E1985" s="206"/>
      <c r="F1985" s="206"/>
      <c r="G1985" s="206"/>
      <c r="H1985" s="206"/>
      <c r="I1985" s="206"/>
    </row>
    <row r="1986" spans="1:9" x14ac:dyDescent="0.35">
      <c r="A1986" s="160">
        <f t="shared" si="52"/>
        <v>1</v>
      </c>
      <c r="B1986" s="160">
        <f t="shared" si="53"/>
        <v>0</v>
      </c>
      <c r="C1986" s="160">
        <f t="shared" si="54"/>
        <v>1</v>
      </c>
      <c r="D1986" s="160">
        <f t="shared" si="55"/>
        <v>0.5</v>
      </c>
      <c r="E1986" s="206"/>
      <c r="F1986" s="206"/>
      <c r="G1986" s="206"/>
      <c r="H1986" s="206"/>
      <c r="I1986" s="206"/>
    </row>
    <row r="1987" spans="1:9" x14ac:dyDescent="0.35">
      <c r="A1987" s="160">
        <f t="shared" si="52"/>
        <v>0</v>
      </c>
      <c r="B1987" s="160">
        <f t="shared" si="53"/>
        <v>2</v>
      </c>
      <c r="C1987" s="160">
        <f t="shared" si="54"/>
        <v>2</v>
      </c>
      <c r="D1987" s="160">
        <f t="shared" si="55"/>
        <v>0.33333333333333331</v>
      </c>
      <c r="E1987" s="206"/>
      <c r="F1987" s="206"/>
      <c r="G1987" s="206"/>
      <c r="H1987" s="206"/>
      <c r="I1987" s="206"/>
    </row>
    <row r="1988" spans="1:9" x14ac:dyDescent="0.35">
      <c r="A1988" s="160">
        <f t="shared" si="52"/>
        <v>0</v>
      </c>
      <c r="B1988" s="160">
        <f t="shared" si="53"/>
        <v>0</v>
      </c>
      <c r="C1988" s="160">
        <f t="shared" si="54"/>
        <v>0</v>
      </c>
      <c r="D1988" s="160">
        <f t="shared" si="55"/>
        <v>1</v>
      </c>
      <c r="E1988" s="206"/>
      <c r="F1988" s="206"/>
      <c r="G1988" s="206"/>
      <c r="H1988" s="206"/>
      <c r="I1988" s="206"/>
    </row>
    <row r="1989" spans="1:9" x14ac:dyDescent="0.35">
      <c r="A1989" s="160">
        <f t="shared" si="52"/>
        <v>0</v>
      </c>
      <c r="B1989" s="160">
        <f t="shared" si="53"/>
        <v>1</v>
      </c>
      <c r="C1989" s="160">
        <f t="shared" si="54"/>
        <v>1</v>
      </c>
      <c r="D1989" s="160">
        <f t="shared" si="55"/>
        <v>0.5</v>
      </c>
      <c r="E1989" s="206"/>
      <c r="F1989" s="206"/>
      <c r="G1989" s="206"/>
      <c r="H1989" s="206"/>
      <c r="I1989" s="206"/>
    </row>
    <row r="1990" spans="1:9" x14ac:dyDescent="0.35">
      <c r="A1990" s="160">
        <f t="shared" si="52"/>
        <v>0</v>
      </c>
      <c r="B1990" s="160">
        <f t="shared" si="53"/>
        <v>0</v>
      </c>
      <c r="C1990" s="160">
        <f t="shared" si="54"/>
        <v>0</v>
      </c>
      <c r="D1990" s="160">
        <f t="shared" si="55"/>
        <v>1</v>
      </c>
      <c r="E1990" s="206"/>
      <c r="F1990" s="206"/>
      <c r="G1990" s="206"/>
      <c r="H1990" s="206"/>
      <c r="I1990" s="206"/>
    </row>
    <row r="1991" spans="1:9" x14ac:dyDescent="0.35">
      <c r="A1991" s="160">
        <f t="shared" si="52"/>
        <v>1</v>
      </c>
      <c r="B1991" s="160">
        <f t="shared" si="53"/>
        <v>0</v>
      </c>
      <c r="C1991" s="160">
        <f t="shared" si="54"/>
        <v>1</v>
      </c>
      <c r="D1991" s="160">
        <f t="shared" si="55"/>
        <v>0.5</v>
      </c>
      <c r="E1991" s="206"/>
      <c r="F1991" s="206"/>
      <c r="G1991" s="206"/>
      <c r="H1991" s="206"/>
      <c r="I1991" s="206"/>
    </row>
    <row r="1992" spans="1:9" x14ac:dyDescent="0.35">
      <c r="A1992" s="160">
        <f t="shared" si="52"/>
        <v>0</v>
      </c>
      <c r="B1992" s="160">
        <f t="shared" si="53"/>
        <v>0</v>
      </c>
      <c r="C1992" s="160">
        <f t="shared" si="54"/>
        <v>0</v>
      </c>
      <c r="D1992" s="160">
        <f t="shared" si="55"/>
        <v>1</v>
      </c>
      <c r="E1992" s="206"/>
      <c r="F1992" s="206"/>
      <c r="G1992" s="206"/>
      <c r="H1992" s="206"/>
      <c r="I1992" s="206"/>
    </row>
    <row r="1993" spans="1:9" x14ac:dyDescent="0.35">
      <c r="A1993" s="160">
        <f t="shared" si="52"/>
        <v>0</v>
      </c>
      <c r="B1993" s="160">
        <f t="shared" si="53"/>
        <v>1</v>
      </c>
      <c r="C1993" s="160">
        <f t="shared" si="54"/>
        <v>1</v>
      </c>
      <c r="D1993" s="160">
        <f t="shared" si="55"/>
        <v>0.5</v>
      </c>
      <c r="E1993" s="206"/>
      <c r="F1993" s="206"/>
      <c r="G1993" s="206"/>
      <c r="H1993" s="206"/>
      <c r="I1993" s="206"/>
    </row>
    <row r="1994" spans="1:9" x14ac:dyDescent="0.35">
      <c r="A1994" s="160">
        <f t="shared" si="52"/>
        <v>3</v>
      </c>
      <c r="B1994" s="160">
        <f t="shared" si="53"/>
        <v>0</v>
      </c>
      <c r="C1994" s="160">
        <f t="shared" si="54"/>
        <v>3</v>
      </c>
      <c r="D1994" s="160">
        <f t="shared" si="55"/>
        <v>0.25</v>
      </c>
      <c r="E1994" s="206"/>
      <c r="F1994" s="206"/>
      <c r="G1994" s="206"/>
      <c r="H1994" s="206"/>
      <c r="I1994" s="206"/>
    </row>
    <row r="1995" spans="1:9" x14ac:dyDescent="0.35">
      <c r="A1995" s="160">
        <f t="shared" si="52"/>
        <v>0</v>
      </c>
      <c r="B1995" s="160">
        <f t="shared" si="53"/>
        <v>0</v>
      </c>
      <c r="C1995" s="160">
        <f t="shared" si="54"/>
        <v>0</v>
      </c>
      <c r="D1995" s="160">
        <f t="shared" si="55"/>
        <v>1</v>
      </c>
      <c r="E1995" s="206"/>
      <c r="F1995" s="206"/>
      <c r="G1995" s="206"/>
      <c r="H1995" s="206"/>
      <c r="I1995" s="206"/>
    </row>
    <row r="1996" spans="1:9" x14ac:dyDescent="0.35">
      <c r="A1996" s="160">
        <f t="shared" si="52"/>
        <v>0</v>
      </c>
      <c r="B1996" s="160">
        <f t="shared" si="53"/>
        <v>1</v>
      </c>
      <c r="C1996" s="160">
        <f t="shared" si="54"/>
        <v>1</v>
      </c>
      <c r="D1996" s="160">
        <f t="shared" si="55"/>
        <v>0.5</v>
      </c>
      <c r="E1996" s="206"/>
      <c r="F1996" s="206"/>
      <c r="G1996" s="206"/>
      <c r="H1996" s="206"/>
      <c r="I1996" s="206"/>
    </row>
    <row r="1997" spans="1:9" x14ac:dyDescent="0.35">
      <c r="A1997" s="160">
        <f t="shared" si="52"/>
        <v>2</v>
      </c>
      <c r="B1997" s="160">
        <f t="shared" si="53"/>
        <v>0</v>
      </c>
      <c r="C1997" s="160">
        <f t="shared" si="54"/>
        <v>2</v>
      </c>
      <c r="D1997" s="160">
        <f t="shared" si="55"/>
        <v>0.33333333333333331</v>
      </c>
      <c r="E1997" s="206"/>
      <c r="F1997" s="206"/>
      <c r="G1997" s="206"/>
      <c r="H1997" s="206"/>
      <c r="I1997" s="206"/>
    </row>
    <row r="1998" spans="1:9" x14ac:dyDescent="0.35">
      <c r="A1998" s="160">
        <f t="shared" si="52"/>
        <v>1</v>
      </c>
      <c r="B1998" s="160">
        <f t="shared" si="53"/>
        <v>1</v>
      </c>
      <c r="C1998" s="160">
        <f t="shared" si="54"/>
        <v>2</v>
      </c>
      <c r="D1998" s="160">
        <f t="shared" si="55"/>
        <v>0.33333333333333331</v>
      </c>
      <c r="E1998" s="206"/>
      <c r="F1998" s="206"/>
      <c r="G1998" s="206"/>
      <c r="H1998" s="206"/>
      <c r="I1998" s="206"/>
    </row>
    <row r="1999" spans="1:9" x14ac:dyDescent="0.35">
      <c r="A1999" s="160">
        <f t="shared" si="52"/>
        <v>2</v>
      </c>
      <c r="B1999" s="160">
        <f t="shared" si="53"/>
        <v>0</v>
      </c>
      <c r="C1999" s="160">
        <f t="shared" si="54"/>
        <v>2</v>
      </c>
      <c r="D1999" s="160">
        <f t="shared" si="55"/>
        <v>0.33333333333333331</v>
      </c>
      <c r="E1999" s="206"/>
      <c r="F1999" s="206"/>
      <c r="G1999" s="206"/>
      <c r="H1999" s="206"/>
      <c r="I1999" s="206"/>
    </row>
    <row r="2000" spans="1:9" x14ac:dyDescent="0.35">
      <c r="A2000" s="160">
        <f t="shared" si="52"/>
        <v>0</v>
      </c>
      <c r="B2000" s="160">
        <f t="shared" si="53"/>
        <v>1</v>
      </c>
      <c r="C2000" s="160">
        <f t="shared" si="54"/>
        <v>1</v>
      </c>
      <c r="D2000" s="160">
        <f t="shared" si="55"/>
        <v>0.5</v>
      </c>
      <c r="E2000" s="206"/>
      <c r="F2000" s="206"/>
      <c r="G2000" s="206"/>
      <c r="H2000" s="206"/>
      <c r="I2000" s="206"/>
    </row>
    <row r="2001" spans="1:9" x14ac:dyDescent="0.35">
      <c r="A2001" s="160">
        <f t="shared" si="52"/>
        <v>0</v>
      </c>
      <c r="B2001" s="160">
        <f t="shared" si="53"/>
        <v>0</v>
      </c>
      <c r="C2001" s="160">
        <f t="shared" si="54"/>
        <v>0</v>
      </c>
      <c r="D2001" s="160">
        <f t="shared" si="55"/>
        <v>1</v>
      </c>
      <c r="E2001" s="206"/>
      <c r="F2001" s="206"/>
      <c r="G2001" s="206"/>
      <c r="H2001" s="206"/>
      <c r="I2001" s="206"/>
    </row>
    <row r="2002" spans="1:9" x14ac:dyDescent="0.35">
      <c r="A2002" s="160">
        <f t="shared" si="52"/>
        <v>2</v>
      </c>
      <c r="B2002" s="160">
        <f t="shared" si="53"/>
        <v>0</v>
      </c>
      <c r="C2002" s="160">
        <f t="shared" si="54"/>
        <v>2</v>
      </c>
      <c r="D2002" s="160">
        <f t="shared" si="55"/>
        <v>0.33333333333333331</v>
      </c>
      <c r="E2002" s="206"/>
      <c r="F2002" s="206"/>
      <c r="G2002" s="206"/>
      <c r="H2002" s="206"/>
      <c r="I2002" s="206"/>
    </row>
    <row r="2003" spans="1:9" x14ac:dyDescent="0.35">
      <c r="A2003" s="160">
        <f t="shared" si="52"/>
        <v>1</v>
      </c>
      <c r="B2003" s="160">
        <f t="shared" si="53"/>
        <v>0</v>
      </c>
      <c r="C2003" s="160">
        <f t="shared" si="54"/>
        <v>1</v>
      </c>
      <c r="D2003" s="160">
        <f t="shared" si="55"/>
        <v>0.5</v>
      </c>
      <c r="E2003" s="206"/>
      <c r="F2003" s="206"/>
      <c r="G2003" s="206"/>
      <c r="H2003" s="206"/>
      <c r="I2003" s="206"/>
    </row>
    <row r="2004" spans="1:9" x14ac:dyDescent="0.35">
      <c r="A2004" s="160">
        <f t="shared" si="52"/>
        <v>0</v>
      </c>
      <c r="B2004" s="160">
        <f t="shared" si="53"/>
        <v>0</v>
      </c>
      <c r="C2004" s="160">
        <f t="shared" si="54"/>
        <v>0</v>
      </c>
      <c r="D2004" s="160">
        <f t="shared" si="55"/>
        <v>1</v>
      </c>
      <c r="E2004" s="206"/>
      <c r="F2004" s="206"/>
      <c r="G2004" s="206"/>
      <c r="H2004" s="206"/>
      <c r="I2004" s="206"/>
    </row>
    <row r="2005" spans="1:9" x14ac:dyDescent="0.35">
      <c r="A2005" s="160">
        <f t="shared" si="52"/>
        <v>2</v>
      </c>
      <c r="B2005" s="160">
        <f t="shared" si="53"/>
        <v>0</v>
      </c>
      <c r="C2005" s="160">
        <f t="shared" si="54"/>
        <v>2</v>
      </c>
      <c r="D2005" s="160">
        <f t="shared" si="55"/>
        <v>0.33333333333333331</v>
      </c>
      <c r="E2005" s="206"/>
      <c r="F2005" s="206"/>
      <c r="G2005" s="206"/>
      <c r="H2005" s="206"/>
      <c r="I2005" s="206"/>
    </row>
    <row r="2006" spans="1:9" x14ac:dyDescent="0.35">
      <c r="A2006" s="160">
        <f t="shared" si="52"/>
        <v>0</v>
      </c>
      <c r="B2006" s="160">
        <f t="shared" si="53"/>
        <v>0</v>
      </c>
      <c r="C2006" s="160">
        <f t="shared" si="54"/>
        <v>0</v>
      </c>
      <c r="D2006" s="160">
        <f t="shared" si="55"/>
        <v>1</v>
      </c>
      <c r="E2006" s="206"/>
      <c r="F2006" s="206"/>
      <c r="G2006" s="206"/>
      <c r="H2006" s="206"/>
      <c r="I2006" s="206"/>
    </row>
    <row r="2007" spans="1:9" x14ac:dyDescent="0.35">
      <c r="A2007" s="160">
        <f t="shared" si="52"/>
        <v>2</v>
      </c>
      <c r="B2007" s="160">
        <f t="shared" si="53"/>
        <v>0</v>
      </c>
      <c r="C2007" s="160">
        <f t="shared" si="54"/>
        <v>2</v>
      </c>
      <c r="D2007" s="160">
        <f t="shared" si="55"/>
        <v>0.33333333333333331</v>
      </c>
      <c r="E2007" s="206"/>
      <c r="F2007" s="206"/>
      <c r="G2007" s="206"/>
      <c r="H2007" s="206"/>
      <c r="I2007" s="206"/>
    </row>
    <row r="2008" spans="1:9" x14ac:dyDescent="0.35">
      <c r="A2008" s="160">
        <f t="shared" si="52"/>
        <v>0</v>
      </c>
      <c r="B2008" s="160">
        <f t="shared" si="53"/>
        <v>0</v>
      </c>
      <c r="C2008" s="160">
        <f t="shared" si="54"/>
        <v>0</v>
      </c>
      <c r="D2008" s="160">
        <f t="shared" si="55"/>
        <v>1</v>
      </c>
      <c r="E2008" s="206"/>
      <c r="F2008" s="206"/>
      <c r="G2008" s="206"/>
      <c r="H2008" s="206"/>
      <c r="I2008" s="206"/>
    </row>
    <row r="2009" spans="1:9" x14ac:dyDescent="0.35">
      <c r="A2009" s="160">
        <f t="shared" si="52"/>
        <v>0</v>
      </c>
      <c r="B2009" s="160">
        <f t="shared" si="53"/>
        <v>1</v>
      </c>
      <c r="C2009" s="160">
        <f t="shared" si="54"/>
        <v>1</v>
      </c>
      <c r="D2009" s="160">
        <f t="shared" si="55"/>
        <v>0.5</v>
      </c>
      <c r="E2009" s="206"/>
      <c r="F2009" s="206"/>
      <c r="G2009" s="206"/>
      <c r="H2009" s="206"/>
      <c r="I2009" s="206"/>
    </row>
    <row r="2010" spans="1:9" x14ac:dyDescent="0.35">
      <c r="A2010" s="160">
        <f t="shared" si="52"/>
        <v>0</v>
      </c>
      <c r="B2010" s="160">
        <f t="shared" si="53"/>
        <v>0</v>
      </c>
      <c r="C2010" s="160">
        <f t="shared" si="54"/>
        <v>0</v>
      </c>
      <c r="D2010" s="160">
        <f t="shared" si="55"/>
        <v>1</v>
      </c>
      <c r="E2010" s="206"/>
      <c r="F2010" s="206"/>
      <c r="G2010" s="206"/>
      <c r="H2010" s="206"/>
      <c r="I2010" s="206"/>
    </row>
    <row r="2011" spans="1:9" x14ac:dyDescent="0.35">
      <c r="A2011" s="160">
        <f t="shared" si="52"/>
        <v>1</v>
      </c>
      <c r="B2011" s="160">
        <f t="shared" si="53"/>
        <v>1</v>
      </c>
      <c r="C2011" s="160">
        <f t="shared" si="54"/>
        <v>2</v>
      </c>
      <c r="D2011" s="160">
        <f t="shared" si="55"/>
        <v>0.33333333333333331</v>
      </c>
      <c r="E2011" s="206"/>
      <c r="F2011" s="206"/>
      <c r="G2011" s="206"/>
      <c r="H2011" s="206"/>
      <c r="I2011" s="206"/>
    </row>
    <row r="2012" spans="1:9" x14ac:dyDescent="0.35">
      <c r="A2012" s="160">
        <f t="shared" si="52"/>
        <v>0</v>
      </c>
      <c r="B2012" s="160">
        <f t="shared" si="53"/>
        <v>0</v>
      </c>
      <c r="C2012" s="160">
        <f t="shared" si="54"/>
        <v>0</v>
      </c>
      <c r="D2012" s="160">
        <f t="shared" si="55"/>
        <v>1</v>
      </c>
      <c r="E2012" s="206"/>
      <c r="F2012" s="206"/>
      <c r="G2012" s="206"/>
      <c r="H2012" s="206"/>
      <c r="I2012" s="206"/>
    </row>
    <row r="2013" spans="1:9" x14ac:dyDescent="0.35">
      <c r="A2013" s="160">
        <f t="shared" si="52"/>
        <v>0</v>
      </c>
      <c r="B2013" s="160">
        <f t="shared" si="53"/>
        <v>0</v>
      </c>
      <c r="C2013" s="160">
        <f t="shared" si="54"/>
        <v>0</v>
      </c>
      <c r="D2013" s="160">
        <f t="shared" si="55"/>
        <v>1</v>
      </c>
      <c r="E2013" s="206"/>
      <c r="F2013" s="206"/>
      <c r="G2013" s="206"/>
      <c r="H2013" s="206"/>
      <c r="I2013" s="206"/>
    </row>
    <row r="2014" spans="1:9" x14ac:dyDescent="0.35">
      <c r="A2014" s="160">
        <f t="shared" si="52"/>
        <v>0</v>
      </c>
      <c r="B2014" s="160">
        <f t="shared" si="53"/>
        <v>0</v>
      </c>
      <c r="C2014" s="160">
        <f t="shared" si="54"/>
        <v>0</v>
      </c>
      <c r="D2014" s="160">
        <f t="shared" si="55"/>
        <v>1</v>
      </c>
      <c r="E2014" s="206"/>
      <c r="F2014" s="206"/>
      <c r="G2014" s="206"/>
      <c r="H2014" s="206"/>
      <c r="I2014" s="206"/>
    </row>
    <row r="2015" spans="1:9" x14ac:dyDescent="0.35">
      <c r="A2015" s="160">
        <f t="shared" si="52"/>
        <v>0</v>
      </c>
      <c r="B2015" s="160">
        <f t="shared" si="53"/>
        <v>0</v>
      </c>
      <c r="C2015" s="160">
        <f t="shared" si="54"/>
        <v>0</v>
      </c>
      <c r="D2015" s="160">
        <f t="shared" si="55"/>
        <v>1</v>
      </c>
      <c r="E2015" s="206"/>
      <c r="F2015" s="206"/>
      <c r="G2015" s="206"/>
      <c r="H2015" s="206"/>
      <c r="I2015" s="206"/>
    </row>
    <row r="2016" spans="1:9" x14ac:dyDescent="0.35">
      <c r="A2016" s="160">
        <f t="shared" si="52"/>
        <v>0</v>
      </c>
      <c r="B2016" s="160">
        <f t="shared" si="53"/>
        <v>1</v>
      </c>
      <c r="C2016" s="160">
        <f t="shared" si="54"/>
        <v>1</v>
      </c>
      <c r="D2016" s="160">
        <f t="shared" si="55"/>
        <v>0.5</v>
      </c>
      <c r="E2016" s="206"/>
      <c r="F2016" s="206"/>
      <c r="G2016" s="206"/>
      <c r="H2016" s="206"/>
      <c r="I2016" s="206"/>
    </row>
    <row r="2017" spans="1:9" x14ac:dyDescent="0.35">
      <c r="A2017" s="160">
        <f t="shared" si="52"/>
        <v>1</v>
      </c>
      <c r="B2017" s="160">
        <f t="shared" si="53"/>
        <v>0</v>
      </c>
      <c r="C2017" s="160">
        <f t="shared" si="54"/>
        <v>1</v>
      </c>
      <c r="D2017" s="160">
        <f t="shared" si="55"/>
        <v>0.5</v>
      </c>
      <c r="E2017" s="206"/>
      <c r="F2017" s="206"/>
      <c r="G2017" s="206"/>
      <c r="H2017" s="206"/>
      <c r="I2017" s="206"/>
    </row>
    <row r="2018" spans="1:9" x14ac:dyDescent="0.35">
      <c r="A2018" s="160">
        <f t="shared" si="52"/>
        <v>0</v>
      </c>
      <c r="B2018" s="160">
        <f t="shared" si="53"/>
        <v>0</v>
      </c>
      <c r="C2018" s="160">
        <f t="shared" si="54"/>
        <v>0</v>
      </c>
      <c r="D2018" s="160">
        <f t="shared" si="55"/>
        <v>1</v>
      </c>
      <c r="E2018" s="206"/>
      <c r="F2018" s="206"/>
      <c r="G2018" s="206"/>
      <c r="H2018" s="206"/>
      <c r="I2018" s="206"/>
    </row>
    <row r="2019" spans="1:9" x14ac:dyDescent="0.35">
      <c r="A2019" s="160">
        <f t="shared" ref="A2019:A2082" si="56">SUMPRODUCT(($R$4:$R$1115=R901)*($Q$4:$Q$1115=Q901)*(ROW($R$4:$R$1115)&gt;ROW(R901)))</f>
        <v>1</v>
      </c>
      <c r="B2019" s="160">
        <f t="shared" ref="B2019:B2082" si="57">SUMPRODUCT(($K$4:$K$1115=K901)*($Q$4:$Q$1115=Q901)*(ROW($K$4:$K$1115)&gt;ROW(K901)))</f>
        <v>2</v>
      </c>
      <c r="C2019" s="160">
        <f t="shared" ref="C2019:C2082" si="58">SUM(A2019:B2019)</f>
        <v>3</v>
      </c>
      <c r="D2019" s="160">
        <f t="shared" ref="D2019:D2082" si="59">1/(1+C2019)</f>
        <v>0.25</v>
      </c>
      <c r="E2019" s="206"/>
      <c r="F2019" s="206"/>
      <c r="G2019" s="206"/>
      <c r="H2019" s="206"/>
      <c r="I2019" s="206"/>
    </row>
    <row r="2020" spans="1:9" x14ac:dyDescent="0.35">
      <c r="A2020" s="160">
        <f t="shared" si="56"/>
        <v>0</v>
      </c>
      <c r="B2020" s="160">
        <f t="shared" si="57"/>
        <v>0</v>
      </c>
      <c r="C2020" s="160">
        <f t="shared" si="58"/>
        <v>0</v>
      </c>
      <c r="D2020" s="160">
        <f t="shared" si="59"/>
        <v>1</v>
      </c>
      <c r="E2020" s="206"/>
      <c r="F2020" s="206"/>
      <c r="G2020" s="206"/>
      <c r="H2020" s="206"/>
      <c r="I2020" s="206"/>
    </row>
    <row r="2021" spans="1:9" x14ac:dyDescent="0.35">
      <c r="A2021" s="160">
        <f t="shared" si="56"/>
        <v>0</v>
      </c>
      <c r="B2021" s="160">
        <f t="shared" si="57"/>
        <v>0</v>
      </c>
      <c r="C2021" s="160">
        <f t="shared" si="58"/>
        <v>0</v>
      </c>
      <c r="D2021" s="160">
        <f t="shared" si="59"/>
        <v>1</v>
      </c>
      <c r="E2021" s="206"/>
      <c r="F2021" s="206"/>
      <c r="G2021" s="206"/>
      <c r="H2021" s="206"/>
      <c r="I2021" s="206"/>
    </row>
    <row r="2022" spans="1:9" x14ac:dyDescent="0.35">
      <c r="A2022" s="160">
        <f t="shared" si="56"/>
        <v>0</v>
      </c>
      <c r="B2022" s="160">
        <f t="shared" si="57"/>
        <v>1</v>
      </c>
      <c r="C2022" s="160">
        <f t="shared" si="58"/>
        <v>1</v>
      </c>
      <c r="D2022" s="160">
        <f t="shared" si="59"/>
        <v>0.5</v>
      </c>
      <c r="E2022" s="206"/>
      <c r="F2022" s="206"/>
      <c r="G2022" s="206"/>
      <c r="H2022" s="206"/>
      <c r="I2022" s="206"/>
    </row>
    <row r="2023" spans="1:9" x14ac:dyDescent="0.35">
      <c r="A2023" s="160">
        <f t="shared" si="56"/>
        <v>0</v>
      </c>
      <c r="B2023" s="160">
        <f t="shared" si="57"/>
        <v>0</v>
      </c>
      <c r="C2023" s="160">
        <f t="shared" si="58"/>
        <v>0</v>
      </c>
      <c r="D2023" s="160">
        <f t="shared" si="59"/>
        <v>1</v>
      </c>
      <c r="E2023" s="206"/>
      <c r="F2023" s="206"/>
      <c r="G2023" s="206"/>
      <c r="H2023" s="206"/>
      <c r="I2023" s="206"/>
    </row>
    <row r="2024" spans="1:9" x14ac:dyDescent="0.35">
      <c r="A2024" s="160">
        <f t="shared" si="56"/>
        <v>1</v>
      </c>
      <c r="B2024" s="160">
        <f t="shared" si="57"/>
        <v>0</v>
      </c>
      <c r="C2024" s="160">
        <f t="shared" si="58"/>
        <v>1</v>
      </c>
      <c r="D2024" s="160">
        <f t="shared" si="59"/>
        <v>0.5</v>
      </c>
      <c r="E2024" s="206"/>
      <c r="F2024" s="206"/>
      <c r="G2024" s="206"/>
      <c r="H2024" s="206"/>
      <c r="I2024" s="206"/>
    </row>
    <row r="2025" spans="1:9" x14ac:dyDescent="0.35">
      <c r="A2025" s="160">
        <f t="shared" si="56"/>
        <v>0</v>
      </c>
      <c r="B2025" s="160">
        <f t="shared" si="57"/>
        <v>0</v>
      </c>
      <c r="C2025" s="160">
        <f t="shared" si="58"/>
        <v>0</v>
      </c>
      <c r="D2025" s="160">
        <f t="shared" si="59"/>
        <v>1</v>
      </c>
      <c r="E2025" s="206"/>
      <c r="F2025" s="206"/>
      <c r="G2025" s="206"/>
      <c r="H2025" s="206"/>
      <c r="I2025" s="206"/>
    </row>
    <row r="2026" spans="1:9" x14ac:dyDescent="0.35">
      <c r="A2026" s="160">
        <f t="shared" si="56"/>
        <v>0</v>
      </c>
      <c r="B2026" s="160">
        <f t="shared" si="57"/>
        <v>1</v>
      </c>
      <c r="C2026" s="160">
        <f t="shared" si="58"/>
        <v>1</v>
      </c>
      <c r="D2026" s="160">
        <f t="shared" si="59"/>
        <v>0.5</v>
      </c>
      <c r="E2026" s="206"/>
      <c r="F2026" s="206"/>
      <c r="G2026" s="206"/>
      <c r="H2026" s="206"/>
      <c r="I2026" s="206"/>
    </row>
    <row r="2027" spans="1:9" x14ac:dyDescent="0.35">
      <c r="A2027" s="160">
        <f t="shared" si="56"/>
        <v>0</v>
      </c>
      <c r="B2027" s="160">
        <f t="shared" si="57"/>
        <v>0</v>
      </c>
      <c r="C2027" s="160">
        <f t="shared" si="58"/>
        <v>0</v>
      </c>
      <c r="D2027" s="160">
        <f t="shared" si="59"/>
        <v>1</v>
      </c>
      <c r="E2027" s="206"/>
      <c r="F2027" s="206"/>
      <c r="G2027" s="206"/>
      <c r="H2027" s="206"/>
      <c r="I2027" s="206"/>
    </row>
    <row r="2028" spans="1:9" x14ac:dyDescent="0.35">
      <c r="A2028" s="160">
        <f t="shared" si="56"/>
        <v>0</v>
      </c>
      <c r="B2028" s="160">
        <f t="shared" si="57"/>
        <v>2</v>
      </c>
      <c r="C2028" s="160">
        <f t="shared" si="58"/>
        <v>2</v>
      </c>
      <c r="D2028" s="160">
        <f t="shared" si="59"/>
        <v>0.33333333333333331</v>
      </c>
      <c r="E2028" s="206"/>
      <c r="F2028" s="206"/>
      <c r="G2028" s="206"/>
      <c r="H2028" s="206"/>
      <c r="I2028" s="206"/>
    </row>
    <row r="2029" spans="1:9" x14ac:dyDescent="0.35">
      <c r="A2029" s="160">
        <f t="shared" si="56"/>
        <v>0</v>
      </c>
      <c r="B2029" s="160">
        <f t="shared" si="57"/>
        <v>1</v>
      </c>
      <c r="C2029" s="160">
        <f t="shared" si="58"/>
        <v>1</v>
      </c>
      <c r="D2029" s="160">
        <f t="shared" si="59"/>
        <v>0.5</v>
      </c>
      <c r="E2029" s="206"/>
      <c r="F2029" s="206"/>
      <c r="G2029" s="206"/>
      <c r="H2029" s="206"/>
      <c r="I2029" s="206"/>
    </row>
    <row r="2030" spans="1:9" x14ac:dyDescent="0.35">
      <c r="A2030" s="160">
        <f t="shared" si="56"/>
        <v>0</v>
      </c>
      <c r="B2030" s="160">
        <f t="shared" si="57"/>
        <v>0</v>
      </c>
      <c r="C2030" s="160">
        <f t="shared" si="58"/>
        <v>0</v>
      </c>
      <c r="D2030" s="160">
        <f t="shared" si="59"/>
        <v>1</v>
      </c>
      <c r="E2030" s="206"/>
      <c r="F2030" s="206"/>
      <c r="G2030" s="206"/>
      <c r="H2030" s="206"/>
      <c r="I2030" s="206"/>
    </row>
    <row r="2031" spans="1:9" x14ac:dyDescent="0.35">
      <c r="A2031" s="160">
        <f t="shared" si="56"/>
        <v>0</v>
      </c>
      <c r="B2031" s="160">
        <f t="shared" si="57"/>
        <v>0</v>
      </c>
      <c r="C2031" s="160">
        <f t="shared" si="58"/>
        <v>0</v>
      </c>
      <c r="D2031" s="160">
        <f t="shared" si="59"/>
        <v>1</v>
      </c>
      <c r="E2031" s="206"/>
      <c r="F2031" s="206"/>
      <c r="G2031" s="206"/>
      <c r="H2031" s="206"/>
      <c r="I2031" s="206"/>
    </row>
    <row r="2032" spans="1:9" x14ac:dyDescent="0.35">
      <c r="A2032" s="160">
        <f t="shared" si="56"/>
        <v>0</v>
      </c>
      <c r="B2032" s="160">
        <f t="shared" si="57"/>
        <v>0</v>
      </c>
      <c r="C2032" s="160">
        <f t="shared" si="58"/>
        <v>0</v>
      </c>
      <c r="D2032" s="160">
        <f t="shared" si="59"/>
        <v>1</v>
      </c>
      <c r="E2032" s="206"/>
      <c r="F2032" s="206"/>
      <c r="G2032" s="206"/>
      <c r="H2032" s="206"/>
      <c r="I2032" s="206"/>
    </row>
    <row r="2033" spans="1:9" x14ac:dyDescent="0.35">
      <c r="A2033" s="160">
        <f t="shared" si="56"/>
        <v>0</v>
      </c>
      <c r="B2033" s="160">
        <f t="shared" si="57"/>
        <v>0</v>
      </c>
      <c r="C2033" s="160">
        <f t="shared" si="58"/>
        <v>0</v>
      </c>
      <c r="D2033" s="160">
        <f t="shared" si="59"/>
        <v>1</v>
      </c>
      <c r="E2033" s="206"/>
      <c r="F2033" s="206"/>
      <c r="G2033" s="206"/>
      <c r="H2033" s="206"/>
      <c r="I2033" s="206"/>
    </row>
    <row r="2034" spans="1:9" x14ac:dyDescent="0.35">
      <c r="A2034" s="160">
        <f t="shared" si="56"/>
        <v>1</v>
      </c>
      <c r="B2034" s="160">
        <f t="shared" si="57"/>
        <v>1</v>
      </c>
      <c r="C2034" s="160">
        <f t="shared" si="58"/>
        <v>2</v>
      </c>
      <c r="D2034" s="160">
        <f t="shared" si="59"/>
        <v>0.33333333333333331</v>
      </c>
      <c r="E2034" s="206"/>
      <c r="F2034" s="206"/>
      <c r="G2034" s="206"/>
      <c r="H2034" s="206"/>
      <c r="I2034" s="206"/>
    </row>
    <row r="2035" spans="1:9" x14ac:dyDescent="0.35">
      <c r="A2035" s="160">
        <f t="shared" si="56"/>
        <v>2</v>
      </c>
      <c r="B2035" s="160">
        <f t="shared" si="57"/>
        <v>0</v>
      </c>
      <c r="C2035" s="160">
        <f t="shared" si="58"/>
        <v>2</v>
      </c>
      <c r="D2035" s="160">
        <f t="shared" si="59"/>
        <v>0.33333333333333331</v>
      </c>
      <c r="E2035" s="206"/>
      <c r="F2035" s="206"/>
      <c r="G2035" s="206"/>
      <c r="H2035" s="206"/>
      <c r="I2035" s="206"/>
    </row>
    <row r="2036" spans="1:9" x14ac:dyDescent="0.35">
      <c r="A2036" s="160">
        <f t="shared" si="56"/>
        <v>0</v>
      </c>
      <c r="B2036" s="160">
        <f t="shared" si="57"/>
        <v>0</v>
      </c>
      <c r="C2036" s="160">
        <f t="shared" si="58"/>
        <v>0</v>
      </c>
      <c r="D2036" s="160">
        <f t="shared" si="59"/>
        <v>1</v>
      </c>
      <c r="E2036" s="206"/>
      <c r="F2036" s="206"/>
      <c r="G2036" s="206"/>
      <c r="H2036" s="206"/>
      <c r="I2036" s="206"/>
    </row>
    <row r="2037" spans="1:9" x14ac:dyDescent="0.35">
      <c r="A2037" s="160">
        <f t="shared" si="56"/>
        <v>1</v>
      </c>
      <c r="B2037" s="160">
        <f t="shared" si="57"/>
        <v>2</v>
      </c>
      <c r="C2037" s="160">
        <f t="shared" si="58"/>
        <v>3</v>
      </c>
      <c r="D2037" s="160">
        <f t="shared" si="59"/>
        <v>0.25</v>
      </c>
      <c r="E2037" s="206"/>
      <c r="F2037" s="206"/>
      <c r="G2037" s="206"/>
      <c r="H2037" s="206"/>
      <c r="I2037" s="206"/>
    </row>
    <row r="2038" spans="1:9" x14ac:dyDescent="0.35">
      <c r="A2038" s="160">
        <f t="shared" si="56"/>
        <v>0</v>
      </c>
      <c r="B2038" s="160">
        <f t="shared" si="57"/>
        <v>0</v>
      </c>
      <c r="C2038" s="160">
        <f t="shared" si="58"/>
        <v>0</v>
      </c>
      <c r="D2038" s="160">
        <f t="shared" si="59"/>
        <v>1</v>
      </c>
      <c r="E2038" s="206"/>
      <c r="F2038" s="206"/>
      <c r="G2038" s="206"/>
      <c r="H2038" s="206"/>
      <c r="I2038" s="206"/>
    </row>
    <row r="2039" spans="1:9" x14ac:dyDescent="0.35">
      <c r="A2039" s="160">
        <f t="shared" si="56"/>
        <v>0</v>
      </c>
      <c r="B2039" s="160">
        <f t="shared" si="57"/>
        <v>0</v>
      </c>
      <c r="C2039" s="160">
        <f t="shared" si="58"/>
        <v>0</v>
      </c>
      <c r="D2039" s="160">
        <f t="shared" si="59"/>
        <v>1</v>
      </c>
      <c r="E2039" s="206"/>
      <c r="F2039" s="206"/>
      <c r="G2039" s="206"/>
      <c r="H2039" s="206"/>
      <c r="I2039" s="206"/>
    </row>
    <row r="2040" spans="1:9" x14ac:dyDescent="0.35">
      <c r="A2040" s="160">
        <f t="shared" si="56"/>
        <v>3</v>
      </c>
      <c r="B2040" s="160">
        <f t="shared" si="57"/>
        <v>0</v>
      </c>
      <c r="C2040" s="160">
        <f t="shared" si="58"/>
        <v>3</v>
      </c>
      <c r="D2040" s="160">
        <f t="shared" si="59"/>
        <v>0.25</v>
      </c>
      <c r="E2040" s="206"/>
      <c r="F2040" s="206"/>
      <c r="G2040" s="206"/>
      <c r="H2040" s="206"/>
      <c r="I2040" s="206"/>
    </row>
    <row r="2041" spans="1:9" x14ac:dyDescent="0.35">
      <c r="A2041" s="160">
        <f t="shared" si="56"/>
        <v>0</v>
      </c>
      <c r="B2041" s="160">
        <f t="shared" si="57"/>
        <v>0</v>
      </c>
      <c r="C2041" s="160">
        <f t="shared" si="58"/>
        <v>0</v>
      </c>
      <c r="D2041" s="160">
        <f t="shared" si="59"/>
        <v>1</v>
      </c>
      <c r="E2041" s="206"/>
      <c r="F2041" s="206"/>
      <c r="G2041" s="206"/>
      <c r="H2041" s="206"/>
      <c r="I2041" s="206"/>
    </row>
    <row r="2042" spans="1:9" x14ac:dyDescent="0.35">
      <c r="A2042" s="160">
        <f t="shared" si="56"/>
        <v>0</v>
      </c>
      <c r="B2042" s="160">
        <f t="shared" si="57"/>
        <v>0</v>
      </c>
      <c r="C2042" s="160">
        <f t="shared" si="58"/>
        <v>0</v>
      </c>
      <c r="D2042" s="160">
        <f t="shared" si="59"/>
        <v>1</v>
      </c>
      <c r="E2042" s="206"/>
      <c r="F2042" s="206"/>
      <c r="G2042" s="206"/>
      <c r="H2042" s="206"/>
      <c r="I2042" s="206"/>
    </row>
    <row r="2043" spans="1:9" x14ac:dyDescent="0.35">
      <c r="A2043" s="160">
        <f t="shared" si="56"/>
        <v>0</v>
      </c>
      <c r="B2043" s="160">
        <f t="shared" si="57"/>
        <v>0</v>
      </c>
      <c r="C2043" s="160">
        <f t="shared" si="58"/>
        <v>0</v>
      </c>
      <c r="D2043" s="160">
        <f t="shared" si="59"/>
        <v>1</v>
      </c>
      <c r="E2043" s="206"/>
      <c r="F2043" s="206"/>
      <c r="G2043" s="206"/>
      <c r="H2043" s="206"/>
      <c r="I2043" s="206"/>
    </row>
    <row r="2044" spans="1:9" x14ac:dyDescent="0.35">
      <c r="A2044" s="160">
        <f t="shared" si="56"/>
        <v>0</v>
      </c>
      <c r="B2044" s="160">
        <f t="shared" si="57"/>
        <v>0</v>
      </c>
      <c r="C2044" s="160">
        <f t="shared" si="58"/>
        <v>0</v>
      </c>
      <c r="D2044" s="160">
        <f t="shared" si="59"/>
        <v>1</v>
      </c>
      <c r="E2044" s="206"/>
      <c r="F2044" s="206"/>
      <c r="G2044" s="206"/>
      <c r="H2044" s="206"/>
      <c r="I2044" s="206"/>
    </row>
    <row r="2045" spans="1:9" x14ac:dyDescent="0.35">
      <c r="A2045" s="160">
        <f t="shared" si="56"/>
        <v>0</v>
      </c>
      <c r="B2045" s="160">
        <f t="shared" si="57"/>
        <v>0</v>
      </c>
      <c r="C2045" s="160">
        <f t="shared" si="58"/>
        <v>0</v>
      </c>
      <c r="D2045" s="160">
        <f t="shared" si="59"/>
        <v>1</v>
      </c>
      <c r="E2045" s="206"/>
      <c r="F2045" s="206"/>
      <c r="G2045" s="206"/>
      <c r="H2045" s="206"/>
      <c r="I2045" s="206"/>
    </row>
    <row r="2046" spans="1:9" x14ac:dyDescent="0.35">
      <c r="A2046" s="160">
        <f t="shared" si="56"/>
        <v>0</v>
      </c>
      <c r="B2046" s="160">
        <f t="shared" si="57"/>
        <v>0</v>
      </c>
      <c r="C2046" s="160">
        <f t="shared" si="58"/>
        <v>0</v>
      </c>
      <c r="D2046" s="160">
        <f t="shared" si="59"/>
        <v>1</v>
      </c>
      <c r="E2046" s="206"/>
      <c r="F2046" s="206"/>
      <c r="G2046" s="206"/>
      <c r="H2046" s="206"/>
      <c r="I2046" s="206"/>
    </row>
    <row r="2047" spans="1:9" x14ac:dyDescent="0.35">
      <c r="A2047" s="160">
        <f t="shared" si="56"/>
        <v>0</v>
      </c>
      <c r="B2047" s="160">
        <f t="shared" si="57"/>
        <v>0</v>
      </c>
      <c r="C2047" s="160">
        <f t="shared" si="58"/>
        <v>0</v>
      </c>
      <c r="D2047" s="160">
        <f t="shared" si="59"/>
        <v>1</v>
      </c>
      <c r="E2047" s="206"/>
      <c r="F2047" s="206"/>
      <c r="G2047" s="206"/>
      <c r="H2047" s="206"/>
      <c r="I2047" s="206"/>
    </row>
    <row r="2048" spans="1:9" x14ac:dyDescent="0.35">
      <c r="A2048" s="160">
        <f t="shared" si="56"/>
        <v>1</v>
      </c>
      <c r="B2048" s="160">
        <f t="shared" si="57"/>
        <v>0</v>
      </c>
      <c r="C2048" s="160">
        <f t="shared" si="58"/>
        <v>1</v>
      </c>
      <c r="D2048" s="160">
        <f t="shared" si="59"/>
        <v>0.5</v>
      </c>
      <c r="E2048" s="206"/>
      <c r="F2048" s="206"/>
      <c r="G2048" s="206"/>
      <c r="H2048" s="206"/>
      <c r="I2048" s="206"/>
    </row>
    <row r="2049" spans="1:9" x14ac:dyDescent="0.35">
      <c r="A2049" s="160">
        <f t="shared" si="56"/>
        <v>0</v>
      </c>
      <c r="B2049" s="160">
        <f t="shared" si="57"/>
        <v>0</v>
      </c>
      <c r="C2049" s="160">
        <f t="shared" si="58"/>
        <v>0</v>
      </c>
      <c r="D2049" s="160">
        <f t="shared" si="59"/>
        <v>1</v>
      </c>
      <c r="E2049" s="206"/>
      <c r="F2049" s="206"/>
      <c r="G2049" s="206"/>
      <c r="H2049" s="206"/>
      <c r="I2049" s="206"/>
    </row>
    <row r="2050" spans="1:9" x14ac:dyDescent="0.35">
      <c r="A2050" s="160">
        <f t="shared" si="56"/>
        <v>0</v>
      </c>
      <c r="B2050" s="160">
        <f t="shared" si="57"/>
        <v>1</v>
      </c>
      <c r="C2050" s="160">
        <f t="shared" si="58"/>
        <v>1</v>
      </c>
      <c r="D2050" s="160">
        <f t="shared" si="59"/>
        <v>0.5</v>
      </c>
      <c r="E2050" s="206"/>
      <c r="F2050" s="206"/>
      <c r="G2050" s="206"/>
      <c r="H2050" s="206"/>
      <c r="I2050" s="206"/>
    </row>
    <row r="2051" spans="1:9" x14ac:dyDescent="0.35">
      <c r="A2051" s="160">
        <f t="shared" si="56"/>
        <v>1</v>
      </c>
      <c r="B2051" s="160">
        <f t="shared" si="57"/>
        <v>2</v>
      </c>
      <c r="C2051" s="160">
        <f t="shared" si="58"/>
        <v>3</v>
      </c>
      <c r="D2051" s="160">
        <f t="shared" si="59"/>
        <v>0.25</v>
      </c>
      <c r="E2051" s="206"/>
      <c r="F2051" s="206"/>
      <c r="G2051" s="206"/>
      <c r="H2051" s="206"/>
      <c r="I2051" s="206"/>
    </row>
    <row r="2052" spans="1:9" x14ac:dyDescent="0.35">
      <c r="A2052" s="160">
        <f t="shared" si="56"/>
        <v>0</v>
      </c>
      <c r="B2052" s="160">
        <f t="shared" si="57"/>
        <v>0</v>
      </c>
      <c r="C2052" s="160">
        <f t="shared" si="58"/>
        <v>0</v>
      </c>
      <c r="D2052" s="160">
        <f t="shared" si="59"/>
        <v>1</v>
      </c>
      <c r="E2052" s="206"/>
      <c r="F2052" s="206"/>
      <c r="G2052" s="206"/>
      <c r="H2052" s="206"/>
      <c r="I2052" s="206"/>
    </row>
    <row r="2053" spans="1:9" x14ac:dyDescent="0.35">
      <c r="A2053" s="160">
        <f t="shared" si="56"/>
        <v>2</v>
      </c>
      <c r="B2053" s="160">
        <f t="shared" si="57"/>
        <v>0</v>
      </c>
      <c r="C2053" s="160">
        <f t="shared" si="58"/>
        <v>2</v>
      </c>
      <c r="D2053" s="160">
        <f t="shared" si="59"/>
        <v>0.33333333333333331</v>
      </c>
      <c r="E2053" s="206"/>
      <c r="F2053" s="206"/>
      <c r="G2053" s="206"/>
      <c r="H2053" s="206"/>
      <c r="I2053" s="206"/>
    </row>
    <row r="2054" spans="1:9" x14ac:dyDescent="0.35">
      <c r="A2054" s="160">
        <f t="shared" si="56"/>
        <v>0</v>
      </c>
      <c r="B2054" s="160">
        <f t="shared" si="57"/>
        <v>0</v>
      </c>
      <c r="C2054" s="160">
        <f t="shared" si="58"/>
        <v>0</v>
      </c>
      <c r="D2054" s="160">
        <f t="shared" si="59"/>
        <v>1</v>
      </c>
      <c r="E2054" s="206"/>
      <c r="F2054" s="206"/>
      <c r="G2054" s="206"/>
      <c r="H2054" s="206"/>
      <c r="I2054" s="206"/>
    </row>
    <row r="2055" spans="1:9" x14ac:dyDescent="0.35">
      <c r="A2055" s="160">
        <f t="shared" si="56"/>
        <v>1</v>
      </c>
      <c r="B2055" s="160">
        <f t="shared" si="57"/>
        <v>0</v>
      </c>
      <c r="C2055" s="160">
        <f t="shared" si="58"/>
        <v>1</v>
      </c>
      <c r="D2055" s="160">
        <f t="shared" si="59"/>
        <v>0.5</v>
      </c>
      <c r="E2055" s="206"/>
      <c r="F2055" s="206"/>
      <c r="G2055" s="206"/>
      <c r="H2055" s="206"/>
      <c r="I2055" s="206"/>
    </row>
    <row r="2056" spans="1:9" x14ac:dyDescent="0.35">
      <c r="A2056" s="160">
        <f t="shared" si="56"/>
        <v>3</v>
      </c>
      <c r="B2056" s="160">
        <f t="shared" si="57"/>
        <v>0</v>
      </c>
      <c r="C2056" s="160">
        <f t="shared" si="58"/>
        <v>3</v>
      </c>
      <c r="D2056" s="160">
        <f t="shared" si="59"/>
        <v>0.25</v>
      </c>
      <c r="E2056" s="206"/>
      <c r="F2056" s="206"/>
      <c r="G2056" s="206"/>
      <c r="H2056" s="206"/>
      <c r="I2056" s="206"/>
    </row>
    <row r="2057" spans="1:9" x14ac:dyDescent="0.35">
      <c r="A2057" s="160">
        <f t="shared" si="56"/>
        <v>0</v>
      </c>
      <c r="B2057" s="160">
        <f t="shared" si="57"/>
        <v>0</v>
      </c>
      <c r="C2057" s="160">
        <f t="shared" si="58"/>
        <v>0</v>
      </c>
      <c r="D2057" s="160">
        <f t="shared" si="59"/>
        <v>1</v>
      </c>
      <c r="E2057" s="206"/>
      <c r="F2057" s="206"/>
      <c r="G2057" s="206"/>
      <c r="H2057" s="206"/>
      <c r="I2057" s="206"/>
    </row>
    <row r="2058" spans="1:9" x14ac:dyDescent="0.35">
      <c r="A2058" s="160">
        <f t="shared" si="56"/>
        <v>1</v>
      </c>
      <c r="B2058" s="160">
        <f t="shared" si="57"/>
        <v>0</v>
      </c>
      <c r="C2058" s="160">
        <f t="shared" si="58"/>
        <v>1</v>
      </c>
      <c r="D2058" s="160">
        <f t="shared" si="59"/>
        <v>0.5</v>
      </c>
      <c r="E2058" s="206"/>
      <c r="F2058" s="206"/>
      <c r="G2058" s="206"/>
      <c r="H2058" s="206"/>
      <c r="I2058" s="206"/>
    </row>
    <row r="2059" spans="1:9" x14ac:dyDescent="0.35">
      <c r="A2059" s="160">
        <f t="shared" si="56"/>
        <v>2</v>
      </c>
      <c r="B2059" s="160">
        <f t="shared" si="57"/>
        <v>0</v>
      </c>
      <c r="C2059" s="160">
        <f t="shared" si="58"/>
        <v>2</v>
      </c>
      <c r="D2059" s="160">
        <f t="shared" si="59"/>
        <v>0.33333333333333331</v>
      </c>
      <c r="E2059" s="206"/>
      <c r="F2059" s="206"/>
      <c r="G2059" s="206"/>
      <c r="H2059" s="206"/>
      <c r="I2059" s="206"/>
    </row>
    <row r="2060" spans="1:9" x14ac:dyDescent="0.35">
      <c r="A2060" s="160">
        <f t="shared" si="56"/>
        <v>1</v>
      </c>
      <c r="B2060" s="160">
        <f t="shared" si="57"/>
        <v>1</v>
      </c>
      <c r="C2060" s="160">
        <f t="shared" si="58"/>
        <v>2</v>
      </c>
      <c r="D2060" s="160">
        <f t="shared" si="59"/>
        <v>0.33333333333333331</v>
      </c>
      <c r="E2060" s="206"/>
      <c r="F2060" s="206"/>
      <c r="G2060" s="206"/>
      <c r="H2060" s="206"/>
      <c r="I2060" s="206"/>
    </row>
    <row r="2061" spans="1:9" x14ac:dyDescent="0.35">
      <c r="A2061" s="160">
        <f t="shared" si="56"/>
        <v>0</v>
      </c>
      <c r="B2061" s="160">
        <f t="shared" si="57"/>
        <v>0</v>
      </c>
      <c r="C2061" s="160">
        <f t="shared" si="58"/>
        <v>0</v>
      </c>
      <c r="D2061" s="160">
        <f t="shared" si="59"/>
        <v>1</v>
      </c>
      <c r="E2061" s="206"/>
      <c r="F2061" s="206"/>
      <c r="G2061" s="206"/>
      <c r="H2061" s="206"/>
      <c r="I2061" s="206"/>
    </row>
    <row r="2062" spans="1:9" x14ac:dyDescent="0.35">
      <c r="A2062" s="160">
        <f t="shared" si="56"/>
        <v>0</v>
      </c>
      <c r="B2062" s="160">
        <f t="shared" si="57"/>
        <v>0</v>
      </c>
      <c r="C2062" s="160">
        <f t="shared" si="58"/>
        <v>0</v>
      </c>
      <c r="D2062" s="160">
        <f t="shared" si="59"/>
        <v>1</v>
      </c>
      <c r="E2062" s="206"/>
      <c r="F2062" s="206"/>
      <c r="G2062" s="206"/>
      <c r="H2062" s="206"/>
      <c r="I2062" s="206"/>
    </row>
    <row r="2063" spans="1:9" x14ac:dyDescent="0.35">
      <c r="A2063" s="160">
        <f t="shared" si="56"/>
        <v>0</v>
      </c>
      <c r="B2063" s="160">
        <f t="shared" si="57"/>
        <v>0</v>
      </c>
      <c r="C2063" s="160">
        <f t="shared" si="58"/>
        <v>0</v>
      </c>
      <c r="D2063" s="160">
        <f t="shared" si="59"/>
        <v>1</v>
      </c>
      <c r="E2063" s="206"/>
      <c r="F2063" s="206"/>
      <c r="G2063" s="206"/>
      <c r="H2063" s="206"/>
      <c r="I2063" s="206"/>
    </row>
    <row r="2064" spans="1:9" x14ac:dyDescent="0.35">
      <c r="A2064" s="160">
        <f t="shared" si="56"/>
        <v>0</v>
      </c>
      <c r="B2064" s="160">
        <f t="shared" si="57"/>
        <v>0</v>
      </c>
      <c r="C2064" s="160">
        <f t="shared" si="58"/>
        <v>0</v>
      </c>
      <c r="D2064" s="160">
        <f t="shared" si="59"/>
        <v>1</v>
      </c>
      <c r="E2064" s="206"/>
      <c r="F2064" s="206"/>
      <c r="G2064" s="206"/>
      <c r="H2064" s="206"/>
      <c r="I2064" s="206"/>
    </row>
    <row r="2065" spans="1:9" x14ac:dyDescent="0.35">
      <c r="A2065" s="160">
        <f t="shared" si="56"/>
        <v>0</v>
      </c>
      <c r="B2065" s="160">
        <f t="shared" si="57"/>
        <v>1</v>
      </c>
      <c r="C2065" s="160">
        <f t="shared" si="58"/>
        <v>1</v>
      </c>
      <c r="D2065" s="160">
        <f t="shared" si="59"/>
        <v>0.5</v>
      </c>
      <c r="E2065" s="206"/>
      <c r="F2065" s="206"/>
      <c r="G2065" s="206"/>
      <c r="H2065" s="206"/>
      <c r="I2065" s="206"/>
    </row>
    <row r="2066" spans="1:9" x14ac:dyDescent="0.35">
      <c r="A2066" s="160">
        <f t="shared" si="56"/>
        <v>1</v>
      </c>
      <c r="B2066" s="160">
        <f t="shared" si="57"/>
        <v>0</v>
      </c>
      <c r="C2066" s="160">
        <f t="shared" si="58"/>
        <v>1</v>
      </c>
      <c r="D2066" s="160">
        <f t="shared" si="59"/>
        <v>0.5</v>
      </c>
      <c r="E2066" s="206"/>
      <c r="F2066" s="206"/>
      <c r="G2066" s="206"/>
      <c r="H2066" s="206"/>
      <c r="I2066" s="206"/>
    </row>
    <row r="2067" spans="1:9" x14ac:dyDescent="0.35">
      <c r="A2067" s="160">
        <f t="shared" si="56"/>
        <v>0</v>
      </c>
      <c r="B2067" s="160">
        <f t="shared" si="57"/>
        <v>0</v>
      </c>
      <c r="C2067" s="160">
        <f t="shared" si="58"/>
        <v>0</v>
      </c>
      <c r="D2067" s="160">
        <f t="shared" si="59"/>
        <v>1</v>
      </c>
      <c r="E2067" s="206"/>
      <c r="F2067" s="206"/>
      <c r="G2067" s="206"/>
      <c r="H2067" s="206"/>
      <c r="I2067" s="206"/>
    </row>
    <row r="2068" spans="1:9" x14ac:dyDescent="0.35">
      <c r="A2068" s="160">
        <f t="shared" si="56"/>
        <v>0</v>
      </c>
      <c r="B2068" s="160">
        <f t="shared" si="57"/>
        <v>0</v>
      </c>
      <c r="C2068" s="160">
        <f t="shared" si="58"/>
        <v>0</v>
      </c>
      <c r="D2068" s="160">
        <f t="shared" si="59"/>
        <v>1</v>
      </c>
      <c r="E2068" s="206"/>
      <c r="F2068" s="206"/>
      <c r="G2068" s="206"/>
      <c r="H2068" s="206"/>
      <c r="I2068" s="206"/>
    </row>
    <row r="2069" spans="1:9" x14ac:dyDescent="0.35">
      <c r="A2069" s="160">
        <f t="shared" si="56"/>
        <v>0</v>
      </c>
      <c r="B2069" s="160">
        <f t="shared" si="57"/>
        <v>1</v>
      </c>
      <c r="C2069" s="160">
        <f t="shared" si="58"/>
        <v>1</v>
      </c>
      <c r="D2069" s="160">
        <f t="shared" si="59"/>
        <v>0.5</v>
      </c>
      <c r="E2069" s="206"/>
      <c r="F2069" s="206"/>
      <c r="G2069" s="206"/>
      <c r="H2069" s="206"/>
      <c r="I2069" s="206"/>
    </row>
    <row r="2070" spans="1:9" x14ac:dyDescent="0.35">
      <c r="A2070" s="160">
        <f t="shared" si="56"/>
        <v>0</v>
      </c>
      <c r="B2070" s="160">
        <f t="shared" si="57"/>
        <v>0</v>
      </c>
      <c r="C2070" s="160">
        <f t="shared" si="58"/>
        <v>0</v>
      </c>
      <c r="D2070" s="160">
        <f t="shared" si="59"/>
        <v>1</v>
      </c>
      <c r="E2070" s="206"/>
      <c r="F2070" s="206"/>
      <c r="G2070" s="206"/>
      <c r="H2070" s="206"/>
      <c r="I2070" s="206"/>
    </row>
    <row r="2071" spans="1:9" x14ac:dyDescent="0.35">
      <c r="A2071" s="160">
        <f t="shared" si="56"/>
        <v>2</v>
      </c>
      <c r="B2071" s="160">
        <f t="shared" si="57"/>
        <v>1</v>
      </c>
      <c r="C2071" s="160">
        <f t="shared" si="58"/>
        <v>3</v>
      </c>
      <c r="D2071" s="160">
        <f t="shared" si="59"/>
        <v>0.25</v>
      </c>
      <c r="E2071" s="206"/>
      <c r="F2071" s="206"/>
      <c r="G2071" s="206"/>
      <c r="H2071" s="206"/>
      <c r="I2071" s="206"/>
    </row>
    <row r="2072" spans="1:9" x14ac:dyDescent="0.35">
      <c r="A2072" s="160">
        <f t="shared" si="56"/>
        <v>0</v>
      </c>
      <c r="B2072" s="160">
        <f t="shared" si="57"/>
        <v>0</v>
      </c>
      <c r="C2072" s="160">
        <f t="shared" si="58"/>
        <v>0</v>
      </c>
      <c r="D2072" s="160">
        <f t="shared" si="59"/>
        <v>1</v>
      </c>
      <c r="E2072" s="206"/>
      <c r="F2072" s="206"/>
      <c r="G2072" s="206"/>
      <c r="H2072" s="206"/>
      <c r="I2072" s="206"/>
    </row>
    <row r="2073" spans="1:9" x14ac:dyDescent="0.35">
      <c r="A2073" s="160">
        <f t="shared" si="56"/>
        <v>1</v>
      </c>
      <c r="B2073" s="160">
        <f t="shared" si="57"/>
        <v>0</v>
      </c>
      <c r="C2073" s="160">
        <f t="shared" si="58"/>
        <v>1</v>
      </c>
      <c r="D2073" s="160">
        <f t="shared" si="59"/>
        <v>0.5</v>
      </c>
      <c r="E2073" s="206"/>
      <c r="F2073" s="206"/>
      <c r="G2073" s="206"/>
      <c r="H2073" s="206"/>
      <c r="I2073" s="206"/>
    </row>
    <row r="2074" spans="1:9" x14ac:dyDescent="0.35">
      <c r="A2074" s="160">
        <f t="shared" si="56"/>
        <v>0</v>
      </c>
      <c r="B2074" s="160">
        <f t="shared" si="57"/>
        <v>0</v>
      </c>
      <c r="C2074" s="160">
        <f t="shared" si="58"/>
        <v>0</v>
      </c>
      <c r="D2074" s="160">
        <f t="shared" si="59"/>
        <v>1</v>
      </c>
      <c r="E2074" s="206"/>
      <c r="F2074" s="206"/>
      <c r="G2074" s="206"/>
      <c r="H2074" s="206"/>
      <c r="I2074" s="206"/>
    </row>
    <row r="2075" spans="1:9" x14ac:dyDescent="0.35">
      <c r="A2075" s="160">
        <f t="shared" si="56"/>
        <v>0</v>
      </c>
      <c r="B2075" s="160">
        <f t="shared" si="57"/>
        <v>0</v>
      </c>
      <c r="C2075" s="160">
        <f t="shared" si="58"/>
        <v>0</v>
      </c>
      <c r="D2075" s="160">
        <f t="shared" si="59"/>
        <v>1</v>
      </c>
      <c r="E2075" s="206"/>
      <c r="F2075" s="206"/>
      <c r="G2075" s="206"/>
      <c r="H2075" s="206"/>
      <c r="I2075" s="206"/>
    </row>
    <row r="2076" spans="1:9" x14ac:dyDescent="0.35">
      <c r="A2076" s="160">
        <f t="shared" si="56"/>
        <v>0</v>
      </c>
      <c r="B2076" s="160">
        <f t="shared" si="57"/>
        <v>0</v>
      </c>
      <c r="C2076" s="160">
        <f t="shared" si="58"/>
        <v>0</v>
      </c>
      <c r="D2076" s="160">
        <f t="shared" si="59"/>
        <v>1</v>
      </c>
      <c r="E2076" s="206"/>
      <c r="F2076" s="206"/>
      <c r="G2076" s="206"/>
      <c r="H2076" s="206"/>
      <c r="I2076" s="206"/>
    </row>
    <row r="2077" spans="1:9" x14ac:dyDescent="0.35">
      <c r="A2077" s="160">
        <f t="shared" si="56"/>
        <v>0</v>
      </c>
      <c r="B2077" s="160">
        <f t="shared" si="57"/>
        <v>0</v>
      </c>
      <c r="C2077" s="160">
        <f t="shared" si="58"/>
        <v>0</v>
      </c>
      <c r="D2077" s="160">
        <f t="shared" si="59"/>
        <v>1</v>
      </c>
      <c r="E2077" s="206"/>
      <c r="F2077" s="206"/>
      <c r="G2077" s="206"/>
      <c r="H2077" s="206"/>
      <c r="I2077" s="206"/>
    </row>
    <row r="2078" spans="1:9" x14ac:dyDescent="0.35">
      <c r="A2078" s="160">
        <f t="shared" si="56"/>
        <v>1</v>
      </c>
      <c r="B2078" s="160">
        <f t="shared" si="57"/>
        <v>0</v>
      </c>
      <c r="C2078" s="160">
        <f t="shared" si="58"/>
        <v>1</v>
      </c>
      <c r="D2078" s="160">
        <f t="shared" si="59"/>
        <v>0.5</v>
      </c>
      <c r="E2078" s="206"/>
      <c r="F2078" s="206"/>
      <c r="G2078" s="206"/>
      <c r="H2078" s="206"/>
      <c r="I2078" s="206"/>
    </row>
    <row r="2079" spans="1:9" x14ac:dyDescent="0.35">
      <c r="A2079" s="160">
        <f t="shared" si="56"/>
        <v>1</v>
      </c>
      <c r="B2079" s="160">
        <f t="shared" si="57"/>
        <v>1</v>
      </c>
      <c r="C2079" s="160">
        <f t="shared" si="58"/>
        <v>2</v>
      </c>
      <c r="D2079" s="160">
        <f t="shared" si="59"/>
        <v>0.33333333333333331</v>
      </c>
      <c r="E2079" s="206"/>
      <c r="F2079" s="206"/>
      <c r="G2079" s="206"/>
      <c r="H2079" s="206"/>
      <c r="I2079" s="206"/>
    </row>
    <row r="2080" spans="1:9" x14ac:dyDescent="0.35">
      <c r="A2080" s="160">
        <f t="shared" si="56"/>
        <v>0</v>
      </c>
      <c r="B2080" s="160">
        <f t="shared" si="57"/>
        <v>0</v>
      </c>
      <c r="C2080" s="160">
        <f t="shared" si="58"/>
        <v>0</v>
      </c>
      <c r="D2080" s="160">
        <f t="shared" si="59"/>
        <v>1</v>
      </c>
      <c r="E2080" s="206"/>
      <c r="F2080" s="206"/>
      <c r="G2080" s="206"/>
      <c r="H2080" s="206"/>
      <c r="I2080" s="206"/>
    </row>
    <row r="2081" spans="1:9" x14ac:dyDescent="0.35">
      <c r="A2081" s="160">
        <f t="shared" si="56"/>
        <v>1</v>
      </c>
      <c r="B2081" s="160">
        <f t="shared" si="57"/>
        <v>0</v>
      </c>
      <c r="C2081" s="160">
        <f t="shared" si="58"/>
        <v>1</v>
      </c>
      <c r="D2081" s="160">
        <f t="shared" si="59"/>
        <v>0.5</v>
      </c>
      <c r="E2081" s="206"/>
      <c r="F2081" s="206"/>
      <c r="G2081" s="206"/>
      <c r="H2081" s="206"/>
      <c r="I2081" s="206"/>
    </row>
    <row r="2082" spans="1:9" x14ac:dyDescent="0.35">
      <c r="A2082" s="160">
        <f t="shared" si="56"/>
        <v>0</v>
      </c>
      <c r="B2082" s="160">
        <f t="shared" si="57"/>
        <v>0</v>
      </c>
      <c r="C2082" s="160">
        <f t="shared" si="58"/>
        <v>0</v>
      </c>
      <c r="D2082" s="160">
        <f t="shared" si="59"/>
        <v>1</v>
      </c>
      <c r="E2082" s="206"/>
      <c r="F2082" s="206"/>
      <c r="G2082" s="206"/>
      <c r="H2082" s="206"/>
      <c r="I2082" s="206"/>
    </row>
    <row r="2083" spans="1:9" x14ac:dyDescent="0.35">
      <c r="A2083" s="160">
        <f t="shared" ref="A2083:A2146" si="60">SUMPRODUCT(($R$4:$R$1115=R965)*($Q$4:$Q$1115=Q965)*(ROW($R$4:$R$1115)&gt;ROW(R965)))</f>
        <v>2</v>
      </c>
      <c r="B2083" s="160">
        <f t="shared" ref="B2083:B2146" si="61">SUMPRODUCT(($K$4:$K$1115=K965)*($Q$4:$Q$1115=Q965)*(ROW($K$4:$K$1115)&gt;ROW(K965)))</f>
        <v>0</v>
      </c>
      <c r="C2083" s="160">
        <f t="shared" ref="C2083:C2146" si="62">SUM(A2083:B2083)</f>
        <v>2</v>
      </c>
      <c r="D2083" s="160">
        <f t="shared" ref="D2083:D2146" si="63">1/(1+C2083)</f>
        <v>0.33333333333333331</v>
      </c>
      <c r="E2083" s="206"/>
      <c r="F2083" s="206"/>
      <c r="G2083" s="206"/>
      <c r="H2083" s="206"/>
      <c r="I2083" s="206"/>
    </row>
    <row r="2084" spans="1:9" x14ac:dyDescent="0.35">
      <c r="A2084" s="160">
        <f t="shared" si="60"/>
        <v>0</v>
      </c>
      <c r="B2084" s="160">
        <f t="shared" si="61"/>
        <v>0</v>
      </c>
      <c r="C2084" s="160">
        <f t="shared" si="62"/>
        <v>0</v>
      </c>
      <c r="D2084" s="160">
        <f t="shared" si="63"/>
        <v>1</v>
      </c>
      <c r="E2084" s="206"/>
      <c r="F2084" s="206"/>
      <c r="G2084" s="206"/>
      <c r="H2084" s="206"/>
      <c r="I2084" s="206"/>
    </row>
    <row r="2085" spans="1:9" x14ac:dyDescent="0.35">
      <c r="A2085" s="160">
        <f t="shared" si="60"/>
        <v>0</v>
      </c>
      <c r="B2085" s="160">
        <f t="shared" si="61"/>
        <v>0</v>
      </c>
      <c r="C2085" s="160">
        <f t="shared" si="62"/>
        <v>0</v>
      </c>
      <c r="D2085" s="160">
        <f t="shared" si="63"/>
        <v>1</v>
      </c>
      <c r="E2085" s="206"/>
      <c r="F2085" s="206"/>
      <c r="G2085" s="206"/>
      <c r="H2085" s="206"/>
      <c r="I2085" s="206"/>
    </row>
    <row r="2086" spans="1:9" x14ac:dyDescent="0.35">
      <c r="A2086" s="160">
        <f t="shared" si="60"/>
        <v>0</v>
      </c>
      <c r="B2086" s="160">
        <f t="shared" si="61"/>
        <v>0</v>
      </c>
      <c r="C2086" s="160">
        <f t="shared" si="62"/>
        <v>0</v>
      </c>
      <c r="D2086" s="160">
        <f t="shared" si="63"/>
        <v>1</v>
      </c>
      <c r="E2086" s="206"/>
      <c r="F2086" s="206"/>
      <c r="G2086" s="206"/>
      <c r="H2086" s="206"/>
      <c r="I2086" s="206"/>
    </row>
    <row r="2087" spans="1:9" x14ac:dyDescent="0.35">
      <c r="A2087" s="160">
        <f t="shared" si="60"/>
        <v>0</v>
      </c>
      <c r="B2087" s="160">
        <f t="shared" si="61"/>
        <v>1</v>
      </c>
      <c r="C2087" s="160">
        <f t="shared" si="62"/>
        <v>1</v>
      </c>
      <c r="D2087" s="160">
        <f t="shared" si="63"/>
        <v>0.5</v>
      </c>
      <c r="E2087" s="206"/>
      <c r="F2087" s="206"/>
      <c r="G2087" s="206"/>
      <c r="H2087" s="206"/>
      <c r="I2087" s="206"/>
    </row>
    <row r="2088" spans="1:9" x14ac:dyDescent="0.35">
      <c r="A2088" s="160">
        <f t="shared" si="60"/>
        <v>0</v>
      </c>
      <c r="B2088" s="160">
        <f t="shared" si="61"/>
        <v>0</v>
      </c>
      <c r="C2088" s="160">
        <f t="shared" si="62"/>
        <v>0</v>
      </c>
      <c r="D2088" s="160">
        <f t="shared" si="63"/>
        <v>1</v>
      </c>
      <c r="E2088" s="206"/>
      <c r="F2088" s="206"/>
      <c r="G2088" s="206"/>
      <c r="H2088" s="206"/>
      <c r="I2088" s="206"/>
    </row>
    <row r="2089" spans="1:9" x14ac:dyDescent="0.35">
      <c r="A2089" s="160">
        <f t="shared" si="60"/>
        <v>1</v>
      </c>
      <c r="B2089" s="160">
        <f t="shared" si="61"/>
        <v>1</v>
      </c>
      <c r="C2089" s="160">
        <f t="shared" si="62"/>
        <v>2</v>
      </c>
      <c r="D2089" s="160">
        <f t="shared" si="63"/>
        <v>0.33333333333333331</v>
      </c>
      <c r="E2089" s="206"/>
      <c r="F2089" s="206"/>
      <c r="G2089" s="206"/>
      <c r="H2089" s="206"/>
      <c r="I2089" s="206"/>
    </row>
    <row r="2090" spans="1:9" x14ac:dyDescent="0.35">
      <c r="A2090" s="160">
        <f t="shared" si="60"/>
        <v>1</v>
      </c>
      <c r="B2090" s="160">
        <f t="shared" si="61"/>
        <v>0</v>
      </c>
      <c r="C2090" s="160">
        <f t="shared" si="62"/>
        <v>1</v>
      </c>
      <c r="D2090" s="160">
        <f t="shared" si="63"/>
        <v>0.5</v>
      </c>
      <c r="E2090" s="206"/>
      <c r="F2090" s="206"/>
      <c r="G2090" s="206"/>
      <c r="H2090" s="206"/>
      <c r="I2090" s="206"/>
    </row>
    <row r="2091" spans="1:9" x14ac:dyDescent="0.35">
      <c r="A2091" s="160">
        <f t="shared" si="60"/>
        <v>0</v>
      </c>
      <c r="B2091" s="160">
        <f t="shared" si="61"/>
        <v>0</v>
      </c>
      <c r="C2091" s="160">
        <f t="shared" si="62"/>
        <v>0</v>
      </c>
      <c r="D2091" s="160">
        <f t="shared" si="63"/>
        <v>1</v>
      </c>
      <c r="E2091" s="206"/>
      <c r="F2091" s="206"/>
      <c r="G2091" s="206"/>
      <c r="H2091" s="206"/>
      <c r="I2091" s="206"/>
    </row>
    <row r="2092" spans="1:9" x14ac:dyDescent="0.35">
      <c r="A2092" s="160">
        <f t="shared" si="60"/>
        <v>0</v>
      </c>
      <c r="B2092" s="160">
        <f t="shared" si="61"/>
        <v>0</v>
      </c>
      <c r="C2092" s="160">
        <f t="shared" si="62"/>
        <v>0</v>
      </c>
      <c r="D2092" s="160">
        <f t="shared" si="63"/>
        <v>1</v>
      </c>
      <c r="E2092" s="206"/>
      <c r="F2092" s="206"/>
      <c r="G2092" s="206"/>
      <c r="H2092" s="206"/>
      <c r="I2092" s="206"/>
    </row>
    <row r="2093" spans="1:9" x14ac:dyDescent="0.35">
      <c r="A2093" s="160">
        <f t="shared" si="60"/>
        <v>0</v>
      </c>
      <c r="B2093" s="160">
        <f t="shared" si="61"/>
        <v>0</v>
      </c>
      <c r="C2093" s="160">
        <f t="shared" si="62"/>
        <v>0</v>
      </c>
      <c r="D2093" s="160">
        <f t="shared" si="63"/>
        <v>1</v>
      </c>
      <c r="E2093" s="206"/>
      <c r="F2093" s="206"/>
      <c r="G2093" s="206"/>
      <c r="H2093" s="206"/>
      <c r="I2093" s="206"/>
    </row>
    <row r="2094" spans="1:9" x14ac:dyDescent="0.35">
      <c r="A2094" s="160">
        <f t="shared" si="60"/>
        <v>2</v>
      </c>
      <c r="B2094" s="160">
        <f t="shared" si="61"/>
        <v>0</v>
      </c>
      <c r="C2094" s="160">
        <f t="shared" si="62"/>
        <v>2</v>
      </c>
      <c r="D2094" s="160">
        <f t="shared" si="63"/>
        <v>0.33333333333333331</v>
      </c>
      <c r="E2094" s="206"/>
      <c r="F2094" s="206"/>
      <c r="G2094" s="206"/>
      <c r="H2094" s="206"/>
      <c r="I2094" s="206"/>
    </row>
    <row r="2095" spans="1:9" x14ac:dyDescent="0.35">
      <c r="A2095" s="160">
        <f t="shared" si="60"/>
        <v>0</v>
      </c>
      <c r="B2095" s="160">
        <f t="shared" si="61"/>
        <v>0</v>
      </c>
      <c r="C2095" s="160">
        <f t="shared" si="62"/>
        <v>0</v>
      </c>
      <c r="D2095" s="160">
        <f t="shared" si="63"/>
        <v>1</v>
      </c>
      <c r="E2095" s="206"/>
      <c r="F2095" s="206"/>
      <c r="G2095" s="206"/>
      <c r="H2095" s="206"/>
      <c r="I2095" s="206"/>
    </row>
    <row r="2096" spans="1:9" x14ac:dyDescent="0.35">
      <c r="A2096" s="160">
        <f t="shared" si="60"/>
        <v>0</v>
      </c>
      <c r="B2096" s="160">
        <f t="shared" si="61"/>
        <v>1</v>
      </c>
      <c r="C2096" s="160">
        <f t="shared" si="62"/>
        <v>1</v>
      </c>
      <c r="D2096" s="160">
        <f t="shared" si="63"/>
        <v>0.5</v>
      </c>
      <c r="E2096" s="206"/>
      <c r="F2096" s="206"/>
      <c r="G2096" s="206"/>
      <c r="H2096" s="206"/>
      <c r="I2096" s="206"/>
    </row>
    <row r="2097" spans="1:9" x14ac:dyDescent="0.35">
      <c r="A2097" s="160">
        <f t="shared" si="60"/>
        <v>1</v>
      </c>
      <c r="B2097" s="160">
        <f t="shared" si="61"/>
        <v>1</v>
      </c>
      <c r="C2097" s="160">
        <f t="shared" si="62"/>
        <v>2</v>
      </c>
      <c r="D2097" s="160">
        <f t="shared" si="63"/>
        <v>0.33333333333333331</v>
      </c>
      <c r="E2097" s="206"/>
      <c r="F2097" s="206"/>
      <c r="G2097" s="206"/>
      <c r="H2097" s="206"/>
      <c r="I2097" s="206"/>
    </row>
    <row r="2098" spans="1:9" x14ac:dyDescent="0.35">
      <c r="A2098" s="160">
        <f t="shared" si="60"/>
        <v>0</v>
      </c>
      <c r="B2098" s="160">
        <f t="shared" si="61"/>
        <v>0</v>
      </c>
      <c r="C2098" s="160">
        <f t="shared" si="62"/>
        <v>0</v>
      </c>
      <c r="D2098" s="160">
        <f t="shared" si="63"/>
        <v>1</v>
      </c>
      <c r="E2098" s="206"/>
      <c r="F2098" s="206"/>
      <c r="G2098" s="206"/>
      <c r="H2098" s="206"/>
      <c r="I2098" s="206"/>
    </row>
    <row r="2099" spans="1:9" x14ac:dyDescent="0.35">
      <c r="A2099" s="160">
        <f t="shared" si="60"/>
        <v>0</v>
      </c>
      <c r="B2099" s="160">
        <f t="shared" si="61"/>
        <v>0</v>
      </c>
      <c r="C2099" s="160">
        <f t="shared" si="62"/>
        <v>0</v>
      </c>
      <c r="D2099" s="160">
        <f t="shared" si="63"/>
        <v>1</v>
      </c>
      <c r="E2099" s="206"/>
      <c r="F2099" s="206"/>
      <c r="G2099" s="206"/>
      <c r="H2099" s="206"/>
      <c r="I2099" s="206"/>
    </row>
    <row r="2100" spans="1:9" x14ac:dyDescent="0.35">
      <c r="A2100" s="160">
        <f t="shared" si="60"/>
        <v>0</v>
      </c>
      <c r="B2100" s="160">
        <f t="shared" si="61"/>
        <v>0</v>
      </c>
      <c r="C2100" s="160">
        <f t="shared" si="62"/>
        <v>0</v>
      </c>
      <c r="D2100" s="160">
        <f t="shared" si="63"/>
        <v>1</v>
      </c>
      <c r="E2100" s="206"/>
      <c r="F2100" s="206"/>
      <c r="G2100" s="206"/>
      <c r="H2100" s="206"/>
      <c r="I2100" s="206"/>
    </row>
    <row r="2101" spans="1:9" x14ac:dyDescent="0.35">
      <c r="A2101" s="160">
        <f t="shared" si="60"/>
        <v>0</v>
      </c>
      <c r="B2101" s="160">
        <f t="shared" si="61"/>
        <v>0</v>
      </c>
      <c r="C2101" s="160">
        <f t="shared" si="62"/>
        <v>0</v>
      </c>
      <c r="D2101" s="160">
        <f t="shared" si="63"/>
        <v>1</v>
      </c>
      <c r="E2101" s="206"/>
      <c r="F2101" s="206"/>
      <c r="G2101" s="206"/>
      <c r="H2101" s="206"/>
      <c r="I2101" s="206"/>
    </row>
    <row r="2102" spans="1:9" x14ac:dyDescent="0.35">
      <c r="A2102" s="160">
        <f t="shared" si="60"/>
        <v>2</v>
      </c>
      <c r="B2102" s="160">
        <f t="shared" si="61"/>
        <v>0</v>
      </c>
      <c r="C2102" s="160">
        <f t="shared" si="62"/>
        <v>2</v>
      </c>
      <c r="D2102" s="160">
        <f t="shared" si="63"/>
        <v>0.33333333333333331</v>
      </c>
      <c r="E2102" s="206"/>
      <c r="F2102" s="206"/>
      <c r="G2102" s="206"/>
      <c r="H2102" s="206"/>
      <c r="I2102" s="206"/>
    </row>
    <row r="2103" spans="1:9" x14ac:dyDescent="0.35">
      <c r="A2103" s="160">
        <f t="shared" si="60"/>
        <v>0</v>
      </c>
      <c r="B2103" s="160">
        <f t="shared" si="61"/>
        <v>0</v>
      </c>
      <c r="C2103" s="160">
        <f t="shared" si="62"/>
        <v>0</v>
      </c>
      <c r="D2103" s="160">
        <f t="shared" si="63"/>
        <v>1</v>
      </c>
      <c r="E2103" s="206"/>
      <c r="F2103" s="206"/>
      <c r="G2103" s="206"/>
      <c r="H2103" s="206"/>
      <c r="I2103" s="206"/>
    </row>
    <row r="2104" spans="1:9" x14ac:dyDescent="0.35">
      <c r="A2104" s="160">
        <f t="shared" si="60"/>
        <v>0</v>
      </c>
      <c r="B2104" s="160">
        <f t="shared" si="61"/>
        <v>0</v>
      </c>
      <c r="C2104" s="160">
        <f t="shared" si="62"/>
        <v>0</v>
      </c>
      <c r="D2104" s="160">
        <f t="shared" si="63"/>
        <v>1</v>
      </c>
      <c r="E2104" s="206"/>
      <c r="F2104" s="206"/>
      <c r="G2104" s="206"/>
      <c r="H2104" s="206"/>
      <c r="I2104" s="206"/>
    </row>
    <row r="2105" spans="1:9" x14ac:dyDescent="0.35">
      <c r="A2105" s="160">
        <f t="shared" si="60"/>
        <v>0</v>
      </c>
      <c r="B2105" s="160">
        <f t="shared" si="61"/>
        <v>0</v>
      </c>
      <c r="C2105" s="160">
        <f t="shared" si="62"/>
        <v>0</v>
      </c>
      <c r="D2105" s="160">
        <f t="shared" si="63"/>
        <v>1</v>
      </c>
      <c r="E2105" s="206"/>
      <c r="F2105" s="206"/>
      <c r="G2105" s="206"/>
      <c r="H2105" s="206"/>
      <c r="I2105" s="206"/>
    </row>
    <row r="2106" spans="1:9" x14ac:dyDescent="0.35">
      <c r="A2106" s="160">
        <f t="shared" si="60"/>
        <v>0</v>
      </c>
      <c r="B2106" s="160">
        <f t="shared" si="61"/>
        <v>0</v>
      </c>
      <c r="C2106" s="160">
        <f t="shared" si="62"/>
        <v>0</v>
      </c>
      <c r="D2106" s="160">
        <f t="shared" si="63"/>
        <v>1</v>
      </c>
      <c r="E2106" s="206"/>
      <c r="F2106" s="206"/>
      <c r="G2106" s="206"/>
      <c r="H2106" s="206"/>
      <c r="I2106" s="206"/>
    </row>
    <row r="2107" spans="1:9" x14ac:dyDescent="0.35">
      <c r="A2107" s="160">
        <f t="shared" si="60"/>
        <v>1</v>
      </c>
      <c r="B2107" s="160">
        <f t="shared" si="61"/>
        <v>0</v>
      </c>
      <c r="C2107" s="160">
        <f t="shared" si="62"/>
        <v>1</v>
      </c>
      <c r="D2107" s="160">
        <f t="shared" si="63"/>
        <v>0.5</v>
      </c>
      <c r="E2107" s="206"/>
      <c r="F2107" s="206"/>
      <c r="G2107" s="206"/>
      <c r="H2107" s="206"/>
      <c r="I2107" s="206"/>
    </row>
    <row r="2108" spans="1:9" x14ac:dyDescent="0.35">
      <c r="A2108" s="160">
        <f t="shared" si="60"/>
        <v>0</v>
      </c>
      <c r="B2108" s="160">
        <f t="shared" si="61"/>
        <v>0</v>
      </c>
      <c r="C2108" s="160">
        <f t="shared" si="62"/>
        <v>0</v>
      </c>
      <c r="D2108" s="160">
        <f t="shared" si="63"/>
        <v>1</v>
      </c>
      <c r="E2108" s="206"/>
      <c r="F2108" s="206"/>
      <c r="G2108" s="206"/>
      <c r="H2108" s="206"/>
      <c r="I2108" s="206"/>
    </row>
    <row r="2109" spans="1:9" x14ac:dyDescent="0.35">
      <c r="A2109" s="160">
        <f t="shared" si="60"/>
        <v>0</v>
      </c>
      <c r="B2109" s="160">
        <f t="shared" si="61"/>
        <v>2</v>
      </c>
      <c r="C2109" s="160">
        <f t="shared" si="62"/>
        <v>2</v>
      </c>
      <c r="D2109" s="160">
        <f t="shared" si="63"/>
        <v>0.33333333333333331</v>
      </c>
      <c r="E2109" s="206"/>
      <c r="F2109" s="206"/>
      <c r="G2109" s="206"/>
      <c r="H2109" s="206"/>
      <c r="I2109" s="206"/>
    </row>
    <row r="2110" spans="1:9" x14ac:dyDescent="0.35">
      <c r="A2110" s="160">
        <f t="shared" si="60"/>
        <v>0</v>
      </c>
      <c r="B2110" s="160">
        <f t="shared" si="61"/>
        <v>0</v>
      </c>
      <c r="C2110" s="160">
        <f t="shared" si="62"/>
        <v>0</v>
      </c>
      <c r="D2110" s="160">
        <f t="shared" si="63"/>
        <v>1</v>
      </c>
      <c r="E2110" s="206"/>
      <c r="F2110" s="206"/>
      <c r="G2110" s="206"/>
      <c r="H2110" s="206"/>
      <c r="I2110" s="206"/>
    </row>
    <row r="2111" spans="1:9" x14ac:dyDescent="0.35">
      <c r="A2111" s="160">
        <f t="shared" si="60"/>
        <v>0</v>
      </c>
      <c r="B2111" s="160">
        <f t="shared" si="61"/>
        <v>0</v>
      </c>
      <c r="C2111" s="160">
        <f t="shared" si="62"/>
        <v>0</v>
      </c>
      <c r="D2111" s="160">
        <f t="shared" si="63"/>
        <v>1</v>
      </c>
      <c r="E2111" s="206"/>
      <c r="F2111" s="206"/>
      <c r="G2111" s="206"/>
      <c r="H2111" s="206"/>
      <c r="I2111" s="206"/>
    </row>
    <row r="2112" spans="1:9" x14ac:dyDescent="0.35">
      <c r="A2112" s="160">
        <f t="shared" si="60"/>
        <v>0</v>
      </c>
      <c r="B2112" s="160">
        <f t="shared" si="61"/>
        <v>0</v>
      </c>
      <c r="C2112" s="160">
        <f t="shared" si="62"/>
        <v>0</v>
      </c>
      <c r="D2112" s="160">
        <f t="shared" si="63"/>
        <v>1</v>
      </c>
      <c r="E2112" s="206"/>
      <c r="F2112" s="206"/>
      <c r="G2112" s="206"/>
      <c r="H2112" s="206"/>
      <c r="I2112" s="206"/>
    </row>
    <row r="2113" spans="1:9" x14ac:dyDescent="0.35">
      <c r="A2113" s="160">
        <f t="shared" si="60"/>
        <v>0</v>
      </c>
      <c r="B2113" s="160">
        <f t="shared" si="61"/>
        <v>1</v>
      </c>
      <c r="C2113" s="160">
        <f t="shared" si="62"/>
        <v>1</v>
      </c>
      <c r="D2113" s="160">
        <f t="shared" si="63"/>
        <v>0.5</v>
      </c>
      <c r="E2113" s="206"/>
      <c r="F2113" s="206"/>
      <c r="G2113" s="206"/>
      <c r="H2113" s="206"/>
      <c r="I2113" s="206"/>
    </row>
    <row r="2114" spans="1:9" x14ac:dyDescent="0.35">
      <c r="A2114" s="160">
        <f t="shared" si="60"/>
        <v>1</v>
      </c>
      <c r="B2114" s="160">
        <f t="shared" si="61"/>
        <v>0</v>
      </c>
      <c r="C2114" s="160">
        <f t="shared" si="62"/>
        <v>1</v>
      </c>
      <c r="D2114" s="160">
        <f t="shared" si="63"/>
        <v>0.5</v>
      </c>
      <c r="E2114" s="206"/>
      <c r="F2114" s="206"/>
      <c r="G2114" s="206"/>
      <c r="H2114" s="206"/>
      <c r="I2114" s="206"/>
    </row>
    <row r="2115" spans="1:9" x14ac:dyDescent="0.35">
      <c r="A2115" s="160">
        <f t="shared" si="60"/>
        <v>1</v>
      </c>
      <c r="B2115" s="160">
        <f t="shared" si="61"/>
        <v>2</v>
      </c>
      <c r="C2115" s="160">
        <f t="shared" si="62"/>
        <v>3</v>
      </c>
      <c r="D2115" s="160">
        <f t="shared" si="63"/>
        <v>0.25</v>
      </c>
      <c r="E2115" s="206"/>
      <c r="F2115" s="206"/>
      <c r="G2115" s="206"/>
      <c r="H2115" s="206"/>
      <c r="I2115" s="206"/>
    </row>
    <row r="2116" spans="1:9" x14ac:dyDescent="0.35">
      <c r="A2116" s="160">
        <f t="shared" si="60"/>
        <v>0</v>
      </c>
      <c r="B2116" s="160">
        <f t="shared" si="61"/>
        <v>0</v>
      </c>
      <c r="C2116" s="160">
        <f t="shared" si="62"/>
        <v>0</v>
      </c>
      <c r="D2116" s="160">
        <f t="shared" si="63"/>
        <v>1</v>
      </c>
      <c r="E2116" s="206"/>
      <c r="F2116" s="206"/>
      <c r="G2116" s="206"/>
      <c r="H2116" s="206"/>
      <c r="I2116" s="206"/>
    </row>
    <row r="2117" spans="1:9" x14ac:dyDescent="0.35">
      <c r="A2117" s="160">
        <f t="shared" si="60"/>
        <v>1</v>
      </c>
      <c r="B2117" s="160">
        <f t="shared" si="61"/>
        <v>0</v>
      </c>
      <c r="C2117" s="160">
        <f t="shared" si="62"/>
        <v>1</v>
      </c>
      <c r="D2117" s="160">
        <f t="shared" si="63"/>
        <v>0.5</v>
      </c>
      <c r="E2117" s="206"/>
      <c r="F2117" s="206"/>
      <c r="G2117" s="206"/>
      <c r="H2117" s="206"/>
      <c r="I2117" s="206"/>
    </row>
    <row r="2118" spans="1:9" x14ac:dyDescent="0.35">
      <c r="A2118" s="160">
        <f t="shared" si="60"/>
        <v>0</v>
      </c>
      <c r="B2118" s="160">
        <f t="shared" si="61"/>
        <v>0</v>
      </c>
      <c r="C2118" s="160">
        <f t="shared" si="62"/>
        <v>0</v>
      </c>
      <c r="D2118" s="160">
        <f t="shared" si="63"/>
        <v>1</v>
      </c>
      <c r="E2118" s="206"/>
      <c r="F2118" s="206"/>
      <c r="G2118" s="206"/>
      <c r="H2118" s="206"/>
      <c r="I2118" s="206"/>
    </row>
    <row r="2119" spans="1:9" x14ac:dyDescent="0.35">
      <c r="A2119" s="160">
        <f t="shared" si="60"/>
        <v>0</v>
      </c>
      <c r="B2119" s="160">
        <f t="shared" si="61"/>
        <v>0</v>
      </c>
      <c r="C2119" s="160">
        <f t="shared" si="62"/>
        <v>0</v>
      </c>
      <c r="D2119" s="160">
        <f t="shared" si="63"/>
        <v>1</v>
      </c>
      <c r="E2119" s="206"/>
      <c r="F2119" s="206"/>
      <c r="G2119" s="206"/>
      <c r="H2119" s="206"/>
      <c r="I2119" s="206"/>
    </row>
    <row r="2120" spans="1:9" x14ac:dyDescent="0.35">
      <c r="A2120" s="160">
        <f t="shared" si="60"/>
        <v>0</v>
      </c>
      <c r="B2120" s="160">
        <f t="shared" si="61"/>
        <v>0</v>
      </c>
      <c r="C2120" s="160">
        <f t="shared" si="62"/>
        <v>0</v>
      </c>
      <c r="D2120" s="160">
        <f t="shared" si="63"/>
        <v>1</v>
      </c>
      <c r="E2120" s="206"/>
      <c r="F2120" s="206"/>
      <c r="G2120" s="206"/>
      <c r="H2120" s="206"/>
      <c r="I2120" s="206"/>
    </row>
    <row r="2121" spans="1:9" x14ac:dyDescent="0.35">
      <c r="A2121" s="160">
        <f t="shared" si="60"/>
        <v>0</v>
      </c>
      <c r="B2121" s="160">
        <f t="shared" si="61"/>
        <v>1</v>
      </c>
      <c r="C2121" s="160">
        <f t="shared" si="62"/>
        <v>1</v>
      </c>
      <c r="D2121" s="160">
        <f t="shared" si="63"/>
        <v>0.5</v>
      </c>
      <c r="E2121" s="206"/>
      <c r="F2121" s="206"/>
      <c r="G2121" s="206"/>
      <c r="H2121" s="206"/>
      <c r="I2121" s="206"/>
    </row>
    <row r="2122" spans="1:9" x14ac:dyDescent="0.35">
      <c r="A2122" s="160">
        <f t="shared" si="60"/>
        <v>0</v>
      </c>
      <c r="B2122" s="160">
        <f t="shared" si="61"/>
        <v>0</v>
      </c>
      <c r="C2122" s="160">
        <f t="shared" si="62"/>
        <v>0</v>
      </c>
      <c r="D2122" s="160">
        <f t="shared" si="63"/>
        <v>1</v>
      </c>
      <c r="E2122" s="206"/>
      <c r="F2122" s="206"/>
      <c r="G2122" s="206"/>
      <c r="H2122" s="206"/>
      <c r="I2122" s="206"/>
    </row>
    <row r="2123" spans="1:9" x14ac:dyDescent="0.35">
      <c r="A2123" s="160">
        <f t="shared" si="60"/>
        <v>0</v>
      </c>
      <c r="B2123" s="160">
        <f t="shared" si="61"/>
        <v>0</v>
      </c>
      <c r="C2123" s="160">
        <f t="shared" si="62"/>
        <v>0</v>
      </c>
      <c r="D2123" s="160">
        <f t="shared" si="63"/>
        <v>1</v>
      </c>
      <c r="E2123" s="206"/>
      <c r="F2123" s="206"/>
      <c r="G2123" s="206"/>
      <c r="H2123" s="206"/>
      <c r="I2123" s="206"/>
    </row>
    <row r="2124" spans="1:9" x14ac:dyDescent="0.35">
      <c r="A2124" s="160">
        <f t="shared" si="60"/>
        <v>0</v>
      </c>
      <c r="B2124" s="160">
        <f t="shared" si="61"/>
        <v>0</v>
      </c>
      <c r="C2124" s="160">
        <f t="shared" si="62"/>
        <v>0</v>
      </c>
      <c r="D2124" s="160">
        <f t="shared" si="63"/>
        <v>1</v>
      </c>
      <c r="E2124" s="206"/>
      <c r="F2124" s="206"/>
      <c r="G2124" s="206"/>
      <c r="H2124" s="206"/>
      <c r="I2124" s="206"/>
    </row>
    <row r="2125" spans="1:9" x14ac:dyDescent="0.35">
      <c r="A2125" s="160">
        <f t="shared" si="60"/>
        <v>0</v>
      </c>
      <c r="B2125" s="160">
        <f t="shared" si="61"/>
        <v>0</v>
      </c>
      <c r="C2125" s="160">
        <f t="shared" si="62"/>
        <v>0</v>
      </c>
      <c r="D2125" s="160">
        <f t="shared" si="63"/>
        <v>1</v>
      </c>
      <c r="E2125" s="206"/>
      <c r="F2125" s="206"/>
      <c r="G2125" s="206"/>
      <c r="H2125" s="206"/>
      <c r="I2125" s="206"/>
    </row>
    <row r="2126" spans="1:9" x14ac:dyDescent="0.35">
      <c r="A2126" s="160">
        <f t="shared" si="60"/>
        <v>0</v>
      </c>
      <c r="B2126" s="160">
        <f t="shared" si="61"/>
        <v>0</v>
      </c>
      <c r="C2126" s="160">
        <f t="shared" si="62"/>
        <v>0</v>
      </c>
      <c r="D2126" s="160">
        <f t="shared" si="63"/>
        <v>1</v>
      </c>
      <c r="E2126" s="206"/>
      <c r="F2126" s="206"/>
      <c r="G2126" s="206"/>
      <c r="H2126" s="206"/>
      <c r="I2126" s="206"/>
    </row>
    <row r="2127" spans="1:9" x14ac:dyDescent="0.35">
      <c r="A2127" s="160">
        <f t="shared" si="60"/>
        <v>0</v>
      </c>
      <c r="B2127" s="160">
        <f t="shared" si="61"/>
        <v>1</v>
      </c>
      <c r="C2127" s="160">
        <f t="shared" si="62"/>
        <v>1</v>
      </c>
      <c r="D2127" s="160">
        <f t="shared" si="63"/>
        <v>0.5</v>
      </c>
      <c r="E2127" s="206"/>
      <c r="F2127" s="206"/>
      <c r="G2127" s="206"/>
      <c r="H2127" s="206"/>
      <c r="I2127" s="206"/>
    </row>
    <row r="2128" spans="1:9" x14ac:dyDescent="0.35">
      <c r="A2128" s="160">
        <f t="shared" si="60"/>
        <v>0</v>
      </c>
      <c r="B2128" s="160">
        <f t="shared" si="61"/>
        <v>0</v>
      </c>
      <c r="C2128" s="160">
        <f t="shared" si="62"/>
        <v>0</v>
      </c>
      <c r="D2128" s="160">
        <f t="shared" si="63"/>
        <v>1</v>
      </c>
      <c r="E2128" s="206"/>
      <c r="F2128" s="206"/>
      <c r="G2128" s="206"/>
      <c r="H2128" s="206"/>
      <c r="I2128" s="206"/>
    </row>
    <row r="2129" spans="1:9" x14ac:dyDescent="0.35">
      <c r="A2129" s="160">
        <f t="shared" si="60"/>
        <v>0</v>
      </c>
      <c r="B2129" s="160">
        <f t="shared" si="61"/>
        <v>0</v>
      </c>
      <c r="C2129" s="160">
        <f t="shared" si="62"/>
        <v>0</v>
      </c>
      <c r="D2129" s="160">
        <f t="shared" si="63"/>
        <v>1</v>
      </c>
      <c r="E2129" s="206"/>
      <c r="F2129" s="206"/>
      <c r="G2129" s="206"/>
      <c r="H2129" s="206"/>
      <c r="I2129" s="206"/>
    </row>
    <row r="2130" spans="1:9" x14ac:dyDescent="0.35">
      <c r="A2130" s="160">
        <f t="shared" si="60"/>
        <v>0</v>
      </c>
      <c r="B2130" s="160">
        <f t="shared" si="61"/>
        <v>0</v>
      </c>
      <c r="C2130" s="160">
        <f t="shared" si="62"/>
        <v>0</v>
      </c>
      <c r="D2130" s="160">
        <f t="shared" si="63"/>
        <v>1</v>
      </c>
      <c r="E2130" s="206"/>
      <c r="F2130" s="206"/>
      <c r="G2130" s="206"/>
      <c r="H2130" s="206"/>
      <c r="I2130" s="206"/>
    </row>
    <row r="2131" spans="1:9" x14ac:dyDescent="0.35">
      <c r="A2131" s="160">
        <f t="shared" si="60"/>
        <v>1</v>
      </c>
      <c r="B2131" s="160">
        <f t="shared" si="61"/>
        <v>0</v>
      </c>
      <c r="C2131" s="160">
        <f t="shared" si="62"/>
        <v>1</v>
      </c>
      <c r="D2131" s="160">
        <f t="shared" si="63"/>
        <v>0.5</v>
      </c>
      <c r="E2131" s="206"/>
      <c r="F2131" s="206"/>
      <c r="G2131" s="206"/>
      <c r="H2131" s="206"/>
      <c r="I2131" s="206"/>
    </row>
    <row r="2132" spans="1:9" x14ac:dyDescent="0.35">
      <c r="A2132" s="160">
        <f t="shared" si="60"/>
        <v>0</v>
      </c>
      <c r="B2132" s="160">
        <f t="shared" si="61"/>
        <v>0</v>
      </c>
      <c r="C2132" s="160">
        <f t="shared" si="62"/>
        <v>0</v>
      </c>
      <c r="D2132" s="160">
        <f t="shared" si="63"/>
        <v>1</v>
      </c>
      <c r="E2132" s="206"/>
      <c r="F2132" s="206"/>
      <c r="G2132" s="206"/>
      <c r="H2132" s="206"/>
      <c r="I2132" s="206"/>
    </row>
    <row r="2133" spans="1:9" x14ac:dyDescent="0.35">
      <c r="A2133" s="160">
        <f t="shared" si="60"/>
        <v>0</v>
      </c>
      <c r="B2133" s="160">
        <f t="shared" si="61"/>
        <v>0</v>
      </c>
      <c r="C2133" s="160">
        <f t="shared" si="62"/>
        <v>0</v>
      </c>
      <c r="D2133" s="160">
        <f t="shared" si="63"/>
        <v>1</v>
      </c>
      <c r="E2133" s="206"/>
      <c r="F2133" s="206"/>
      <c r="G2133" s="206"/>
      <c r="H2133" s="206"/>
      <c r="I2133" s="206"/>
    </row>
    <row r="2134" spans="1:9" x14ac:dyDescent="0.35">
      <c r="A2134" s="160">
        <f t="shared" si="60"/>
        <v>0</v>
      </c>
      <c r="B2134" s="160">
        <f t="shared" si="61"/>
        <v>0</v>
      </c>
      <c r="C2134" s="160">
        <f t="shared" si="62"/>
        <v>0</v>
      </c>
      <c r="D2134" s="160">
        <f t="shared" si="63"/>
        <v>1</v>
      </c>
      <c r="E2134" s="206"/>
      <c r="F2134" s="206"/>
      <c r="G2134" s="206"/>
      <c r="H2134" s="206"/>
      <c r="I2134" s="206"/>
    </row>
    <row r="2135" spans="1:9" x14ac:dyDescent="0.35">
      <c r="A2135" s="160">
        <f t="shared" si="60"/>
        <v>0</v>
      </c>
      <c r="B2135" s="160">
        <f t="shared" si="61"/>
        <v>0</v>
      </c>
      <c r="C2135" s="160">
        <f t="shared" si="62"/>
        <v>0</v>
      </c>
      <c r="D2135" s="160">
        <f t="shared" si="63"/>
        <v>1</v>
      </c>
      <c r="E2135" s="206"/>
      <c r="F2135" s="206"/>
      <c r="G2135" s="206"/>
      <c r="H2135" s="206"/>
      <c r="I2135" s="206"/>
    </row>
    <row r="2136" spans="1:9" x14ac:dyDescent="0.35">
      <c r="A2136" s="160">
        <f t="shared" si="60"/>
        <v>0</v>
      </c>
      <c r="B2136" s="160">
        <f t="shared" si="61"/>
        <v>0</v>
      </c>
      <c r="C2136" s="160">
        <f t="shared" si="62"/>
        <v>0</v>
      </c>
      <c r="D2136" s="160">
        <f t="shared" si="63"/>
        <v>1</v>
      </c>
      <c r="E2136" s="206"/>
      <c r="F2136" s="206"/>
      <c r="G2136" s="206"/>
      <c r="H2136" s="206"/>
      <c r="I2136" s="206"/>
    </row>
    <row r="2137" spans="1:9" x14ac:dyDescent="0.35">
      <c r="A2137" s="160">
        <f t="shared" si="60"/>
        <v>0</v>
      </c>
      <c r="B2137" s="160">
        <f t="shared" si="61"/>
        <v>0</v>
      </c>
      <c r="C2137" s="160">
        <f t="shared" si="62"/>
        <v>0</v>
      </c>
      <c r="D2137" s="160">
        <f t="shared" si="63"/>
        <v>1</v>
      </c>
      <c r="E2137" s="206"/>
      <c r="F2137" s="206"/>
      <c r="G2137" s="206"/>
      <c r="H2137" s="206"/>
      <c r="I2137" s="206"/>
    </row>
    <row r="2138" spans="1:9" x14ac:dyDescent="0.35">
      <c r="A2138" s="160">
        <f t="shared" si="60"/>
        <v>1</v>
      </c>
      <c r="B2138" s="160">
        <f t="shared" si="61"/>
        <v>0</v>
      </c>
      <c r="C2138" s="160">
        <f t="shared" si="62"/>
        <v>1</v>
      </c>
      <c r="D2138" s="160">
        <f t="shared" si="63"/>
        <v>0.5</v>
      </c>
      <c r="E2138" s="206"/>
      <c r="F2138" s="206"/>
      <c r="G2138" s="206"/>
      <c r="H2138" s="206"/>
      <c r="I2138" s="206"/>
    </row>
    <row r="2139" spans="1:9" x14ac:dyDescent="0.35">
      <c r="A2139" s="160">
        <f t="shared" si="60"/>
        <v>0</v>
      </c>
      <c r="B2139" s="160">
        <f t="shared" si="61"/>
        <v>1</v>
      </c>
      <c r="C2139" s="160">
        <f t="shared" si="62"/>
        <v>1</v>
      </c>
      <c r="D2139" s="160">
        <f t="shared" si="63"/>
        <v>0.5</v>
      </c>
      <c r="E2139" s="206"/>
      <c r="F2139" s="206"/>
      <c r="G2139" s="206"/>
      <c r="H2139" s="206"/>
      <c r="I2139" s="206"/>
    </row>
    <row r="2140" spans="1:9" x14ac:dyDescent="0.35">
      <c r="A2140" s="160">
        <f t="shared" si="60"/>
        <v>0</v>
      </c>
      <c r="B2140" s="160">
        <f t="shared" si="61"/>
        <v>0</v>
      </c>
      <c r="C2140" s="160">
        <f t="shared" si="62"/>
        <v>0</v>
      </c>
      <c r="D2140" s="160">
        <f t="shared" si="63"/>
        <v>1</v>
      </c>
      <c r="E2140" s="206"/>
      <c r="F2140" s="206"/>
      <c r="G2140" s="206"/>
      <c r="H2140" s="206"/>
      <c r="I2140" s="206"/>
    </row>
    <row r="2141" spans="1:9" x14ac:dyDescent="0.35">
      <c r="A2141" s="160">
        <f t="shared" si="60"/>
        <v>0</v>
      </c>
      <c r="B2141" s="160">
        <f t="shared" si="61"/>
        <v>0</v>
      </c>
      <c r="C2141" s="160">
        <f t="shared" si="62"/>
        <v>0</v>
      </c>
      <c r="D2141" s="160">
        <f t="shared" si="63"/>
        <v>1</v>
      </c>
      <c r="E2141" s="206"/>
      <c r="F2141" s="206"/>
      <c r="G2141" s="206"/>
      <c r="H2141" s="206"/>
      <c r="I2141" s="206"/>
    </row>
    <row r="2142" spans="1:9" x14ac:dyDescent="0.35">
      <c r="A2142" s="160">
        <f t="shared" si="60"/>
        <v>1</v>
      </c>
      <c r="B2142" s="160">
        <f t="shared" si="61"/>
        <v>0</v>
      </c>
      <c r="C2142" s="160">
        <f t="shared" si="62"/>
        <v>1</v>
      </c>
      <c r="D2142" s="160">
        <f t="shared" si="63"/>
        <v>0.5</v>
      </c>
      <c r="E2142" s="206"/>
      <c r="F2142" s="206"/>
      <c r="G2142" s="206"/>
      <c r="H2142" s="206"/>
      <c r="I2142" s="206"/>
    </row>
    <row r="2143" spans="1:9" x14ac:dyDescent="0.35">
      <c r="A2143" s="160">
        <f t="shared" si="60"/>
        <v>0</v>
      </c>
      <c r="B2143" s="160">
        <f t="shared" si="61"/>
        <v>0</v>
      </c>
      <c r="C2143" s="160">
        <f t="shared" si="62"/>
        <v>0</v>
      </c>
      <c r="D2143" s="160">
        <f t="shared" si="63"/>
        <v>1</v>
      </c>
      <c r="E2143" s="206"/>
      <c r="F2143" s="206"/>
      <c r="G2143" s="206"/>
      <c r="H2143" s="206"/>
      <c r="I2143" s="206"/>
    </row>
    <row r="2144" spans="1:9" x14ac:dyDescent="0.35">
      <c r="A2144" s="160">
        <f t="shared" si="60"/>
        <v>0</v>
      </c>
      <c r="B2144" s="160">
        <f t="shared" si="61"/>
        <v>0</v>
      </c>
      <c r="C2144" s="160">
        <f t="shared" si="62"/>
        <v>0</v>
      </c>
      <c r="D2144" s="160">
        <f t="shared" si="63"/>
        <v>1</v>
      </c>
      <c r="E2144" s="206"/>
      <c r="F2144" s="206"/>
      <c r="G2144" s="206"/>
      <c r="H2144" s="206"/>
      <c r="I2144" s="206"/>
    </row>
    <row r="2145" spans="1:9" x14ac:dyDescent="0.35">
      <c r="A2145" s="160">
        <f t="shared" si="60"/>
        <v>0</v>
      </c>
      <c r="B2145" s="160">
        <f t="shared" si="61"/>
        <v>0</v>
      </c>
      <c r="C2145" s="160">
        <f t="shared" si="62"/>
        <v>0</v>
      </c>
      <c r="D2145" s="160">
        <f t="shared" si="63"/>
        <v>1</v>
      </c>
      <c r="E2145" s="206"/>
      <c r="F2145" s="206"/>
      <c r="G2145" s="206"/>
      <c r="H2145" s="206"/>
      <c r="I2145" s="206"/>
    </row>
    <row r="2146" spans="1:9" x14ac:dyDescent="0.35">
      <c r="A2146" s="160">
        <f t="shared" si="60"/>
        <v>0</v>
      </c>
      <c r="B2146" s="160">
        <f t="shared" si="61"/>
        <v>0</v>
      </c>
      <c r="C2146" s="160">
        <f t="shared" si="62"/>
        <v>0</v>
      </c>
      <c r="D2146" s="160">
        <f t="shared" si="63"/>
        <v>1</v>
      </c>
      <c r="E2146" s="206"/>
      <c r="F2146" s="206"/>
      <c r="G2146" s="206"/>
      <c r="H2146" s="206"/>
      <c r="I2146" s="206"/>
    </row>
    <row r="2147" spans="1:9" x14ac:dyDescent="0.35">
      <c r="A2147" s="160">
        <f t="shared" ref="A2147:A2210" si="64">SUMPRODUCT(($R$4:$R$1115=R1029)*($Q$4:$Q$1115=Q1029)*(ROW($R$4:$R$1115)&gt;ROW(R1029)))</f>
        <v>0</v>
      </c>
      <c r="B2147" s="160">
        <f t="shared" ref="B2147:B2210" si="65">SUMPRODUCT(($K$4:$K$1115=K1029)*($Q$4:$Q$1115=Q1029)*(ROW($K$4:$K$1115)&gt;ROW(K1029)))</f>
        <v>0</v>
      </c>
      <c r="C2147" s="160">
        <f t="shared" ref="C2147:C2210" si="66">SUM(A2147:B2147)</f>
        <v>0</v>
      </c>
      <c r="D2147" s="160">
        <f t="shared" ref="D2147:D2210" si="67">1/(1+C2147)</f>
        <v>1</v>
      </c>
      <c r="E2147" s="206"/>
      <c r="F2147" s="206"/>
      <c r="G2147" s="206"/>
      <c r="H2147" s="206"/>
      <c r="I2147" s="206"/>
    </row>
    <row r="2148" spans="1:9" x14ac:dyDescent="0.35">
      <c r="A2148" s="160">
        <f t="shared" si="64"/>
        <v>0</v>
      </c>
      <c r="B2148" s="160">
        <f t="shared" si="65"/>
        <v>0</v>
      </c>
      <c r="C2148" s="160">
        <f t="shared" si="66"/>
        <v>0</v>
      </c>
      <c r="D2148" s="160">
        <f t="shared" si="67"/>
        <v>1</v>
      </c>
      <c r="E2148" s="206"/>
      <c r="F2148" s="206"/>
      <c r="G2148" s="206"/>
      <c r="H2148" s="206"/>
      <c r="I2148" s="206"/>
    </row>
    <row r="2149" spans="1:9" x14ac:dyDescent="0.35">
      <c r="A2149" s="160">
        <f t="shared" si="64"/>
        <v>0</v>
      </c>
      <c r="B2149" s="160">
        <f t="shared" si="65"/>
        <v>0</v>
      </c>
      <c r="C2149" s="160">
        <f t="shared" si="66"/>
        <v>0</v>
      </c>
      <c r="D2149" s="160">
        <f t="shared" si="67"/>
        <v>1</v>
      </c>
      <c r="E2149" s="206"/>
      <c r="F2149" s="206"/>
      <c r="G2149" s="206"/>
      <c r="H2149" s="206"/>
      <c r="I2149" s="206"/>
    </row>
    <row r="2150" spans="1:9" x14ac:dyDescent="0.35">
      <c r="A2150" s="160">
        <f t="shared" si="64"/>
        <v>0</v>
      </c>
      <c r="B2150" s="160">
        <f t="shared" si="65"/>
        <v>0</v>
      </c>
      <c r="C2150" s="160">
        <f t="shared" si="66"/>
        <v>0</v>
      </c>
      <c r="D2150" s="160">
        <f t="shared" si="67"/>
        <v>1</v>
      </c>
      <c r="E2150" s="206"/>
      <c r="F2150" s="206"/>
      <c r="G2150" s="206"/>
      <c r="H2150" s="206"/>
      <c r="I2150" s="206"/>
    </row>
    <row r="2151" spans="1:9" x14ac:dyDescent="0.35">
      <c r="A2151" s="160">
        <f t="shared" si="64"/>
        <v>0</v>
      </c>
      <c r="B2151" s="160">
        <f t="shared" si="65"/>
        <v>0</v>
      </c>
      <c r="C2151" s="160">
        <f t="shared" si="66"/>
        <v>0</v>
      </c>
      <c r="D2151" s="160">
        <f t="shared" si="67"/>
        <v>1</v>
      </c>
      <c r="E2151" s="206"/>
      <c r="F2151" s="206"/>
      <c r="G2151" s="206"/>
      <c r="H2151" s="206"/>
      <c r="I2151" s="206"/>
    </row>
    <row r="2152" spans="1:9" x14ac:dyDescent="0.35">
      <c r="A2152" s="160">
        <f t="shared" si="64"/>
        <v>0</v>
      </c>
      <c r="B2152" s="160">
        <f t="shared" si="65"/>
        <v>0</v>
      </c>
      <c r="C2152" s="160">
        <f t="shared" si="66"/>
        <v>0</v>
      </c>
      <c r="D2152" s="160">
        <f t="shared" si="67"/>
        <v>1</v>
      </c>
      <c r="E2152" s="206"/>
      <c r="F2152" s="206"/>
      <c r="G2152" s="206"/>
      <c r="H2152" s="206"/>
      <c r="I2152" s="206"/>
    </row>
    <row r="2153" spans="1:9" x14ac:dyDescent="0.35">
      <c r="A2153" s="160">
        <f t="shared" si="64"/>
        <v>1</v>
      </c>
      <c r="B2153" s="160">
        <f t="shared" si="65"/>
        <v>0</v>
      </c>
      <c r="C2153" s="160">
        <f t="shared" si="66"/>
        <v>1</v>
      </c>
      <c r="D2153" s="160">
        <f t="shared" si="67"/>
        <v>0.5</v>
      </c>
      <c r="E2153" s="206"/>
      <c r="F2153" s="206"/>
      <c r="G2153" s="206"/>
      <c r="H2153" s="206"/>
      <c r="I2153" s="206"/>
    </row>
    <row r="2154" spans="1:9" x14ac:dyDescent="0.35">
      <c r="A2154" s="160">
        <f t="shared" si="64"/>
        <v>0</v>
      </c>
      <c r="B2154" s="160">
        <f t="shared" si="65"/>
        <v>0</v>
      </c>
      <c r="C2154" s="160">
        <f t="shared" si="66"/>
        <v>0</v>
      </c>
      <c r="D2154" s="160">
        <f t="shared" si="67"/>
        <v>1</v>
      </c>
      <c r="E2154" s="206"/>
      <c r="F2154" s="206"/>
      <c r="G2154" s="206"/>
      <c r="H2154" s="206"/>
      <c r="I2154" s="206"/>
    </row>
    <row r="2155" spans="1:9" x14ac:dyDescent="0.35">
      <c r="A2155" s="160">
        <f t="shared" si="64"/>
        <v>1</v>
      </c>
      <c r="B2155" s="160">
        <f t="shared" si="65"/>
        <v>0</v>
      </c>
      <c r="C2155" s="160">
        <f t="shared" si="66"/>
        <v>1</v>
      </c>
      <c r="D2155" s="160">
        <f t="shared" si="67"/>
        <v>0.5</v>
      </c>
      <c r="E2155" s="206"/>
      <c r="F2155" s="206"/>
      <c r="G2155" s="206"/>
      <c r="H2155" s="206"/>
      <c r="I2155" s="206"/>
    </row>
    <row r="2156" spans="1:9" x14ac:dyDescent="0.35">
      <c r="A2156" s="160">
        <f t="shared" si="64"/>
        <v>0</v>
      </c>
      <c r="B2156" s="160">
        <f t="shared" si="65"/>
        <v>0</v>
      </c>
      <c r="C2156" s="160">
        <f t="shared" si="66"/>
        <v>0</v>
      </c>
      <c r="D2156" s="160">
        <f t="shared" si="67"/>
        <v>1</v>
      </c>
      <c r="E2156" s="206"/>
      <c r="F2156" s="206"/>
      <c r="G2156" s="206"/>
      <c r="H2156" s="206"/>
      <c r="I2156" s="206"/>
    </row>
    <row r="2157" spans="1:9" x14ac:dyDescent="0.35">
      <c r="A2157" s="160">
        <f t="shared" si="64"/>
        <v>0</v>
      </c>
      <c r="B2157" s="160">
        <f t="shared" si="65"/>
        <v>0</v>
      </c>
      <c r="C2157" s="160">
        <f t="shared" si="66"/>
        <v>0</v>
      </c>
      <c r="D2157" s="160">
        <f t="shared" si="67"/>
        <v>1</v>
      </c>
      <c r="E2157" s="206"/>
      <c r="F2157" s="206"/>
      <c r="G2157" s="206"/>
      <c r="H2157" s="206"/>
      <c r="I2157" s="206"/>
    </row>
    <row r="2158" spans="1:9" x14ac:dyDescent="0.35">
      <c r="A2158" s="160">
        <f t="shared" si="64"/>
        <v>0</v>
      </c>
      <c r="B2158" s="160">
        <f t="shared" si="65"/>
        <v>0</v>
      </c>
      <c r="C2158" s="160">
        <f t="shared" si="66"/>
        <v>0</v>
      </c>
      <c r="D2158" s="160">
        <f t="shared" si="67"/>
        <v>1</v>
      </c>
      <c r="E2158" s="206"/>
      <c r="F2158" s="206"/>
      <c r="G2158" s="206"/>
      <c r="H2158" s="206"/>
      <c r="I2158" s="206"/>
    </row>
    <row r="2159" spans="1:9" x14ac:dyDescent="0.35">
      <c r="A2159" s="160">
        <f t="shared" si="64"/>
        <v>0</v>
      </c>
      <c r="B2159" s="160">
        <f t="shared" si="65"/>
        <v>0</v>
      </c>
      <c r="C2159" s="160">
        <f t="shared" si="66"/>
        <v>0</v>
      </c>
      <c r="D2159" s="160">
        <f t="shared" si="67"/>
        <v>1</v>
      </c>
      <c r="E2159" s="206"/>
      <c r="F2159" s="206"/>
      <c r="G2159" s="206"/>
      <c r="H2159" s="206"/>
      <c r="I2159" s="206"/>
    </row>
    <row r="2160" spans="1:9" x14ac:dyDescent="0.35">
      <c r="A2160" s="160">
        <f t="shared" si="64"/>
        <v>0</v>
      </c>
      <c r="B2160" s="160">
        <f t="shared" si="65"/>
        <v>0</v>
      </c>
      <c r="C2160" s="160">
        <f t="shared" si="66"/>
        <v>0</v>
      </c>
      <c r="D2160" s="160">
        <f t="shared" si="67"/>
        <v>1</v>
      </c>
      <c r="E2160" s="206"/>
      <c r="F2160" s="206"/>
      <c r="G2160" s="206"/>
      <c r="H2160" s="206"/>
      <c r="I2160" s="206"/>
    </row>
    <row r="2161" spans="1:9" x14ac:dyDescent="0.35">
      <c r="A2161" s="160">
        <f t="shared" si="64"/>
        <v>0</v>
      </c>
      <c r="B2161" s="160">
        <f t="shared" si="65"/>
        <v>0</v>
      </c>
      <c r="C2161" s="160">
        <f t="shared" si="66"/>
        <v>0</v>
      </c>
      <c r="D2161" s="160">
        <f t="shared" si="67"/>
        <v>1</v>
      </c>
      <c r="E2161" s="206"/>
      <c r="F2161" s="206"/>
      <c r="G2161" s="206"/>
      <c r="H2161" s="206"/>
      <c r="I2161" s="206"/>
    </row>
    <row r="2162" spans="1:9" x14ac:dyDescent="0.35">
      <c r="A2162" s="160">
        <f t="shared" si="64"/>
        <v>0</v>
      </c>
      <c r="B2162" s="160">
        <f t="shared" si="65"/>
        <v>0</v>
      </c>
      <c r="C2162" s="160">
        <f t="shared" si="66"/>
        <v>0</v>
      </c>
      <c r="D2162" s="160">
        <f t="shared" si="67"/>
        <v>1</v>
      </c>
      <c r="E2162" s="206"/>
      <c r="F2162" s="206"/>
      <c r="G2162" s="206"/>
      <c r="H2162" s="206"/>
      <c r="I2162" s="206"/>
    </row>
    <row r="2163" spans="1:9" x14ac:dyDescent="0.35">
      <c r="A2163" s="160">
        <f t="shared" si="64"/>
        <v>0</v>
      </c>
      <c r="B2163" s="160">
        <f t="shared" si="65"/>
        <v>0</v>
      </c>
      <c r="C2163" s="160">
        <f t="shared" si="66"/>
        <v>0</v>
      </c>
      <c r="D2163" s="160">
        <f t="shared" si="67"/>
        <v>1</v>
      </c>
      <c r="E2163" s="206"/>
      <c r="F2163" s="206"/>
      <c r="G2163" s="206"/>
      <c r="H2163" s="206"/>
      <c r="I2163" s="206"/>
    </row>
    <row r="2164" spans="1:9" x14ac:dyDescent="0.35">
      <c r="A2164" s="160">
        <f t="shared" si="64"/>
        <v>0</v>
      </c>
      <c r="B2164" s="160">
        <f t="shared" si="65"/>
        <v>0</v>
      </c>
      <c r="C2164" s="160">
        <f t="shared" si="66"/>
        <v>0</v>
      </c>
      <c r="D2164" s="160">
        <f t="shared" si="67"/>
        <v>1</v>
      </c>
      <c r="E2164" s="206"/>
      <c r="F2164" s="206"/>
      <c r="G2164" s="206"/>
      <c r="H2164" s="206"/>
      <c r="I2164" s="206"/>
    </row>
    <row r="2165" spans="1:9" x14ac:dyDescent="0.35">
      <c r="A2165" s="160">
        <f t="shared" si="64"/>
        <v>1</v>
      </c>
      <c r="B2165" s="160">
        <f t="shared" si="65"/>
        <v>0</v>
      </c>
      <c r="C2165" s="160">
        <f t="shared" si="66"/>
        <v>1</v>
      </c>
      <c r="D2165" s="160">
        <f t="shared" si="67"/>
        <v>0.5</v>
      </c>
      <c r="E2165" s="206"/>
      <c r="F2165" s="206"/>
      <c r="G2165" s="206"/>
      <c r="H2165" s="206"/>
      <c r="I2165" s="206"/>
    </row>
    <row r="2166" spans="1:9" x14ac:dyDescent="0.35">
      <c r="A2166" s="160">
        <f t="shared" si="64"/>
        <v>1</v>
      </c>
      <c r="B2166" s="160">
        <f t="shared" si="65"/>
        <v>0</v>
      </c>
      <c r="C2166" s="160">
        <f t="shared" si="66"/>
        <v>1</v>
      </c>
      <c r="D2166" s="160">
        <f t="shared" si="67"/>
        <v>0.5</v>
      </c>
      <c r="E2166" s="206"/>
      <c r="F2166" s="206"/>
      <c r="G2166" s="206"/>
      <c r="H2166" s="206"/>
      <c r="I2166" s="206"/>
    </row>
    <row r="2167" spans="1:9" x14ac:dyDescent="0.35">
      <c r="A2167" s="160">
        <f t="shared" si="64"/>
        <v>0</v>
      </c>
      <c r="B2167" s="160">
        <f t="shared" si="65"/>
        <v>0</v>
      </c>
      <c r="C2167" s="160">
        <f t="shared" si="66"/>
        <v>0</v>
      </c>
      <c r="D2167" s="160">
        <f t="shared" si="67"/>
        <v>1</v>
      </c>
      <c r="E2167" s="206"/>
      <c r="F2167" s="206"/>
      <c r="G2167" s="206"/>
      <c r="H2167" s="206"/>
      <c r="I2167" s="206"/>
    </row>
    <row r="2168" spans="1:9" x14ac:dyDescent="0.35">
      <c r="A2168" s="160">
        <f t="shared" si="64"/>
        <v>0</v>
      </c>
      <c r="B2168" s="160">
        <f t="shared" si="65"/>
        <v>0</v>
      </c>
      <c r="C2168" s="160">
        <f t="shared" si="66"/>
        <v>0</v>
      </c>
      <c r="D2168" s="160">
        <f t="shared" si="67"/>
        <v>1</v>
      </c>
      <c r="E2168" s="206"/>
      <c r="F2168" s="206"/>
      <c r="G2168" s="206"/>
      <c r="H2168" s="206"/>
      <c r="I2168" s="206"/>
    </row>
    <row r="2169" spans="1:9" x14ac:dyDescent="0.35">
      <c r="A2169" s="160">
        <f t="shared" si="64"/>
        <v>0</v>
      </c>
      <c r="B2169" s="160">
        <f t="shared" si="65"/>
        <v>0</v>
      </c>
      <c r="C2169" s="160">
        <f t="shared" si="66"/>
        <v>0</v>
      </c>
      <c r="D2169" s="160">
        <f t="shared" si="67"/>
        <v>1</v>
      </c>
      <c r="E2169" s="206"/>
      <c r="F2169" s="206"/>
      <c r="G2169" s="206"/>
      <c r="H2169" s="206"/>
      <c r="I2169" s="206"/>
    </row>
    <row r="2170" spans="1:9" x14ac:dyDescent="0.35">
      <c r="A2170" s="160">
        <f t="shared" si="64"/>
        <v>0</v>
      </c>
      <c r="B2170" s="160">
        <f t="shared" si="65"/>
        <v>0</v>
      </c>
      <c r="C2170" s="160">
        <f t="shared" si="66"/>
        <v>0</v>
      </c>
      <c r="D2170" s="160">
        <f t="shared" si="67"/>
        <v>1</v>
      </c>
      <c r="E2170" s="206"/>
      <c r="F2170" s="206"/>
      <c r="G2170" s="206"/>
      <c r="H2170" s="206"/>
      <c r="I2170" s="206"/>
    </row>
    <row r="2171" spans="1:9" x14ac:dyDescent="0.35">
      <c r="A2171" s="160">
        <f t="shared" si="64"/>
        <v>0</v>
      </c>
      <c r="B2171" s="160">
        <f t="shared" si="65"/>
        <v>1</v>
      </c>
      <c r="C2171" s="160">
        <f t="shared" si="66"/>
        <v>1</v>
      </c>
      <c r="D2171" s="160">
        <f t="shared" si="67"/>
        <v>0.5</v>
      </c>
      <c r="E2171" s="206"/>
      <c r="F2171" s="206"/>
      <c r="G2171" s="206"/>
      <c r="H2171" s="206"/>
      <c r="I2171" s="206"/>
    </row>
    <row r="2172" spans="1:9" x14ac:dyDescent="0.35">
      <c r="A2172" s="160">
        <f t="shared" si="64"/>
        <v>0</v>
      </c>
      <c r="B2172" s="160">
        <f t="shared" si="65"/>
        <v>0</v>
      </c>
      <c r="C2172" s="160">
        <f t="shared" si="66"/>
        <v>0</v>
      </c>
      <c r="D2172" s="160">
        <f t="shared" si="67"/>
        <v>1</v>
      </c>
      <c r="E2172" s="206"/>
      <c r="F2172" s="206"/>
      <c r="G2172" s="206"/>
      <c r="H2172" s="206"/>
      <c r="I2172" s="206"/>
    </row>
    <row r="2173" spans="1:9" x14ac:dyDescent="0.35">
      <c r="A2173" s="160">
        <f t="shared" si="64"/>
        <v>0</v>
      </c>
      <c r="B2173" s="160">
        <f t="shared" si="65"/>
        <v>0</v>
      </c>
      <c r="C2173" s="160">
        <f t="shared" si="66"/>
        <v>0</v>
      </c>
      <c r="D2173" s="160">
        <f t="shared" si="67"/>
        <v>1</v>
      </c>
      <c r="E2173" s="206"/>
      <c r="F2173" s="206"/>
      <c r="G2173" s="206"/>
      <c r="H2173" s="206"/>
      <c r="I2173" s="206"/>
    </row>
    <row r="2174" spans="1:9" x14ac:dyDescent="0.35">
      <c r="A2174" s="160">
        <f t="shared" si="64"/>
        <v>0</v>
      </c>
      <c r="B2174" s="160">
        <f t="shared" si="65"/>
        <v>0</v>
      </c>
      <c r="C2174" s="160">
        <f t="shared" si="66"/>
        <v>0</v>
      </c>
      <c r="D2174" s="160">
        <f t="shared" si="67"/>
        <v>1</v>
      </c>
      <c r="E2174" s="206"/>
      <c r="F2174" s="206"/>
      <c r="G2174" s="206"/>
      <c r="H2174" s="206"/>
      <c r="I2174" s="206"/>
    </row>
    <row r="2175" spans="1:9" x14ac:dyDescent="0.35">
      <c r="A2175" s="160">
        <f t="shared" si="64"/>
        <v>0</v>
      </c>
      <c r="B2175" s="160">
        <f t="shared" si="65"/>
        <v>0</v>
      </c>
      <c r="C2175" s="160">
        <f t="shared" si="66"/>
        <v>0</v>
      </c>
      <c r="D2175" s="160">
        <f t="shared" si="67"/>
        <v>1</v>
      </c>
      <c r="E2175" s="206"/>
      <c r="F2175" s="206"/>
      <c r="G2175" s="206"/>
      <c r="H2175" s="206"/>
      <c r="I2175" s="206"/>
    </row>
    <row r="2176" spans="1:9" x14ac:dyDescent="0.35">
      <c r="A2176" s="160">
        <f t="shared" si="64"/>
        <v>0</v>
      </c>
      <c r="B2176" s="160">
        <f t="shared" si="65"/>
        <v>0</v>
      </c>
      <c r="C2176" s="160">
        <f t="shared" si="66"/>
        <v>0</v>
      </c>
      <c r="D2176" s="160">
        <f t="shared" si="67"/>
        <v>1</v>
      </c>
      <c r="E2176" s="206"/>
      <c r="F2176" s="206"/>
      <c r="G2176" s="206"/>
      <c r="H2176" s="206"/>
      <c r="I2176" s="206"/>
    </row>
    <row r="2177" spans="1:9" x14ac:dyDescent="0.35">
      <c r="A2177" s="160">
        <f t="shared" si="64"/>
        <v>0</v>
      </c>
      <c r="B2177" s="160">
        <f t="shared" si="65"/>
        <v>0</v>
      </c>
      <c r="C2177" s="160">
        <f t="shared" si="66"/>
        <v>0</v>
      </c>
      <c r="D2177" s="160">
        <f t="shared" si="67"/>
        <v>1</v>
      </c>
      <c r="E2177" s="206"/>
      <c r="F2177" s="206"/>
      <c r="G2177" s="206"/>
      <c r="H2177" s="206"/>
      <c r="I2177" s="206"/>
    </row>
    <row r="2178" spans="1:9" x14ac:dyDescent="0.35">
      <c r="A2178" s="160">
        <f t="shared" si="64"/>
        <v>0</v>
      </c>
      <c r="B2178" s="160">
        <f t="shared" si="65"/>
        <v>0</v>
      </c>
      <c r="C2178" s="160">
        <f t="shared" si="66"/>
        <v>0</v>
      </c>
      <c r="D2178" s="160">
        <f t="shared" si="67"/>
        <v>1</v>
      </c>
      <c r="E2178" s="206"/>
      <c r="F2178" s="206"/>
      <c r="G2178" s="206"/>
      <c r="H2178" s="206"/>
      <c r="I2178" s="206"/>
    </row>
    <row r="2179" spans="1:9" x14ac:dyDescent="0.35">
      <c r="A2179" s="160">
        <f t="shared" si="64"/>
        <v>0</v>
      </c>
      <c r="B2179" s="160">
        <f t="shared" si="65"/>
        <v>1</v>
      </c>
      <c r="C2179" s="160">
        <f t="shared" si="66"/>
        <v>1</v>
      </c>
      <c r="D2179" s="160">
        <f t="shared" si="67"/>
        <v>0.5</v>
      </c>
      <c r="E2179" s="206"/>
      <c r="F2179" s="206"/>
      <c r="G2179" s="206"/>
      <c r="H2179" s="206"/>
      <c r="I2179" s="206"/>
    </row>
    <row r="2180" spans="1:9" x14ac:dyDescent="0.35">
      <c r="A2180" s="160">
        <f t="shared" si="64"/>
        <v>0</v>
      </c>
      <c r="B2180" s="160">
        <f t="shared" si="65"/>
        <v>0</v>
      </c>
      <c r="C2180" s="160">
        <f t="shared" si="66"/>
        <v>0</v>
      </c>
      <c r="D2180" s="160">
        <f t="shared" si="67"/>
        <v>1</v>
      </c>
      <c r="E2180" s="206"/>
      <c r="F2180" s="206"/>
      <c r="G2180" s="206"/>
      <c r="H2180" s="206"/>
      <c r="I2180" s="206"/>
    </row>
    <row r="2181" spans="1:9" x14ac:dyDescent="0.35">
      <c r="A2181" s="160">
        <f t="shared" si="64"/>
        <v>0</v>
      </c>
      <c r="B2181" s="160">
        <f t="shared" si="65"/>
        <v>0</v>
      </c>
      <c r="C2181" s="160">
        <f t="shared" si="66"/>
        <v>0</v>
      </c>
      <c r="D2181" s="160">
        <f t="shared" si="67"/>
        <v>1</v>
      </c>
      <c r="E2181" s="206"/>
      <c r="F2181" s="206"/>
      <c r="G2181" s="206"/>
      <c r="H2181" s="206"/>
      <c r="I2181" s="206"/>
    </row>
    <row r="2182" spans="1:9" x14ac:dyDescent="0.35">
      <c r="A2182" s="160">
        <f t="shared" si="64"/>
        <v>0</v>
      </c>
      <c r="B2182" s="160">
        <f t="shared" si="65"/>
        <v>0</v>
      </c>
      <c r="C2182" s="160">
        <f t="shared" si="66"/>
        <v>0</v>
      </c>
      <c r="D2182" s="160">
        <f t="shared" si="67"/>
        <v>1</v>
      </c>
      <c r="E2182" s="206"/>
      <c r="F2182" s="206"/>
      <c r="G2182" s="206"/>
      <c r="H2182" s="206"/>
      <c r="I2182" s="206"/>
    </row>
    <row r="2183" spans="1:9" x14ac:dyDescent="0.35">
      <c r="A2183" s="160">
        <f t="shared" si="64"/>
        <v>0</v>
      </c>
      <c r="B2183" s="160">
        <f t="shared" si="65"/>
        <v>0</v>
      </c>
      <c r="C2183" s="160">
        <f t="shared" si="66"/>
        <v>0</v>
      </c>
      <c r="D2183" s="160">
        <f t="shared" si="67"/>
        <v>1</v>
      </c>
      <c r="E2183" s="206"/>
      <c r="F2183" s="206"/>
      <c r="G2183" s="206"/>
      <c r="H2183" s="206"/>
      <c r="I2183" s="206"/>
    </row>
    <row r="2184" spans="1:9" x14ac:dyDescent="0.35">
      <c r="A2184" s="160">
        <f t="shared" si="64"/>
        <v>1</v>
      </c>
      <c r="B2184" s="160">
        <f t="shared" si="65"/>
        <v>0</v>
      </c>
      <c r="C2184" s="160">
        <f t="shared" si="66"/>
        <v>1</v>
      </c>
      <c r="D2184" s="160">
        <f t="shared" si="67"/>
        <v>0.5</v>
      </c>
      <c r="E2184" s="206"/>
      <c r="F2184" s="206"/>
      <c r="G2184" s="206"/>
      <c r="H2184" s="206"/>
      <c r="I2184" s="206"/>
    </row>
    <row r="2185" spans="1:9" x14ac:dyDescent="0.35">
      <c r="A2185" s="160">
        <f t="shared" si="64"/>
        <v>0</v>
      </c>
      <c r="B2185" s="160">
        <f t="shared" si="65"/>
        <v>0</v>
      </c>
      <c r="C2185" s="160">
        <f t="shared" si="66"/>
        <v>0</v>
      </c>
      <c r="D2185" s="160">
        <f t="shared" si="67"/>
        <v>1</v>
      </c>
      <c r="E2185" s="206"/>
      <c r="F2185" s="206"/>
      <c r="G2185" s="206"/>
      <c r="H2185" s="206"/>
      <c r="I2185" s="206"/>
    </row>
    <row r="2186" spans="1:9" x14ac:dyDescent="0.35">
      <c r="A2186" s="160">
        <f t="shared" si="64"/>
        <v>0</v>
      </c>
      <c r="B2186" s="160">
        <f t="shared" si="65"/>
        <v>0</v>
      </c>
      <c r="C2186" s="160">
        <f t="shared" si="66"/>
        <v>0</v>
      </c>
      <c r="D2186" s="160">
        <f t="shared" si="67"/>
        <v>1</v>
      </c>
      <c r="E2186" s="206"/>
      <c r="F2186" s="206"/>
      <c r="G2186" s="206"/>
      <c r="H2186" s="206"/>
      <c r="I2186" s="206"/>
    </row>
    <row r="2187" spans="1:9" x14ac:dyDescent="0.35">
      <c r="A2187" s="160">
        <f t="shared" si="64"/>
        <v>0</v>
      </c>
      <c r="B2187" s="160">
        <f t="shared" si="65"/>
        <v>1</v>
      </c>
      <c r="C2187" s="160">
        <f t="shared" si="66"/>
        <v>1</v>
      </c>
      <c r="D2187" s="160">
        <f t="shared" si="67"/>
        <v>0.5</v>
      </c>
      <c r="E2187" s="206"/>
      <c r="F2187" s="206"/>
      <c r="G2187" s="206"/>
      <c r="H2187" s="206"/>
      <c r="I2187" s="206"/>
    </row>
    <row r="2188" spans="1:9" x14ac:dyDescent="0.35">
      <c r="A2188" s="160">
        <f t="shared" si="64"/>
        <v>0</v>
      </c>
      <c r="B2188" s="160">
        <f t="shared" si="65"/>
        <v>0</v>
      </c>
      <c r="C2188" s="160">
        <f t="shared" si="66"/>
        <v>0</v>
      </c>
      <c r="D2188" s="160">
        <f t="shared" si="67"/>
        <v>1</v>
      </c>
      <c r="E2188" s="206"/>
      <c r="F2188" s="206"/>
      <c r="G2188" s="206"/>
      <c r="H2188" s="206"/>
      <c r="I2188" s="206"/>
    </row>
    <row r="2189" spans="1:9" x14ac:dyDescent="0.35">
      <c r="A2189" s="160">
        <f t="shared" si="64"/>
        <v>1</v>
      </c>
      <c r="B2189" s="160">
        <f t="shared" si="65"/>
        <v>1</v>
      </c>
      <c r="C2189" s="160">
        <f t="shared" si="66"/>
        <v>2</v>
      </c>
      <c r="D2189" s="160">
        <f t="shared" si="67"/>
        <v>0.33333333333333331</v>
      </c>
      <c r="E2189" s="206"/>
      <c r="F2189" s="206"/>
      <c r="G2189" s="206"/>
      <c r="H2189" s="206"/>
      <c r="I2189" s="206"/>
    </row>
    <row r="2190" spans="1:9" x14ac:dyDescent="0.35">
      <c r="A2190" s="160">
        <f t="shared" si="64"/>
        <v>1</v>
      </c>
      <c r="B2190" s="160">
        <f t="shared" si="65"/>
        <v>0</v>
      </c>
      <c r="C2190" s="160">
        <f t="shared" si="66"/>
        <v>1</v>
      </c>
      <c r="D2190" s="160">
        <f t="shared" si="67"/>
        <v>0.5</v>
      </c>
      <c r="E2190" s="206"/>
      <c r="F2190" s="206"/>
      <c r="G2190" s="206"/>
      <c r="H2190" s="206"/>
      <c r="I2190" s="206"/>
    </row>
    <row r="2191" spans="1:9" x14ac:dyDescent="0.35">
      <c r="A2191" s="160">
        <f t="shared" si="64"/>
        <v>0</v>
      </c>
      <c r="B2191" s="160">
        <f t="shared" si="65"/>
        <v>0</v>
      </c>
      <c r="C2191" s="160">
        <f t="shared" si="66"/>
        <v>0</v>
      </c>
      <c r="D2191" s="160">
        <f t="shared" si="67"/>
        <v>1</v>
      </c>
      <c r="E2191" s="206"/>
      <c r="F2191" s="206"/>
      <c r="G2191" s="206"/>
      <c r="H2191" s="206"/>
      <c r="I2191" s="206"/>
    </row>
    <row r="2192" spans="1:9" x14ac:dyDescent="0.35">
      <c r="A2192" s="160">
        <f t="shared" si="64"/>
        <v>0</v>
      </c>
      <c r="B2192" s="160">
        <f t="shared" si="65"/>
        <v>0</v>
      </c>
      <c r="C2192" s="160">
        <f t="shared" si="66"/>
        <v>0</v>
      </c>
      <c r="D2192" s="160">
        <f t="shared" si="67"/>
        <v>1</v>
      </c>
      <c r="E2192" s="206"/>
      <c r="F2192" s="206"/>
      <c r="G2192" s="206"/>
      <c r="H2192" s="206"/>
      <c r="I2192" s="206"/>
    </row>
    <row r="2193" spans="1:9" x14ac:dyDescent="0.35">
      <c r="A2193" s="160">
        <f t="shared" si="64"/>
        <v>0</v>
      </c>
      <c r="B2193" s="160">
        <f t="shared" si="65"/>
        <v>1</v>
      </c>
      <c r="C2193" s="160">
        <f t="shared" si="66"/>
        <v>1</v>
      </c>
      <c r="D2193" s="160">
        <f t="shared" si="67"/>
        <v>0.5</v>
      </c>
      <c r="E2193" s="206"/>
      <c r="F2193" s="206"/>
      <c r="G2193" s="206"/>
      <c r="H2193" s="206"/>
      <c r="I2193" s="206"/>
    </row>
    <row r="2194" spans="1:9" x14ac:dyDescent="0.35">
      <c r="A2194" s="160">
        <f t="shared" si="64"/>
        <v>0</v>
      </c>
      <c r="B2194" s="160">
        <f t="shared" si="65"/>
        <v>0</v>
      </c>
      <c r="C2194" s="160">
        <f t="shared" si="66"/>
        <v>0</v>
      </c>
      <c r="D2194" s="160">
        <f t="shared" si="67"/>
        <v>1</v>
      </c>
      <c r="E2194" s="206"/>
      <c r="F2194" s="206"/>
      <c r="G2194" s="206"/>
      <c r="H2194" s="206"/>
      <c r="I2194" s="206"/>
    </row>
    <row r="2195" spans="1:9" x14ac:dyDescent="0.35">
      <c r="A2195" s="160">
        <f t="shared" si="64"/>
        <v>1</v>
      </c>
      <c r="B2195" s="160">
        <f t="shared" si="65"/>
        <v>0</v>
      </c>
      <c r="C2195" s="160">
        <f t="shared" si="66"/>
        <v>1</v>
      </c>
      <c r="D2195" s="160">
        <f t="shared" si="67"/>
        <v>0.5</v>
      </c>
      <c r="E2195" s="206"/>
      <c r="F2195" s="206"/>
      <c r="G2195" s="206"/>
      <c r="H2195" s="206"/>
      <c r="I2195" s="206"/>
    </row>
    <row r="2196" spans="1:9" x14ac:dyDescent="0.35">
      <c r="A2196" s="160">
        <f t="shared" si="64"/>
        <v>0</v>
      </c>
      <c r="B2196" s="160">
        <f t="shared" si="65"/>
        <v>0</v>
      </c>
      <c r="C2196" s="160">
        <f t="shared" si="66"/>
        <v>0</v>
      </c>
      <c r="D2196" s="160">
        <f t="shared" si="67"/>
        <v>1</v>
      </c>
      <c r="E2196" s="206"/>
      <c r="F2196" s="206"/>
      <c r="G2196" s="206"/>
      <c r="H2196" s="206"/>
      <c r="I2196" s="206"/>
    </row>
    <row r="2197" spans="1:9" x14ac:dyDescent="0.35">
      <c r="A2197" s="160">
        <f t="shared" si="64"/>
        <v>0</v>
      </c>
      <c r="B2197" s="160">
        <f t="shared" si="65"/>
        <v>1</v>
      </c>
      <c r="C2197" s="160">
        <f t="shared" si="66"/>
        <v>1</v>
      </c>
      <c r="D2197" s="160">
        <f t="shared" si="67"/>
        <v>0.5</v>
      </c>
      <c r="E2197" s="206"/>
      <c r="F2197" s="206"/>
      <c r="G2197" s="206"/>
      <c r="H2197" s="206"/>
      <c r="I2197" s="206"/>
    </row>
    <row r="2198" spans="1:9" x14ac:dyDescent="0.35">
      <c r="A2198" s="160">
        <f t="shared" si="64"/>
        <v>1</v>
      </c>
      <c r="B2198" s="160">
        <f t="shared" si="65"/>
        <v>0</v>
      </c>
      <c r="C2198" s="160">
        <f t="shared" si="66"/>
        <v>1</v>
      </c>
      <c r="D2198" s="160">
        <f t="shared" si="67"/>
        <v>0.5</v>
      </c>
      <c r="E2198" s="206"/>
      <c r="F2198" s="206"/>
      <c r="G2198" s="206"/>
      <c r="H2198" s="206"/>
      <c r="I2198" s="206"/>
    </row>
    <row r="2199" spans="1:9" x14ac:dyDescent="0.35">
      <c r="A2199" s="160">
        <f t="shared" si="64"/>
        <v>0</v>
      </c>
      <c r="B2199" s="160">
        <f t="shared" si="65"/>
        <v>0</v>
      </c>
      <c r="C2199" s="160">
        <f t="shared" si="66"/>
        <v>0</v>
      </c>
      <c r="D2199" s="160">
        <f t="shared" si="67"/>
        <v>1</v>
      </c>
      <c r="E2199" s="206"/>
      <c r="F2199" s="206"/>
      <c r="G2199" s="206"/>
      <c r="H2199" s="206"/>
      <c r="I2199" s="206"/>
    </row>
    <row r="2200" spans="1:9" x14ac:dyDescent="0.35">
      <c r="A2200" s="160">
        <f t="shared" si="64"/>
        <v>0</v>
      </c>
      <c r="B2200" s="160">
        <f t="shared" si="65"/>
        <v>0</v>
      </c>
      <c r="C2200" s="160">
        <f t="shared" si="66"/>
        <v>0</v>
      </c>
      <c r="D2200" s="160">
        <f t="shared" si="67"/>
        <v>1</v>
      </c>
      <c r="E2200" s="206"/>
      <c r="F2200" s="206"/>
      <c r="G2200" s="206"/>
      <c r="H2200" s="206"/>
      <c r="I2200" s="206"/>
    </row>
    <row r="2201" spans="1:9" x14ac:dyDescent="0.35">
      <c r="A2201" s="160">
        <f t="shared" si="64"/>
        <v>0</v>
      </c>
      <c r="B2201" s="160">
        <f t="shared" si="65"/>
        <v>0</v>
      </c>
      <c r="C2201" s="160">
        <f t="shared" si="66"/>
        <v>0</v>
      </c>
      <c r="D2201" s="160">
        <f t="shared" si="67"/>
        <v>1</v>
      </c>
      <c r="E2201" s="206"/>
      <c r="F2201" s="206"/>
      <c r="G2201" s="206"/>
      <c r="H2201" s="206"/>
      <c r="I2201" s="206"/>
    </row>
    <row r="2202" spans="1:9" x14ac:dyDescent="0.35">
      <c r="A2202" s="160">
        <f t="shared" si="64"/>
        <v>0</v>
      </c>
      <c r="B2202" s="160">
        <f t="shared" si="65"/>
        <v>0</v>
      </c>
      <c r="C2202" s="160">
        <f t="shared" si="66"/>
        <v>0</v>
      </c>
      <c r="D2202" s="160">
        <f t="shared" si="67"/>
        <v>1</v>
      </c>
      <c r="E2202" s="206"/>
      <c r="F2202" s="206"/>
      <c r="G2202" s="206"/>
      <c r="H2202" s="206"/>
      <c r="I2202" s="206"/>
    </row>
    <row r="2203" spans="1:9" x14ac:dyDescent="0.35">
      <c r="A2203" s="160">
        <f t="shared" si="64"/>
        <v>0</v>
      </c>
      <c r="B2203" s="160">
        <f t="shared" si="65"/>
        <v>0</v>
      </c>
      <c r="C2203" s="160">
        <f t="shared" si="66"/>
        <v>0</v>
      </c>
      <c r="D2203" s="160">
        <f t="shared" si="67"/>
        <v>1</v>
      </c>
      <c r="E2203" s="206"/>
      <c r="F2203" s="206"/>
      <c r="G2203" s="206"/>
      <c r="H2203" s="206"/>
      <c r="I2203" s="206"/>
    </row>
    <row r="2204" spans="1:9" x14ac:dyDescent="0.35">
      <c r="A2204" s="160">
        <f t="shared" si="64"/>
        <v>0</v>
      </c>
      <c r="B2204" s="160">
        <f t="shared" si="65"/>
        <v>0</v>
      </c>
      <c r="C2204" s="160">
        <f t="shared" si="66"/>
        <v>0</v>
      </c>
      <c r="D2204" s="160">
        <f t="shared" si="67"/>
        <v>1</v>
      </c>
      <c r="E2204" s="206"/>
      <c r="F2204" s="206"/>
      <c r="G2204" s="206"/>
      <c r="H2204" s="206"/>
      <c r="I2204" s="206"/>
    </row>
    <row r="2205" spans="1:9" x14ac:dyDescent="0.35">
      <c r="A2205" s="160">
        <f t="shared" si="64"/>
        <v>0</v>
      </c>
      <c r="B2205" s="160">
        <f t="shared" si="65"/>
        <v>0</v>
      </c>
      <c r="C2205" s="160">
        <f t="shared" si="66"/>
        <v>0</v>
      </c>
      <c r="D2205" s="160">
        <f t="shared" si="67"/>
        <v>1</v>
      </c>
      <c r="E2205" s="206"/>
      <c r="F2205" s="206"/>
      <c r="G2205" s="206"/>
      <c r="H2205" s="206"/>
      <c r="I2205" s="206"/>
    </row>
    <row r="2206" spans="1:9" x14ac:dyDescent="0.35">
      <c r="A2206" s="160">
        <f t="shared" si="64"/>
        <v>0</v>
      </c>
      <c r="B2206" s="160">
        <f t="shared" si="65"/>
        <v>0</v>
      </c>
      <c r="C2206" s="160">
        <f t="shared" si="66"/>
        <v>0</v>
      </c>
      <c r="D2206" s="160">
        <f t="shared" si="67"/>
        <v>1</v>
      </c>
      <c r="E2206" s="206"/>
      <c r="F2206" s="206"/>
      <c r="G2206" s="206"/>
      <c r="H2206" s="206"/>
      <c r="I2206" s="206"/>
    </row>
    <row r="2207" spans="1:9" x14ac:dyDescent="0.35">
      <c r="A2207" s="160">
        <f t="shared" si="64"/>
        <v>0</v>
      </c>
      <c r="B2207" s="160">
        <f t="shared" si="65"/>
        <v>0</v>
      </c>
      <c r="C2207" s="160">
        <f t="shared" si="66"/>
        <v>0</v>
      </c>
      <c r="D2207" s="160">
        <f t="shared" si="67"/>
        <v>1</v>
      </c>
      <c r="E2207" s="206"/>
      <c r="F2207" s="206"/>
      <c r="G2207" s="206"/>
      <c r="H2207" s="206"/>
      <c r="I2207" s="206"/>
    </row>
    <row r="2208" spans="1:9" x14ac:dyDescent="0.35">
      <c r="A2208" s="160">
        <f t="shared" si="64"/>
        <v>0</v>
      </c>
      <c r="B2208" s="160">
        <f t="shared" si="65"/>
        <v>0</v>
      </c>
      <c r="C2208" s="160">
        <f t="shared" si="66"/>
        <v>0</v>
      </c>
      <c r="D2208" s="160">
        <f t="shared" si="67"/>
        <v>1</v>
      </c>
      <c r="E2208" s="206"/>
      <c r="F2208" s="206"/>
      <c r="G2208" s="206"/>
      <c r="H2208" s="206"/>
      <c r="I2208" s="206"/>
    </row>
    <row r="2209" spans="1:9" x14ac:dyDescent="0.35">
      <c r="A2209" s="160">
        <f t="shared" si="64"/>
        <v>0</v>
      </c>
      <c r="B2209" s="160">
        <f t="shared" si="65"/>
        <v>0</v>
      </c>
      <c r="C2209" s="160">
        <f t="shared" si="66"/>
        <v>0</v>
      </c>
      <c r="D2209" s="160">
        <f t="shared" si="67"/>
        <v>1</v>
      </c>
      <c r="E2209" s="206"/>
      <c r="F2209" s="206"/>
      <c r="G2209" s="206"/>
      <c r="H2209" s="206"/>
      <c r="I2209" s="206"/>
    </row>
    <row r="2210" spans="1:9" x14ac:dyDescent="0.35">
      <c r="A2210" s="160">
        <f t="shared" si="64"/>
        <v>0</v>
      </c>
      <c r="B2210" s="160">
        <f t="shared" si="65"/>
        <v>0</v>
      </c>
      <c r="C2210" s="160">
        <f t="shared" si="66"/>
        <v>0</v>
      </c>
      <c r="D2210" s="160">
        <f t="shared" si="67"/>
        <v>1</v>
      </c>
      <c r="E2210" s="206"/>
      <c r="F2210" s="206"/>
      <c r="G2210" s="206"/>
      <c r="H2210" s="206"/>
      <c r="I2210" s="206"/>
    </row>
    <row r="2211" spans="1:9" x14ac:dyDescent="0.35">
      <c r="A2211" s="160">
        <f t="shared" ref="A2211:A2233" si="68">SUMPRODUCT(($R$4:$R$1115=R1093)*($Q$4:$Q$1115=Q1093)*(ROW($R$4:$R$1115)&gt;ROW(R1093)))</f>
        <v>0</v>
      </c>
      <c r="B2211" s="160">
        <f t="shared" ref="B2211:B2233" si="69">SUMPRODUCT(($K$4:$K$1115=K1093)*($Q$4:$Q$1115=Q1093)*(ROW($K$4:$K$1115)&gt;ROW(K1093)))</f>
        <v>0</v>
      </c>
      <c r="C2211" s="160">
        <f t="shared" ref="C2211:C2233" si="70">SUM(A2211:B2211)</f>
        <v>0</v>
      </c>
      <c r="D2211" s="160">
        <f t="shared" ref="D2211:D2233" si="71">1/(1+C2211)</f>
        <v>1</v>
      </c>
      <c r="E2211" s="206"/>
      <c r="F2211" s="206"/>
      <c r="G2211" s="206"/>
      <c r="H2211" s="206"/>
      <c r="I2211" s="206"/>
    </row>
    <row r="2212" spans="1:9" x14ac:dyDescent="0.35">
      <c r="A2212" s="160">
        <f t="shared" si="68"/>
        <v>0</v>
      </c>
      <c r="B2212" s="160">
        <f t="shared" si="69"/>
        <v>0</v>
      </c>
      <c r="C2212" s="160">
        <f t="shared" si="70"/>
        <v>0</v>
      </c>
      <c r="D2212" s="160">
        <f t="shared" si="71"/>
        <v>1</v>
      </c>
      <c r="E2212" s="206"/>
      <c r="F2212" s="206"/>
      <c r="G2212" s="206"/>
      <c r="H2212" s="206"/>
      <c r="I2212" s="206"/>
    </row>
    <row r="2213" spans="1:9" x14ac:dyDescent="0.35">
      <c r="A2213" s="160">
        <f t="shared" si="68"/>
        <v>0</v>
      </c>
      <c r="B2213" s="160">
        <f t="shared" si="69"/>
        <v>0</v>
      </c>
      <c r="C2213" s="160">
        <f t="shared" si="70"/>
        <v>0</v>
      </c>
      <c r="D2213" s="160">
        <f t="shared" si="71"/>
        <v>1</v>
      </c>
      <c r="E2213" s="206"/>
      <c r="F2213" s="206"/>
      <c r="G2213" s="206"/>
      <c r="H2213" s="206"/>
      <c r="I2213" s="206"/>
    </row>
    <row r="2214" spans="1:9" x14ac:dyDescent="0.35">
      <c r="A2214" s="160">
        <f t="shared" si="68"/>
        <v>0</v>
      </c>
      <c r="B2214" s="160">
        <f t="shared" si="69"/>
        <v>0</v>
      </c>
      <c r="C2214" s="160">
        <f t="shared" si="70"/>
        <v>0</v>
      </c>
      <c r="D2214" s="160">
        <f t="shared" si="71"/>
        <v>1</v>
      </c>
      <c r="E2214" s="206"/>
      <c r="F2214" s="206"/>
      <c r="G2214" s="206"/>
      <c r="H2214" s="206"/>
      <c r="I2214" s="206"/>
    </row>
    <row r="2215" spans="1:9" x14ac:dyDescent="0.35">
      <c r="A2215" s="160">
        <f t="shared" si="68"/>
        <v>0</v>
      </c>
      <c r="B2215" s="160">
        <f t="shared" si="69"/>
        <v>0</v>
      </c>
      <c r="C2215" s="160">
        <f t="shared" si="70"/>
        <v>0</v>
      </c>
      <c r="D2215" s="160">
        <f t="shared" si="71"/>
        <v>1</v>
      </c>
      <c r="E2215" s="206"/>
      <c r="F2215" s="206"/>
      <c r="G2215" s="206"/>
      <c r="H2215" s="206"/>
      <c r="I2215" s="206"/>
    </row>
    <row r="2216" spans="1:9" x14ac:dyDescent="0.35">
      <c r="A2216" s="160">
        <f t="shared" si="68"/>
        <v>0</v>
      </c>
      <c r="B2216" s="160">
        <f t="shared" si="69"/>
        <v>0</v>
      </c>
      <c r="C2216" s="160">
        <f t="shared" si="70"/>
        <v>0</v>
      </c>
      <c r="D2216" s="160">
        <f t="shared" si="71"/>
        <v>1</v>
      </c>
      <c r="E2216" s="206"/>
      <c r="F2216" s="206"/>
      <c r="G2216" s="206"/>
      <c r="H2216" s="206"/>
      <c r="I2216" s="206"/>
    </row>
    <row r="2217" spans="1:9" x14ac:dyDescent="0.35">
      <c r="A2217" s="160">
        <f t="shared" si="68"/>
        <v>0</v>
      </c>
      <c r="B2217" s="160">
        <f t="shared" si="69"/>
        <v>0</v>
      </c>
      <c r="C2217" s="160">
        <f t="shared" si="70"/>
        <v>0</v>
      </c>
      <c r="D2217" s="160">
        <f t="shared" si="71"/>
        <v>1</v>
      </c>
      <c r="E2217" s="206"/>
      <c r="F2217" s="206"/>
      <c r="G2217" s="206"/>
      <c r="H2217" s="206"/>
      <c r="I2217" s="206"/>
    </row>
    <row r="2218" spans="1:9" x14ac:dyDescent="0.35">
      <c r="A2218" s="160">
        <f t="shared" si="68"/>
        <v>0</v>
      </c>
      <c r="B2218" s="160">
        <f t="shared" si="69"/>
        <v>0</v>
      </c>
      <c r="C2218" s="160">
        <f t="shared" si="70"/>
        <v>0</v>
      </c>
      <c r="D2218" s="160">
        <f t="shared" si="71"/>
        <v>1</v>
      </c>
      <c r="E2218" s="206"/>
      <c r="F2218" s="206"/>
      <c r="G2218" s="206"/>
      <c r="H2218" s="206"/>
      <c r="I2218" s="206"/>
    </row>
    <row r="2219" spans="1:9" x14ac:dyDescent="0.35">
      <c r="A2219" s="160">
        <f t="shared" si="68"/>
        <v>0</v>
      </c>
      <c r="B2219" s="160">
        <f t="shared" si="69"/>
        <v>0</v>
      </c>
      <c r="C2219" s="160">
        <f t="shared" si="70"/>
        <v>0</v>
      </c>
      <c r="D2219" s="160">
        <f t="shared" si="71"/>
        <v>1</v>
      </c>
      <c r="E2219" s="206"/>
      <c r="F2219" s="206"/>
      <c r="G2219" s="206"/>
      <c r="H2219" s="206"/>
      <c r="I2219" s="206"/>
    </row>
    <row r="2220" spans="1:9" x14ac:dyDescent="0.35">
      <c r="A2220" s="160">
        <f t="shared" si="68"/>
        <v>0</v>
      </c>
      <c r="B2220" s="160">
        <f t="shared" si="69"/>
        <v>0</v>
      </c>
      <c r="C2220" s="160">
        <f t="shared" si="70"/>
        <v>0</v>
      </c>
      <c r="D2220" s="160">
        <f t="shared" si="71"/>
        <v>1</v>
      </c>
      <c r="E2220" s="206"/>
      <c r="F2220" s="206"/>
      <c r="G2220" s="206"/>
      <c r="H2220" s="206"/>
      <c r="I2220" s="206"/>
    </row>
    <row r="2221" spans="1:9" x14ac:dyDescent="0.35">
      <c r="A2221" s="160">
        <f t="shared" si="68"/>
        <v>0</v>
      </c>
      <c r="B2221" s="160">
        <f t="shared" si="69"/>
        <v>0</v>
      </c>
      <c r="C2221" s="160">
        <f t="shared" si="70"/>
        <v>0</v>
      </c>
      <c r="D2221" s="160">
        <f t="shared" si="71"/>
        <v>1</v>
      </c>
      <c r="E2221" s="206"/>
      <c r="F2221" s="206"/>
      <c r="G2221" s="206"/>
      <c r="H2221" s="206"/>
      <c r="I2221" s="206"/>
    </row>
    <row r="2222" spans="1:9" x14ac:dyDescent="0.35">
      <c r="A2222" s="160">
        <f t="shared" si="68"/>
        <v>0</v>
      </c>
      <c r="B2222" s="160">
        <f t="shared" si="69"/>
        <v>0</v>
      </c>
      <c r="C2222" s="160">
        <f t="shared" si="70"/>
        <v>0</v>
      </c>
      <c r="D2222" s="160">
        <f t="shared" si="71"/>
        <v>1</v>
      </c>
      <c r="E2222" s="206"/>
      <c r="F2222" s="206"/>
      <c r="G2222" s="206"/>
      <c r="H2222" s="206"/>
      <c r="I2222" s="206"/>
    </row>
    <row r="2223" spans="1:9" x14ac:dyDescent="0.35">
      <c r="A2223" s="160">
        <f t="shared" si="68"/>
        <v>0</v>
      </c>
      <c r="B2223" s="160">
        <f t="shared" si="69"/>
        <v>0</v>
      </c>
      <c r="C2223" s="160">
        <f t="shared" si="70"/>
        <v>0</v>
      </c>
      <c r="D2223" s="160">
        <f t="shared" si="71"/>
        <v>1</v>
      </c>
      <c r="E2223" s="206"/>
      <c r="F2223" s="206"/>
      <c r="G2223" s="206"/>
      <c r="H2223" s="206"/>
      <c r="I2223" s="206"/>
    </row>
    <row r="2224" spans="1:9" x14ac:dyDescent="0.35">
      <c r="A2224" s="160">
        <f t="shared" si="68"/>
        <v>0</v>
      </c>
      <c r="B2224" s="160">
        <f t="shared" si="69"/>
        <v>0</v>
      </c>
      <c r="C2224" s="160">
        <f t="shared" si="70"/>
        <v>0</v>
      </c>
      <c r="D2224" s="160">
        <f t="shared" si="71"/>
        <v>1</v>
      </c>
      <c r="E2224" s="206"/>
      <c r="F2224" s="206"/>
      <c r="G2224" s="206"/>
      <c r="H2224" s="206"/>
      <c r="I2224" s="206"/>
    </row>
    <row r="2225" spans="1:9" x14ac:dyDescent="0.35">
      <c r="A2225" s="160">
        <f t="shared" si="68"/>
        <v>0</v>
      </c>
      <c r="B2225" s="160">
        <f t="shared" si="69"/>
        <v>0</v>
      </c>
      <c r="C2225" s="160">
        <f t="shared" si="70"/>
        <v>0</v>
      </c>
      <c r="D2225" s="160">
        <f t="shared" si="71"/>
        <v>1</v>
      </c>
      <c r="E2225" s="206"/>
      <c r="F2225" s="206"/>
      <c r="G2225" s="206"/>
      <c r="H2225" s="206"/>
      <c r="I2225" s="206"/>
    </row>
    <row r="2226" spans="1:9" x14ac:dyDescent="0.35">
      <c r="A2226" s="160">
        <f t="shared" si="68"/>
        <v>0</v>
      </c>
      <c r="B2226" s="160">
        <f t="shared" si="69"/>
        <v>0</v>
      </c>
      <c r="C2226" s="160">
        <f t="shared" si="70"/>
        <v>0</v>
      </c>
      <c r="D2226" s="160">
        <f t="shared" si="71"/>
        <v>1</v>
      </c>
      <c r="E2226" s="206"/>
      <c r="F2226" s="206"/>
      <c r="G2226" s="206"/>
      <c r="H2226" s="206"/>
      <c r="I2226" s="206"/>
    </row>
    <row r="2227" spans="1:9" x14ac:dyDescent="0.35">
      <c r="A2227" s="160">
        <f t="shared" si="68"/>
        <v>0</v>
      </c>
      <c r="B2227" s="160">
        <f t="shared" si="69"/>
        <v>0</v>
      </c>
      <c r="C2227" s="160">
        <f t="shared" si="70"/>
        <v>0</v>
      </c>
      <c r="D2227" s="160">
        <f t="shared" si="71"/>
        <v>1</v>
      </c>
      <c r="E2227" s="206"/>
      <c r="F2227" s="206"/>
      <c r="G2227" s="206"/>
      <c r="H2227" s="206"/>
      <c r="I2227" s="206"/>
    </row>
    <row r="2228" spans="1:9" x14ac:dyDescent="0.35">
      <c r="A2228" s="160">
        <f t="shared" si="68"/>
        <v>0</v>
      </c>
      <c r="B2228" s="160">
        <f t="shared" si="69"/>
        <v>0</v>
      </c>
      <c r="C2228" s="160">
        <f t="shared" si="70"/>
        <v>0</v>
      </c>
      <c r="D2228" s="160">
        <f t="shared" si="71"/>
        <v>1</v>
      </c>
      <c r="E2228" s="206"/>
      <c r="F2228" s="206"/>
      <c r="G2228" s="206"/>
      <c r="H2228" s="206"/>
      <c r="I2228" s="206"/>
    </row>
    <row r="2229" spans="1:9" x14ac:dyDescent="0.35">
      <c r="A2229" s="160">
        <f t="shared" si="68"/>
        <v>0</v>
      </c>
      <c r="B2229" s="160">
        <f t="shared" si="69"/>
        <v>0</v>
      </c>
      <c r="C2229" s="160">
        <f t="shared" si="70"/>
        <v>0</v>
      </c>
      <c r="D2229" s="160">
        <f t="shared" si="71"/>
        <v>1</v>
      </c>
      <c r="E2229" s="206"/>
      <c r="F2229" s="206"/>
      <c r="G2229" s="206"/>
      <c r="H2229" s="206"/>
      <c r="I2229" s="206"/>
    </row>
    <row r="2230" spans="1:9" x14ac:dyDescent="0.35">
      <c r="A2230" s="160">
        <f t="shared" si="68"/>
        <v>0</v>
      </c>
      <c r="B2230" s="160">
        <f t="shared" si="69"/>
        <v>0</v>
      </c>
      <c r="C2230" s="160">
        <f t="shared" si="70"/>
        <v>0</v>
      </c>
      <c r="D2230" s="160">
        <f t="shared" si="71"/>
        <v>1</v>
      </c>
      <c r="E2230" s="206"/>
      <c r="F2230" s="206"/>
      <c r="G2230" s="206"/>
      <c r="H2230" s="206"/>
      <c r="I2230" s="206"/>
    </row>
    <row r="2231" spans="1:9" x14ac:dyDescent="0.35">
      <c r="A2231" s="160">
        <f t="shared" si="68"/>
        <v>0</v>
      </c>
      <c r="B2231" s="160">
        <f t="shared" si="69"/>
        <v>0</v>
      </c>
      <c r="C2231" s="160">
        <f t="shared" si="70"/>
        <v>0</v>
      </c>
      <c r="D2231" s="160">
        <f t="shared" si="71"/>
        <v>1</v>
      </c>
      <c r="E2231" s="206"/>
      <c r="F2231" s="206"/>
      <c r="G2231" s="206"/>
      <c r="H2231" s="206"/>
      <c r="I2231" s="206"/>
    </row>
    <row r="2232" spans="1:9" x14ac:dyDescent="0.35">
      <c r="A2232" s="160">
        <f t="shared" si="68"/>
        <v>0</v>
      </c>
      <c r="B2232" s="160">
        <f t="shared" si="69"/>
        <v>0</v>
      </c>
      <c r="C2232" s="160">
        <f t="shared" si="70"/>
        <v>0</v>
      </c>
      <c r="D2232" s="160">
        <f t="shared" si="71"/>
        <v>1</v>
      </c>
      <c r="E2232" s="206"/>
      <c r="F2232" s="206"/>
      <c r="G2232" s="206"/>
      <c r="H2232" s="206"/>
      <c r="I2232" s="206"/>
    </row>
    <row r="2233" spans="1:9" x14ac:dyDescent="0.35">
      <c r="A2233" s="160">
        <f t="shared" si="68"/>
        <v>0</v>
      </c>
      <c r="B2233" s="160">
        <f t="shared" si="69"/>
        <v>0</v>
      </c>
      <c r="C2233" s="160">
        <f t="shared" si="70"/>
        <v>0</v>
      </c>
      <c r="D2233" s="160">
        <f t="shared" si="71"/>
        <v>1</v>
      </c>
      <c r="E2233" s="206"/>
      <c r="F2233" s="206"/>
      <c r="G2233" s="206"/>
      <c r="H2233" s="206"/>
      <c r="I2233" s="206"/>
    </row>
  </sheetData>
  <mergeCells count="9">
    <mergeCell ref="K1:S1"/>
    <mergeCell ref="A1119:I1119"/>
    <mergeCell ref="H1121:Q1121"/>
    <mergeCell ref="H1126:Q1126"/>
    <mergeCell ref="F1146:Q1146"/>
    <mergeCell ref="F1133:Q1133"/>
    <mergeCell ref="F1131:Q1131"/>
    <mergeCell ref="F1138:Q1138"/>
    <mergeCell ref="F1140:Q1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BERSIH</vt:lpstr>
      <vt:lpstr>PERHITUNGAN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Erlina Waty</dc:creator>
  <cp:lastModifiedBy>Aqila Salsabila</cp:lastModifiedBy>
  <dcterms:created xsi:type="dcterms:W3CDTF">2025-07-10T07:13:38Z</dcterms:created>
  <dcterms:modified xsi:type="dcterms:W3CDTF">2025-11-01T02:38:08Z</dcterms:modified>
</cp:coreProperties>
</file>